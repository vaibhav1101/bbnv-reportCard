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I:\My Drive\Repository\BBN Vidyapeeth\Session 2025-26\Marksheet Format 2026\"/>
    </mc:Choice>
  </mc:AlternateContent>
  <xr:revisionPtr revIDLastSave="0" documentId="13_ncr:1_{74701E4F-58A8-4263-AA6B-A095A3367462}" xr6:coauthVersionLast="47" xr6:coauthVersionMax="47" xr10:uidLastSave="{00000000-0000-0000-0000-000000000000}"/>
  <bookViews>
    <workbookView xWindow="-120" yWindow="-120" windowWidth="29040" windowHeight="15720" tabRatio="362" activeTab="1" xr2:uid="{00000000-000D-0000-FFFF-FFFF00000000}"/>
  </bookViews>
  <sheets>
    <sheet name="Sheet1" sheetId="4" r:id="rId1"/>
    <sheet name="Report Card" sheetId="2" r:id="rId2"/>
    <sheet name="Sheet3" sheetId="3" r:id="rId3"/>
  </sheets>
  <definedNames>
    <definedName name="ExternalData_1" localSheetId="0" hidden="1">Sheet1!$A$1:$AF$1569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4" i="2" l="1"/>
  <c r="S13" i="2"/>
  <c r="S15" i="2"/>
  <c r="S12" i="2"/>
  <c r="X14" i="2" l="1"/>
  <c r="X13" i="2"/>
  <c r="G19" i="2"/>
  <c r="X15" i="2"/>
  <c r="Z63" i="2"/>
  <c r="Y70" i="2"/>
  <c r="Y71" i="2"/>
  <c r="AB71" i="2"/>
  <c r="AB70" i="2"/>
  <c r="Z69" i="2"/>
  <c r="Z68" i="2"/>
  <c r="Z67" i="2"/>
  <c r="Z66" i="2"/>
  <c r="Z65" i="2"/>
  <c r="Z64" i="2"/>
  <c r="Z61" i="2"/>
  <c r="P24" i="2"/>
  <c r="J24" i="2"/>
  <c r="D24" i="2"/>
  <c r="S18" i="2"/>
  <c r="S19" i="2"/>
  <c r="S17" i="2"/>
  <c r="M18" i="2"/>
  <c r="M19" i="2"/>
  <c r="M17" i="2"/>
  <c r="G18" i="2"/>
  <c r="G17" i="2"/>
  <c r="M13" i="2"/>
  <c r="W13" i="2" s="1"/>
  <c r="M14" i="2"/>
  <c r="W14" i="2" s="1"/>
  <c r="M15" i="2"/>
  <c r="W15" i="2" s="1"/>
  <c r="M12" i="2"/>
  <c r="W12" i="2" s="1"/>
  <c r="G13" i="2"/>
  <c r="V13" i="2" s="1"/>
  <c r="G14" i="2"/>
  <c r="V14" i="2" s="1"/>
  <c r="G15" i="2"/>
  <c r="V15" i="2" s="1"/>
  <c r="G12" i="2"/>
  <c r="V12" i="2" s="1"/>
  <c r="C8" i="2"/>
  <c r="N8" i="2"/>
  <c r="V8" i="2"/>
  <c r="AA8" i="2"/>
  <c r="X12" i="2" l="1"/>
  <c r="S16" i="2"/>
  <c r="M16" i="2" l="1"/>
  <c r="X16" i="2"/>
  <c r="W16" i="2"/>
  <c r="V16" i="2"/>
  <c r="X60" i="2"/>
  <c r="G16" i="2" l="1"/>
  <c r="Z62" i="2" l="1"/>
  <c r="X59" i="2"/>
  <c r="P16" i="2" l="1"/>
  <c r="P20" i="2" s="1"/>
  <c r="P22" i="2" s="1"/>
  <c r="AC22" i="2" s="1"/>
  <c r="J16" i="2"/>
  <c r="J20" i="2" s="1"/>
  <c r="J22" i="2" s="1"/>
  <c r="D16" i="2"/>
  <c r="D20" i="2" s="1"/>
  <c r="P21" i="2" l="1"/>
  <c r="D22" i="2"/>
  <c r="AC23" i="2"/>
  <c r="J21" i="2"/>
  <c r="D21" i="2"/>
  <c r="Y13" i="2"/>
  <c r="Y15" i="2"/>
  <c r="Y14" i="2"/>
  <c r="Y12" i="2" l="1"/>
  <c r="Y16" i="2" s="1"/>
  <c r="X20" i="2" s="1"/>
  <c r="AC20" i="2" l="1"/>
  <c r="AC19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61C31B-1E3A-4DB1-BC1D-80BCBE720392}" keepAlive="1" name="Query - View_ReportCard_Primary (2)" description="Connection to the 'View_ReportCard_Primary (2)' query in the workbook." type="5" refreshedVersion="8" background="1" saveData="1">
    <dbPr connection="Provider=Microsoft.Mashup.OleDb.1;Data Source=$Workbook$;Location=&quot;View_ReportCard_Primary (2)&quot;;Extended Properties=&quot;&quot;" command="SELECT * FROM [View_ReportCard_Primary (2)]"/>
  </connection>
</connections>
</file>

<file path=xl/sharedStrings.xml><?xml version="1.0" encoding="utf-8"?>
<sst xmlns="http://schemas.openxmlformats.org/spreadsheetml/2006/main" count="33146" uniqueCount="2907">
  <si>
    <t>StudentId</t>
  </si>
  <si>
    <t>RollNo</t>
  </si>
  <si>
    <t>Class</t>
  </si>
  <si>
    <t>Session</t>
  </si>
  <si>
    <t>Subject</t>
  </si>
  <si>
    <t>Mathmatics</t>
  </si>
  <si>
    <t>Environmental science</t>
  </si>
  <si>
    <t>Hindi</t>
  </si>
  <si>
    <t>English</t>
  </si>
  <si>
    <t xml:space="preserve">सत्र	</t>
  </si>
  <si>
    <t>1॰</t>
  </si>
  <si>
    <t>2 ॰</t>
  </si>
  <si>
    <t>StudentName</t>
  </si>
  <si>
    <t>FINALEXAM</t>
  </si>
  <si>
    <t>HALFYEARLY</t>
  </si>
  <si>
    <t>QUARTERLY</t>
  </si>
  <si>
    <t>BRAHMRISHI BAWRA NARMADA VIDYAPEETH SENIOR SEC. SCHOOL</t>
  </si>
  <si>
    <t>RECOGNIZED BY GOVT. OF M.P.</t>
  </si>
  <si>
    <t>RECOGNIZED BY GOVT. OF M.P. (SCHOOL CODE - 712287)</t>
  </si>
  <si>
    <t>PROGRESS REPORT CARD</t>
  </si>
  <si>
    <t>Name</t>
  </si>
  <si>
    <t>SUBJECT</t>
  </si>
  <si>
    <t>Quarterly Exam</t>
  </si>
  <si>
    <t>Half Yearly Exam</t>
  </si>
  <si>
    <t>Annual Exam</t>
  </si>
  <si>
    <t>Total Average</t>
  </si>
  <si>
    <t>MM</t>
  </si>
  <si>
    <t>M. Obt.</t>
  </si>
  <si>
    <t>M. Obt</t>
  </si>
  <si>
    <t>Total</t>
  </si>
  <si>
    <t>Remarks</t>
  </si>
  <si>
    <t>ENGLISH (SPECIAL)</t>
  </si>
  <si>
    <t>HINDI (GENERAL)</t>
  </si>
  <si>
    <t>MATHS</t>
  </si>
  <si>
    <t>E.V.S.</t>
  </si>
  <si>
    <t>GRAND TOTAL</t>
  </si>
  <si>
    <t>COMPUTER</t>
  </si>
  <si>
    <t>G.K. / MORAL SCIENCE</t>
  </si>
  <si>
    <t>CLEANLINESS</t>
  </si>
  <si>
    <t>PERCENTAGE</t>
  </si>
  <si>
    <t>DIVISION</t>
  </si>
  <si>
    <t>PASS/FAIL/PROMOTED</t>
  </si>
  <si>
    <t>CLASS TEACHER'S SIGN</t>
  </si>
  <si>
    <t>ATTENDANCE</t>
  </si>
  <si>
    <t>PRINCIPAL'S SIGN</t>
  </si>
  <si>
    <t>PARENT'S SIGN</t>
  </si>
  <si>
    <t>Class Teacher's Sign</t>
  </si>
  <si>
    <t>School Reopen on …………………………………………………..</t>
  </si>
  <si>
    <t>GRADE</t>
  </si>
  <si>
    <t>PROMOTION RULES</t>
  </si>
  <si>
    <t>This Report Card must be signed by the parent every exam and then must be</t>
  </si>
  <si>
    <r>
      <t xml:space="preserve">returned to the class teacher within </t>
    </r>
    <r>
      <rPr>
        <b/>
        <sz val="8"/>
        <color theme="1"/>
        <rFont val="Calibri"/>
        <family val="2"/>
        <scheme val="minor"/>
      </rPr>
      <t>two</t>
    </r>
    <r>
      <rPr>
        <sz val="8"/>
        <color theme="1"/>
        <rFont val="Calibri"/>
        <family val="2"/>
        <scheme val="minor"/>
      </rPr>
      <t xml:space="preserve"> days.</t>
    </r>
  </si>
  <si>
    <t>Minimum passing Marks in each subject is 33%.</t>
  </si>
  <si>
    <t xml:space="preserve">Promotion will not be granted in case the attendance is less than 85% in the </t>
  </si>
  <si>
    <t>Year.</t>
  </si>
  <si>
    <t xml:space="preserve">If the card is lost or damaged a new one will be issued on payment of </t>
  </si>
  <si>
    <t>Rs. 50.00.</t>
  </si>
  <si>
    <t>Ranks will be awarded only for the first three positions.</t>
  </si>
  <si>
    <t xml:space="preserve"> and Annual Exam.</t>
  </si>
  <si>
    <t>It is compulsary for all the students to pass in the quarterly, Half yearly</t>
  </si>
  <si>
    <t>Promotion Criteria:</t>
  </si>
  <si>
    <t>Marks will be awarded out of 50 for the terminals and final examination</t>
  </si>
  <si>
    <t>MARKS</t>
  </si>
  <si>
    <t>First</t>
  </si>
  <si>
    <t>Second</t>
  </si>
  <si>
    <t>Third</t>
  </si>
  <si>
    <t>Fail</t>
  </si>
  <si>
    <t>60% and Above</t>
  </si>
  <si>
    <t>45% and Above</t>
  </si>
  <si>
    <t>35% and Above</t>
  </si>
  <si>
    <t>Below 35%</t>
  </si>
  <si>
    <t>BRAHMRISHI BAWRA</t>
  </si>
  <si>
    <t>NARMADA VIDYAPEETH SR. SEC. SCHOOL</t>
  </si>
  <si>
    <t>Gwarighat, Jabalpur (M.P.)</t>
  </si>
  <si>
    <t>Reg. No. - J.J.- 4751</t>
  </si>
  <si>
    <t>Address</t>
  </si>
  <si>
    <t>SSSMID</t>
  </si>
  <si>
    <t>Caste</t>
  </si>
  <si>
    <t>General</t>
  </si>
  <si>
    <t>SC</t>
  </si>
  <si>
    <t>OBC</t>
  </si>
  <si>
    <t>Physically handicapped</t>
  </si>
  <si>
    <t>General-Scholarship</t>
  </si>
  <si>
    <t>SC/ST-Scholarship</t>
  </si>
  <si>
    <t>OBC-Scholarship</t>
  </si>
  <si>
    <t>ST</t>
  </si>
  <si>
    <t>CategoryId</t>
  </si>
  <si>
    <t>AdmissionNo</t>
  </si>
  <si>
    <t>DOB</t>
  </si>
  <si>
    <t>BloodGroup</t>
  </si>
  <si>
    <t>FATHERNAME</t>
  </si>
  <si>
    <t>AADHAR</t>
  </si>
  <si>
    <t>Division</t>
  </si>
  <si>
    <t>Per To</t>
  </si>
  <si>
    <t>Per From</t>
  </si>
  <si>
    <t>From</t>
  </si>
  <si>
    <t>To</t>
  </si>
  <si>
    <t>Grade</t>
  </si>
  <si>
    <t>D</t>
  </si>
  <si>
    <t>C</t>
  </si>
  <si>
    <t>B</t>
  </si>
  <si>
    <t>A</t>
  </si>
  <si>
    <t>Need Hard Work</t>
  </si>
  <si>
    <t>Satisfactory</t>
  </si>
  <si>
    <t>Good</t>
  </si>
  <si>
    <t>Very Good</t>
  </si>
  <si>
    <t>Excellent</t>
  </si>
  <si>
    <t>Principal's Sign</t>
  </si>
  <si>
    <t>KEYID</t>
  </si>
  <si>
    <t>ReportCardText</t>
  </si>
  <si>
    <t>Attendance</t>
  </si>
  <si>
    <t>TotalDays</t>
  </si>
  <si>
    <t>UnSatisfactory</t>
  </si>
  <si>
    <t>Name -</t>
  </si>
  <si>
    <t>Class -</t>
  </si>
  <si>
    <t>Year -</t>
  </si>
  <si>
    <t>Vanvasi Chetna Aashram, New Station Road</t>
  </si>
  <si>
    <t>Roll No. -</t>
  </si>
  <si>
    <t>Total Average -</t>
  </si>
  <si>
    <t xml:space="preserve">               Hindi / English Medium</t>
  </si>
  <si>
    <t>Admission No -</t>
  </si>
  <si>
    <t>Student Name -</t>
  </si>
  <si>
    <t>Date of Birth -</t>
  </si>
  <si>
    <t>Father's Name -</t>
  </si>
  <si>
    <t>Mother's Name -</t>
  </si>
  <si>
    <t>Address -</t>
  </si>
  <si>
    <t>Aadhar No -</t>
  </si>
  <si>
    <t>SSSMID -</t>
  </si>
  <si>
    <t>Caste -</t>
  </si>
  <si>
    <t>Blood Group -</t>
  </si>
  <si>
    <t>Email : bbnvidyapeeth99@gmail.com</t>
  </si>
  <si>
    <t xml:space="preserve">                  School Code - 712287                                                                      Dise Code - 23390222204</t>
  </si>
  <si>
    <t>MotherName</t>
  </si>
  <si>
    <t>HLF_TOTAL</t>
  </si>
  <si>
    <t>HLF_ATTENDANCE</t>
  </si>
  <si>
    <t>YR_TOTAL</t>
  </si>
  <si>
    <t>YR_ATTENDANCE</t>
  </si>
  <si>
    <t>Height</t>
  </si>
  <si>
    <t>Weight</t>
  </si>
  <si>
    <t>Vision</t>
  </si>
  <si>
    <t>Height -</t>
  </si>
  <si>
    <t>Weight -</t>
  </si>
  <si>
    <t>Vision -</t>
  </si>
  <si>
    <t>SUPPLEMENTARY SUBJECTS</t>
  </si>
  <si>
    <t>Annual Result -</t>
  </si>
  <si>
    <t>Rank in Class -</t>
  </si>
  <si>
    <t>Supply. Exam</t>
  </si>
  <si>
    <t>REMARKS</t>
  </si>
  <si>
    <t>Result -</t>
  </si>
  <si>
    <t>Percentage -</t>
  </si>
  <si>
    <t>Marks -</t>
  </si>
  <si>
    <t>(1)</t>
  </si>
  <si>
    <t>(2)</t>
  </si>
  <si>
    <t>(3)</t>
  </si>
  <si>
    <t>(4)</t>
  </si>
  <si>
    <t>(5)</t>
  </si>
  <si>
    <t>(6)</t>
  </si>
  <si>
    <t>(7)</t>
  </si>
  <si>
    <t>(8)</t>
  </si>
  <si>
    <t>(9)</t>
  </si>
  <si>
    <t>(10)</t>
  </si>
  <si>
    <t>Star ( * ) is marked for Failed in the subject.</t>
  </si>
  <si>
    <t>Plus ( + ) is marked for Promotted Students.</t>
  </si>
  <si>
    <t>Marks mentioned in bold letters to be considered as DISTINCTION in Subject</t>
  </si>
  <si>
    <t>Quarterly -</t>
  </si>
  <si>
    <t>HalfYearly -</t>
  </si>
  <si>
    <t>Annual Exam -</t>
  </si>
  <si>
    <t>FailedSubjects</t>
  </si>
  <si>
    <t>ANSH YADAV</t>
  </si>
  <si>
    <t>Class IA</t>
  </si>
  <si>
    <t>HINDI (GENERAL)101</t>
  </si>
  <si>
    <t>25</t>
  </si>
  <si>
    <t>*10</t>
  </si>
  <si>
    <t>17</t>
  </si>
  <si>
    <t>211505</t>
  </si>
  <si>
    <t>AB+</t>
  </si>
  <si>
    <t>SHRICHAND YADAV</t>
  </si>
  <si>
    <t>DULARI YADAV</t>
  </si>
  <si>
    <t>754862280252</t>
  </si>
  <si>
    <t>300632774</t>
  </si>
  <si>
    <t>118</t>
  </si>
  <si>
    <t>18</t>
  </si>
  <si>
    <t>6/12</t>
  </si>
  <si>
    <t/>
  </si>
  <si>
    <t>ENGLISH (SPECIAL)101</t>
  </si>
  <si>
    <t>31</t>
  </si>
  <si>
    <t>*09</t>
  </si>
  <si>
    <t>*15</t>
  </si>
  <si>
    <t>20</t>
  </si>
  <si>
    <t>43</t>
  </si>
  <si>
    <t>E.V.S.101</t>
  </si>
  <si>
    <t>29</t>
  </si>
  <si>
    <t>21</t>
  </si>
  <si>
    <t>Computer</t>
  </si>
  <si>
    <t>COMPUTER101</t>
  </si>
  <si>
    <t>G.K. / MORAL SCIENCE101</t>
  </si>
  <si>
    <t>15</t>
  </si>
  <si>
    <t>Cleanliness</t>
  </si>
  <si>
    <t>CLEANLINESS101</t>
  </si>
  <si>
    <t>ATHARAV SARATHE</t>
  </si>
  <si>
    <t>CLEANLINESS102</t>
  </si>
  <si>
    <t>16</t>
  </si>
  <si>
    <t>211506</t>
  </si>
  <si>
    <t>A+</t>
  </si>
  <si>
    <t>197/14 AWADHPURI COLONY GWARIGHAT JABALPUR</t>
  </si>
  <si>
    <t>PRADEEP SARATHE</t>
  </si>
  <si>
    <t>SANGEETA SARATHE</t>
  </si>
  <si>
    <t>651399833515</t>
  </si>
  <si>
    <t>305869362</t>
  </si>
  <si>
    <t>115</t>
  </si>
  <si>
    <t>6/9</t>
  </si>
  <si>
    <t>G.K. / MORAL SCIENCE102</t>
  </si>
  <si>
    <t>22</t>
  </si>
  <si>
    <t>COMPUTER102</t>
  </si>
  <si>
    <t>E.V.S.102</t>
  </si>
  <si>
    <t>38</t>
  </si>
  <si>
    <t>36</t>
  </si>
  <si>
    <t>46</t>
  </si>
  <si>
    <t>44</t>
  </si>
  <si>
    <t>ENGLISH (SPECIAL)102</t>
  </si>
  <si>
    <t>33</t>
  </si>
  <si>
    <t>30</t>
  </si>
  <si>
    <t>HINDI (GENERAL)102</t>
  </si>
  <si>
    <t>23</t>
  </si>
  <si>
    <t>ATHARVA GHULE</t>
  </si>
  <si>
    <t>HINDI (GENERAL)103</t>
  </si>
  <si>
    <t>26</t>
  </si>
  <si>
    <t>*12</t>
  </si>
  <si>
    <t>24</t>
  </si>
  <si>
    <t>211480</t>
  </si>
  <si>
    <t>VIJAY GHULE</t>
  </si>
  <si>
    <t>MAYA GHULE</t>
  </si>
  <si>
    <t>316692566884</t>
  </si>
  <si>
    <t>301205540</t>
  </si>
  <si>
    <t>126</t>
  </si>
  <si>
    <t>ENGLISH (SPECIAL)103</t>
  </si>
  <si>
    <t>34</t>
  </si>
  <si>
    <t>27</t>
  </si>
  <si>
    <t>35</t>
  </si>
  <si>
    <t>39</t>
  </si>
  <si>
    <t>E.V.S.103</t>
  </si>
  <si>
    <t>COMPUTER103</t>
  </si>
  <si>
    <t>G.K. / MORAL SCIENCE103</t>
  </si>
  <si>
    <t>19</t>
  </si>
  <si>
    <t>CLEANLINESS103</t>
  </si>
  <si>
    <t>14</t>
  </si>
  <si>
    <t>ARUSHI YADAV</t>
  </si>
  <si>
    <t>CLEANLINESS104</t>
  </si>
  <si>
    <t>211493</t>
  </si>
  <si>
    <t>AMIT YADAV</t>
  </si>
  <si>
    <t>SEETU YADAV</t>
  </si>
  <si>
    <t>483038368937</t>
  </si>
  <si>
    <t>306105957</t>
  </si>
  <si>
    <t>G.K. / MORAL SCIENCE104</t>
  </si>
  <si>
    <t>COMPUTER104</t>
  </si>
  <si>
    <t>E.V.S.104</t>
  </si>
  <si>
    <t>28</t>
  </si>
  <si>
    <t>47</t>
  </si>
  <si>
    <t>ENGLISH (SPECIAL)104</t>
  </si>
  <si>
    <t>42</t>
  </si>
  <si>
    <t>37</t>
  </si>
  <si>
    <t>HINDI (GENERAL)104</t>
  </si>
  <si>
    <t>49</t>
  </si>
  <si>
    <t>AVNI MISHRA</t>
  </si>
  <si>
    <t>HINDI (GENERAL)105</t>
  </si>
  <si>
    <t>211499</t>
  </si>
  <si>
    <t>NAI BASTI GWARIGHAT JABALPUR</t>
  </si>
  <si>
    <t>ARUN MISHRA</t>
  </si>
  <si>
    <t>ANITA MISHRA</t>
  </si>
  <si>
    <t>433122308453</t>
  </si>
  <si>
    <t>312314487</t>
  </si>
  <si>
    <t>120</t>
  </si>
  <si>
    <t>6/18</t>
  </si>
  <si>
    <t>ENGLISH (SPECIAL)105</t>
  </si>
  <si>
    <t>32</t>
  </si>
  <si>
    <t>40</t>
  </si>
  <si>
    <t>E.V.S.105</t>
  </si>
  <si>
    <t>COMPUTER105</t>
  </si>
  <si>
    <t>G.K. / MORAL SCIENCE105</t>
  </si>
  <si>
    <t>CLEANLINESS105</t>
  </si>
  <si>
    <t>12</t>
  </si>
  <si>
    <t>ANANYA PATEL</t>
  </si>
  <si>
    <t>CLEANLINESS106</t>
  </si>
  <si>
    <t>211463</t>
  </si>
  <si>
    <t>A-</t>
  </si>
  <si>
    <t>PADARIYA DUNGARIYA BARBATI JABALPUR</t>
  </si>
  <si>
    <t>SUHIL PATEL</t>
  </si>
  <si>
    <t>PUSHPA PATEL</t>
  </si>
  <si>
    <t>377802737827</t>
  </si>
  <si>
    <t>303971105</t>
  </si>
  <si>
    <t>G.K. / MORAL SCIENCE106</t>
  </si>
  <si>
    <t>COMPUTER106</t>
  </si>
  <si>
    <t>E.V.S.106</t>
  </si>
  <si>
    <t>ENGLISH (SPECIAL)106</t>
  </si>
  <si>
    <t>HINDI (GENERAL)106</t>
  </si>
  <si>
    <t>ANSHITA BARMAN</t>
  </si>
  <si>
    <t>HINDI (GENERAL)107</t>
  </si>
  <si>
    <t>41</t>
  </si>
  <si>
    <t>211604</t>
  </si>
  <si>
    <t>GOLU BARMAN</t>
  </si>
  <si>
    <t>INTA BARMAN</t>
  </si>
  <si>
    <t>937227123999</t>
  </si>
  <si>
    <t>303262551</t>
  </si>
  <si>
    <t>124</t>
  </si>
  <si>
    <t>ENGLISH (SPECIAL)107</t>
  </si>
  <si>
    <t>48</t>
  </si>
  <si>
    <t>E.V.S.107</t>
  </si>
  <si>
    <t>COMPUTER107</t>
  </si>
  <si>
    <t>G.K. / MORAL SCIENCE107</t>
  </si>
  <si>
    <t>CLEANLINESS107</t>
  </si>
  <si>
    <t>CHANDNI BARMAN</t>
  </si>
  <si>
    <t>CLEANLINESS108</t>
  </si>
  <si>
    <t>211492</t>
  </si>
  <si>
    <t>DURGA NAGAR BHATAULI GWARIGHAT</t>
  </si>
  <si>
    <t>RITUL BARMAN</t>
  </si>
  <si>
    <t>SUREKHA  BARMAN</t>
  </si>
  <si>
    <t>298536351695</t>
  </si>
  <si>
    <t>303200991</t>
  </si>
  <si>
    <t>G.K. / MORAL SCIENCE108</t>
  </si>
  <si>
    <t>COMPUTER108</t>
  </si>
  <si>
    <t>E.V.S.108</t>
  </si>
  <si>
    <t>ENGLISH (SPECIAL)108</t>
  </si>
  <si>
    <t>HINDI (GENERAL)108</t>
  </si>
  <si>
    <t>HINDI (GENERAL)109</t>
  </si>
  <si>
    <t>*11</t>
  </si>
  <si>
    <t>B+</t>
  </si>
  <si>
    <t>DURGA NAGAR BHATOLI GWARIGHAT JABALPUR</t>
  </si>
  <si>
    <t>121</t>
  </si>
  <si>
    <t>ENGLISH (SPECIAL)109</t>
  </si>
  <si>
    <t>*05</t>
  </si>
  <si>
    <t>Ab</t>
  </si>
  <si>
    <t>E.V.S.109</t>
  </si>
  <si>
    <t>COMPUTER109</t>
  </si>
  <si>
    <t>G.K. / MORAL SCIENCE109</t>
  </si>
  <si>
    <t>CLEANLINESS109</t>
  </si>
  <si>
    <t>DEVANSH SINGH</t>
  </si>
  <si>
    <t>CLEANLINESS110</t>
  </si>
  <si>
    <t>211460</t>
  </si>
  <si>
    <t>DURGA NAGAR BHATAULI GWARIGHAT JABALPUR</t>
  </si>
  <si>
    <t>UMESH SINGH</t>
  </si>
  <si>
    <t>PRIYANKA SINGH</t>
  </si>
  <si>
    <t>432825477205</t>
  </si>
  <si>
    <t>311281233</t>
  </si>
  <si>
    <t>114</t>
  </si>
  <si>
    <t>G.K. / MORAL SCIENCE110</t>
  </si>
  <si>
    <t>COMPUTER110</t>
  </si>
  <si>
    <t>E.V.S.110</t>
  </si>
  <si>
    <t>ENGLISH (SPECIAL)110</t>
  </si>
  <si>
    <t>HINDI (GENERAL)110</t>
  </si>
  <si>
    <t>GOURAV VISHWAKARMA</t>
  </si>
  <si>
    <t>HINDI (GENERAL)111</t>
  </si>
  <si>
    <t>211503</t>
  </si>
  <si>
    <t>O+</t>
  </si>
  <si>
    <t>YAGNARAYAN VISHWAKARMA</t>
  </si>
  <si>
    <t>SHUSHILA VISHWAKARMA</t>
  </si>
  <si>
    <t>438013593686</t>
  </si>
  <si>
    <t>307610330</t>
  </si>
  <si>
    <t>ENGLISH (SPECIAL)111</t>
  </si>
  <si>
    <t>E.V.S.111</t>
  </si>
  <si>
    <t>COMPUTER111</t>
  </si>
  <si>
    <t>G.K. / MORAL SCIENCE111</t>
  </si>
  <si>
    <t>CLEANLINESS111</t>
  </si>
  <si>
    <t>HARDIK PRADHAN</t>
  </si>
  <si>
    <t>CLEANLINESS112</t>
  </si>
  <si>
    <t>211509</t>
  </si>
  <si>
    <t>PURANI BASTI GWARIGHAT JABALPUR</t>
  </si>
  <si>
    <t>AMBRESH PRADHAN</t>
  </si>
  <si>
    <t>SHASHI PRADHAN</t>
  </si>
  <si>
    <t>775054083189</t>
  </si>
  <si>
    <t>305105242</t>
  </si>
  <si>
    <t>128</t>
  </si>
  <si>
    <t>G.K. / MORAL SCIENCE112</t>
  </si>
  <si>
    <t>COMPUTER112</t>
  </si>
  <si>
    <t>E.V.S.112</t>
  </si>
  <si>
    <t>*04</t>
  </si>
  <si>
    <t>ENGLISH (SPECIAL)112</t>
  </si>
  <si>
    <t>*14</t>
  </si>
  <si>
    <t>HINDI (GENERAL)112</t>
  </si>
  <si>
    <t>JAY YADAV</t>
  </si>
  <si>
    <t>HINDI (GENERAL)113</t>
  </si>
  <si>
    <t>211585</t>
  </si>
  <si>
    <t>-</t>
  </si>
  <si>
    <t>ASHISH YADAV</t>
  </si>
  <si>
    <t>MANISHA YADAV</t>
  </si>
  <si>
    <t>344285145824</t>
  </si>
  <si>
    <t>ENGLISH (SPECIAL)113</t>
  </si>
  <si>
    <t>E.V.S.113</t>
  </si>
  <si>
    <t>50</t>
  </si>
  <si>
    <t>COMPUTER113</t>
  </si>
  <si>
    <t>G.K. / MORAL SCIENCE113</t>
  </si>
  <si>
    <t>CLEANLINESS113</t>
  </si>
  <si>
    <t>JIA JATAV</t>
  </si>
  <si>
    <t>CLEANLINESS114</t>
  </si>
  <si>
    <t>211606</t>
  </si>
  <si>
    <t>DEV NARAYAN JATAV</t>
  </si>
  <si>
    <t>VANDANA JATAV</t>
  </si>
  <si>
    <t>947078384770</t>
  </si>
  <si>
    <t>315080211</t>
  </si>
  <si>
    <t>125</t>
  </si>
  <si>
    <t>G.K. / MORAL SCIENCE114</t>
  </si>
  <si>
    <t>COMPUTER114</t>
  </si>
  <si>
    <t>E.V.S.114</t>
  </si>
  <si>
    <t>ENGLISH (SPECIAL)114</t>
  </si>
  <si>
    <t>*08</t>
  </si>
  <si>
    <t>HINDI (GENERAL)114</t>
  </si>
  <si>
    <t>KARTIK DONGRE</t>
  </si>
  <si>
    <t>HINDI (GENERAL)115</t>
  </si>
  <si>
    <t>*06</t>
  </si>
  <si>
    <t>211616</t>
  </si>
  <si>
    <t>SHIVNANDAN DONGRE</t>
  </si>
  <si>
    <t>SATYABHAMA DONGRE</t>
  </si>
  <si>
    <t>420587741568</t>
  </si>
  <si>
    <t>307741136</t>
  </si>
  <si>
    <t>123</t>
  </si>
  <si>
    <t>ENGLISH (SPECIAL)115</t>
  </si>
  <si>
    <t>*13</t>
  </si>
  <si>
    <t>E.V.S.115</t>
  </si>
  <si>
    <t>*00</t>
  </si>
  <si>
    <t>COMPUTER115</t>
  </si>
  <si>
    <t>G.K. / MORAL SCIENCE115</t>
  </si>
  <si>
    <t>CLEANLINESS115</t>
  </si>
  <si>
    <t>KRISHNA JHARIYA</t>
  </si>
  <si>
    <t>CLEANLINESS116</t>
  </si>
  <si>
    <t>G.K. / MORAL SCIENCE116</t>
  </si>
  <si>
    <t>COMPUTER116</t>
  </si>
  <si>
    <t>E.V.S.116</t>
  </si>
  <si>
    <t>ENGLISH (SPECIAL)116</t>
  </si>
  <si>
    <t>HINDI (GENERAL)116</t>
  </si>
  <si>
    <t>MOHIT AHIRWAR</t>
  </si>
  <si>
    <t>HINDI (GENERAL)117</t>
  </si>
  <si>
    <t>211478</t>
  </si>
  <si>
    <t>RAJKUMAR AHIRWAR</t>
  </si>
  <si>
    <t>DEEPA AHIRWAR</t>
  </si>
  <si>
    <t>293527318784</t>
  </si>
  <si>
    <t>199616715</t>
  </si>
  <si>
    <t>ENGLISH (SPECIAL)117</t>
  </si>
  <si>
    <t>*16</t>
  </si>
  <si>
    <t>E.V.S.117</t>
  </si>
  <si>
    <t>COMPUTER117</t>
  </si>
  <si>
    <t>G.K. / MORAL SCIENCE117</t>
  </si>
  <si>
    <t>CLEANLINESS117</t>
  </si>
  <si>
    <t>MEESA JHARIYA</t>
  </si>
  <si>
    <t>CLEANLINESS118</t>
  </si>
  <si>
    <t>211458</t>
  </si>
  <si>
    <t>MANISH JHARIYA</t>
  </si>
  <si>
    <t>POOJA JHARIYA</t>
  </si>
  <si>
    <t>824551495144</t>
  </si>
  <si>
    <t>305827002</t>
  </si>
  <si>
    <t>G.K. / MORAL SCIENCE118</t>
  </si>
  <si>
    <t>COMPUTER118</t>
  </si>
  <si>
    <t>E.V.S.118</t>
  </si>
  <si>
    <t>ENGLISH (SPECIAL)118</t>
  </si>
  <si>
    <t>HINDI (GENERAL)118</t>
  </si>
  <si>
    <t>MOKSHITA CHOUDHARY</t>
  </si>
  <si>
    <t>HINDI (GENERAL)119</t>
  </si>
  <si>
    <t>211484</t>
  </si>
  <si>
    <t>MUKESH CHOUDHARY</t>
  </si>
  <si>
    <t>LAXMI CHOUDHARY</t>
  </si>
  <si>
    <t>972717285252</t>
  </si>
  <si>
    <t>199311729</t>
  </si>
  <si>
    <t>ENGLISH (SPECIAL)119</t>
  </si>
  <si>
    <t>E.V.S.119</t>
  </si>
  <si>
    <t>*07</t>
  </si>
  <si>
    <t>COMPUTER119</t>
  </si>
  <si>
    <t>G.K. / MORAL SCIENCE119</t>
  </si>
  <si>
    <t>CLEANLINESS119</t>
  </si>
  <si>
    <t>CLEANLINESS120</t>
  </si>
  <si>
    <t>G.K. / MORAL SCIENCE120</t>
  </si>
  <si>
    <t>COMPUTER120</t>
  </si>
  <si>
    <t>E.V.S.120</t>
  </si>
  <si>
    <t>ENGLISH (SPECIAL)120</t>
  </si>
  <si>
    <t>HINDI (GENERAL)120</t>
  </si>
  <si>
    <t>NANDINI PATEL</t>
  </si>
  <si>
    <t>HINDI (GENERAL)121</t>
  </si>
  <si>
    <t>211461</t>
  </si>
  <si>
    <t>IMRAT LAL PATEL</t>
  </si>
  <si>
    <t>NEELAM PATEL</t>
  </si>
  <si>
    <t>568235931839</t>
  </si>
  <si>
    <t>200687534</t>
  </si>
  <si>
    <t>127</t>
  </si>
  <si>
    <t>ENGLISH (SPECIAL)121</t>
  </si>
  <si>
    <t>E.V.S.121</t>
  </si>
  <si>
    <t>COMPUTER121</t>
  </si>
  <si>
    <t>G.K. / MORAL SCIENCE121</t>
  </si>
  <si>
    <t>CLEANLINESS121</t>
  </si>
  <si>
    <t>NIDHI DHURVE</t>
  </si>
  <si>
    <t>CLEANLINESS122</t>
  </si>
  <si>
    <t>211455</t>
  </si>
  <si>
    <t>NEAR MUKTI DHAM GWARIGHAT JABALPUR</t>
  </si>
  <si>
    <t>DEEPAK DHURVE</t>
  </si>
  <si>
    <t>REENA DHURVE</t>
  </si>
  <si>
    <t>565091620836</t>
  </si>
  <si>
    <t>307121128</t>
  </si>
  <si>
    <t>113</t>
  </si>
  <si>
    <t>G.K. / MORAL SCIENCE122</t>
  </si>
  <si>
    <t>COMPUTER122</t>
  </si>
  <si>
    <t>E.V.S.122</t>
  </si>
  <si>
    <t>45</t>
  </si>
  <si>
    <t>ENGLISH (SPECIAL)122</t>
  </si>
  <si>
    <t>HINDI (GENERAL)122</t>
  </si>
  <si>
    <t>PRITI CHANDRAWANSHI</t>
  </si>
  <si>
    <t>HINDI (GENERAL)123</t>
  </si>
  <si>
    <t>211519</t>
  </si>
  <si>
    <t>DURGA NAGAR GWARIGHAT JABALPUR</t>
  </si>
  <si>
    <t>RAGHUNATH CHANDRAWANSHI</t>
  </si>
  <si>
    <t>GEETA CHANDRAWANSHI</t>
  </si>
  <si>
    <t>477381020152</t>
  </si>
  <si>
    <t>197285721</t>
  </si>
  <si>
    <t>ENGLISH (SPECIAL)123</t>
  </si>
  <si>
    <t>E.V.S.123</t>
  </si>
  <si>
    <t>COMPUTER123</t>
  </si>
  <si>
    <t>G.K. / MORAL SCIENCE123</t>
  </si>
  <si>
    <t>CLEANLINESS123</t>
  </si>
  <si>
    <t>PRIYANSH CHOUDHARY</t>
  </si>
  <si>
    <t>CLEANLINESS124</t>
  </si>
  <si>
    <t>211476</t>
  </si>
  <si>
    <t>PUSHPRAJ CHOUDHARY</t>
  </si>
  <si>
    <t>SUSHMA CHOUDHARY</t>
  </si>
  <si>
    <t>983124014269</t>
  </si>
  <si>
    <t>310341663</t>
  </si>
  <si>
    <t>119</t>
  </si>
  <si>
    <t>G.K. / MORAL SCIENCE124</t>
  </si>
  <si>
    <t>COMPUTER124</t>
  </si>
  <si>
    <t>E.V.S.124</t>
  </si>
  <si>
    <t>ENGLISH (SPECIAL)124</t>
  </si>
  <si>
    <t>HINDI (GENERAL)124</t>
  </si>
  <si>
    <t>RITIKA CHOUDHARY</t>
  </si>
  <si>
    <t>HINDI (GENERAL)125</t>
  </si>
  <si>
    <t>211474</t>
  </si>
  <si>
    <t>RAKESH CHOUDHARY</t>
  </si>
  <si>
    <t>JYOTI  CHOUDHARY</t>
  </si>
  <si>
    <t>216951142662</t>
  </si>
  <si>
    <t>309775838</t>
  </si>
  <si>
    <t>ENGLISH (SPECIAL)125</t>
  </si>
  <si>
    <t>E.V.S.125</t>
  </si>
  <si>
    <t>COMPUTER125</t>
  </si>
  <si>
    <t>G.K. / MORAL SCIENCE125</t>
  </si>
  <si>
    <t>CLEANLINESS125</t>
  </si>
  <si>
    <t>ROOPALI BAIRAGI</t>
  </si>
  <si>
    <t>CLEANLINESS126</t>
  </si>
  <si>
    <t>211481</t>
  </si>
  <si>
    <t>O-</t>
  </si>
  <si>
    <t>JILEHARIGHAT GWARIGHAT JABALPUR</t>
  </si>
  <si>
    <t>RAVI KUMAR BAIRAGI</t>
  </si>
  <si>
    <t>ANUSUIYA BAIRAGI</t>
  </si>
  <si>
    <t>731462918470</t>
  </si>
  <si>
    <t>309538932</t>
  </si>
  <si>
    <t>G.K. / MORAL SCIENCE126</t>
  </si>
  <si>
    <t>COMPUTER126</t>
  </si>
  <si>
    <t>E.V.S.126</t>
  </si>
  <si>
    <t>ENGLISH (SPECIAL)126</t>
  </si>
  <si>
    <t>HINDI (GENERAL)126</t>
  </si>
  <si>
    <t>RISHABH AHIRWAR</t>
  </si>
  <si>
    <t>HINDI (GENERAL)127</t>
  </si>
  <si>
    <t>211471</t>
  </si>
  <si>
    <t>BAGDA DAFAI POLIPATHAR GWARIGHAT JABALPUR</t>
  </si>
  <si>
    <t>ANAND AHIRWAR</t>
  </si>
  <si>
    <t>SANGEETA AHIRWAR</t>
  </si>
  <si>
    <t>801550024393</t>
  </si>
  <si>
    <t>308716101</t>
  </si>
  <si>
    <t>ENGLISH (SPECIAL)127</t>
  </si>
  <si>
    <t>E.V.S.127</t>
  </si>
  <si>
    <t>COMPUTER127</t>
  </si>
  <si>
    <t>G.K. / MORAL SCIENCE127</t>
  </si>
  <si>
    <t>CLEANLINESS127</t>
  </si>
  <si>
    <t>RONIT AHIRWAR</t>
  </si>
  <si>
    <t>CLEANLINESS128</t>
  </si>
  <si>
    <t>211517</t>
  </si>
  <si>
    <t>GOPAL AHIRWAR</t>
  </si>
  <si>
    <t>KAMNA  AHIRWAR</t>
  </si>
  <si>
    <t>852768737907</t>
  </si>
  <si>
    <t>312451869</t>
  </si>
  <si>
    <t>G.K. / MORAL SCIENCE128</t>
  </si>
  <si>
    <t>COMPUTER128</t>
  </si>
  <si>
    <t>E.V.S.128</t>
  </si>
  <si>
    <t>ENGLISH (SPECIAL)128</t>
  </si>
  <si>
    <t>HINDI (GENERAL)128</t>
  </si>
  <si>
    <t>RITESH BARMAN</t>
  </si>
  <si>
    <t>HINDI (GENERAL)129</t>
  </si>
  <si>
    <t>211615</t>
  </si>
  <si>
    <t>ANIL BARMAN</t>
  </si>
  <si>
    <t>RAKSHA BARMAN</t>
  </si>
  <si>
    <t>470728572980</t>
  </si>
  <si>
    <t>ENGLISH (SPECIAL)129</t>
  </si>
  <si>
    <t>E.V.S.129</t>
  </si>
  <si>
    <t>COMPUTER129</t>
  </si>
  <si>
    <t>G.K. / MORAL SCIENCE129</t>
  </si>
  <si>
    <t>CLEANLINESS129</t>
  </si>
  <si>
    <t>SAMARTH  KUSHWAHA</t>
  </si>
  <si>
    <t>CLEANLINESS130</t>
  </si>
  <si>
    <t>211488</t>
  </si>
  <si>
    <t>POLIPATHAR COLONY GWARIGHAT JABALPUR</t>
  </si>
  <si>
    <t>ASHISH KUSHWAHA</t>
  </si>
  <si>
    <t>PREETI KUSHWAHA</t>
  </si>
  <si>
    <t>237587102730</t>
  </si>
  <si>
    <t>306022960</t>
  </si>
  <si>
    <t>G.K. / MORAL SCIENCE130</t>
  </si>
  <si>
    <t>COMPUTER130</t>
  </si>
  <si>
    <t>E.V.S.130</t>
  </si>
  <si>
    <t>ENGLISH (SPECIAL)130</t>
  </si>
  <si>
    <t>HINDI (GENERAL)130</t>
  </si>
  <si>
    <t>SHUDHANS VISHWAKARMA</t>
  </si>
  <si>
    <t>HINDI (GENERAL)131</t>
  </si>
  <si>
    <t>211504</t>
  </si>
  <si>
    <t>GWARIGHAT JABALPUR</t>
  </si>
  <si>
    <t>SUNIL VISHWAKARMA</t>
  </si>
  <si>
    <t>RADHA VISHWAKARMA</t>
  </si>
  <si>
    <t>516018210625</t>
  </si>
  <si>
    <t>310214889</t>
  </si>
  <si>
    <t>6/6</t>
  </si>
  <si>
    <t>ENGLISH (SPECIAL)131</t>
  </si>
  <si>
    <t>E.V.S.131</t>
  </si>
  <si>
    <t>COMPUTER131</t>
  </si>
  <si>
    <t>G.K. / MORAL SCIENCE131</t>
  </si>
  <si>
    <t>CLEANLINESS131</t>
  </si>
  <si>
    <t>SHIKHA CHOUDHARY</t>
  </si>
  <si>
    <t>CLEANLINESS132</t>
  </si>
  <si>
    <t>211472</t>
  </si>
  <si>
    <t>RANJEET CHOUDHARY</t>
  </si>
  <si>
    <t>753915330235</t>
  </si>
  <si>
    <t>312332237</t>
  </si>
  <si>
    <t>G.K. / MORAL SCIENCE132</t>
  </si>
  <si>
    <t>COMPUTER132</t>
  </si>
  <si>
    <t>E.V.S.132</t>
  </si>
  <si>
    <t>ENGLISH (SPECIAL)132</t>
  </si>
  <si>
    <t>HINDI (GENERAL)132</t>
  </si>
  <si>
    <t>SIDDHI JHARIYA</t>
  </si>
  <si>
    <t>HINDI (GENERAL)133</t>
  </si>
  <si>
    <t>211611</t>
  </si>
  <si>
    <t>ASHISH JHARIYA</t>
  </si>
  <si>
    <t>247574651959</t>
  </si>
  <si>
    <t>304437472</t>
  </si>
  <si>
    <t>ENGLISH (SPECIAL)133</t>
  </si>
  <si>
    <t>E.V.S.133</t>
  </si>
  <si>
    <t>COMPUTER133</t>
  </si>
  <si>
    <t>G.K. / MORAL SCIENCE133</t>
  </si>
  <si>
    <t>CLEANLINESS133</t>
  </si>
  <si>
    <t>SOUMYA DWIVEDI</t>
  </si>
  <si>
    <t>CLEANLINESS134</t>
  </si>
  <si>
    <t>211605</t>
  </si>
  <si>
    <t>1415 LALPUR GWARIGHAT JABALPUR</t>
  </si>
  <si>
    <t>TARUN DWIVEDI</t>
  </si>
  <si>
    <t>928926047155</t>
  </si>
  <si>
    <t>309864221</t>
  </si>
  <si>
    <t>129</t>
  </si>
  <si>
    <t>G.K. / MORAL SCIENCE134</t>
  </si>
  <si>
    <t>COMPUTER134</t>
  </si>
  <si>
    <t>E.V.S.134</t>
  </si>
  <si>
    <t>ENGLISH (SPECIAL)134</t>
  </si>
  <si>
    <t>HINDI (GENERAL)134</t>
  </si>
  <si>
    <t>TANVEER AHIRWAR</t>
  </si>
  <si>
    <t>HINDI (GENERAL)135</t>
  </si>
  <si>
    <t>211636</t>
  </si>
  <si>
    <t>JITENDRA AHIRWAR</t>
  </si>
  <si>
    <t>485674260794</t>
  </si>
  <si>
    <t>305928600</t>
  </si>
  <si>
    <t>122</t>
  </si>
  <si>
    <t>ENGLISH (SPECIAL)135</t>
  </si>
  <si>
    <t>E.V.S.135</t>
  </si>
  <si>
    <t>COMPUTER135</t>
  </si>
  <si>
    <t>G.K. / MORAL SCIENCE135</t>
  </si>
  <si>
    <t>CLEANLINESS135</t>
  </si>
  <si>
    <t>VANSH RAJAK</t>
  </si>
  <si>
    <t>CLEANLINESS136</t>
  </si>
  <si>
    <t>211477</t>
  </si>
  <si>
    <t>AWADHPURI COLONY GWARIGHAT JABALPUR</t>
  </si>
  <si>
    <t>RAJESH KUMAR RAJAK</t>
  </si>
  <si>
    <t>SNEH  LATA RAJAK</t>
  </si>
  <si>
    <t>919421653315</t>
  </si>
  <si>
    <t>307610355</t>
  </si>
  <si>
    <t>116</t>
  </si>
  <si>
    <t>G.K. / MORAL SCIENCE136</t>
  </si>
  <si>
    <t>COMPUTER136</t>
  </si>
  <si>
    <t>E.V.S.136</t>
  </si>
  <si>
    <t>ENGLISH (SPECIAL)136</t>
  </si>
  <si>
    <t>HINDI (GENERAL)136</t>
  </si>
  <si>
    <t>VED KEWAT</t>
  </si>
  <si>
    <t>HINDI (GENERAL)137</t>
  </si>
  <si>
    <t>211464</t>
  </si>
  <si>
    <t>BHARAT KEWAT</t>
  </si>
  <si>
    <t>RANI KEWAT</t>
  </si>
  <si>
    <t>926619965505</t>
  </si>
  <si>
    <t>305404700</t>
  </si>
  <si>
    <t>ENGLISH (SPECIAL)137</t>
  </si>
  <si>
    <t>E.V.S.137</t>
  </si>
  <si>
    <t>COMPUTER137</t>
  </si>
  <si>
    <t>G.K. / MORAL SCIENCE137</t>
  </si>
  <si>
    <t>CLEANLINESS137</t>
  </si>
  <si>
    <t>VEER KESHARWANI</t>
  </si>
  <si>
    <t>CLEANLINESS138</t>
  </si>
  <si>
    <t>211470</t>
  </si>
  <si>
    <t>BADSHAH HALWAI MANDIR GWARIGHAT JABALPUR</t>
  </si>
  <si>
    <t>VIJAY KESHARWANI</t>
  </si>
  <si>
    <t>REETA KESHARWANI</t>
  </si>
  <si>
    <t>201769220822</t>
  </si>
  <si>
    <t>305842696</t>
  </si>
  <si>
    <t>134</t>
  </si>
  <si>
    <t>G.K. / MORAL SCIENCE138</t>
  </si>
  <si>
    <t>COMPUTER138</t>
  </si>
  <si>
    <t>E.V.S.138</t>
  </si>
  <si>
    <t>ENGLISH (SPECIAL)138</t>
  </si>
  <si>
    <t>HINDI (GENERAL)138</t>
  </si>
  <si>
    <t>VYAPAK GAJBHIYE</t>
  </si>
  <si>
    <t>HINDI (GENERAL)139</t>
  </si>
  <si>
    <t>211510</t>
  </si>
  <si>
    <t>NEAR MUKTIDHAM GWARIGHAT JABALPUR</t>
  </si>
  <si>
    <t>RAKESH GAJBHIYE</t>
  </si>
  <si>
    <t>MONIKA GAJBHIYE</t>
  </si>
  <si>
    <t>433543401150</t>
  </si>
  <si>
    <t>304324133</t>
  </si>
  <si>
    <t>ENGLISH (SPECIAL)139</t>
  </si>
  <si>
    <t>E.V.S.139</t>
  </si>
  <si>
    <t>COMPUTER139</t>
  </si>
  <si>
    <t>G.K. / MORAL SCIENCE139</t>
  </si>
  <si>
    <t>CLEANLINESS139</t>
  </si>
  <si>
    <t>YOGITA SAHU</t>
  </si>
  <si>
    <t>CLEANLINESS140</t>
  </si>
  <si>
    <t>211511</t>
  </si>
  <si>
    <t>PRADEEP KUMAR SAHU</t>
  </si>
  <si>
    <t>PINKY SAHU</t>
  </si>
  <si>
    <t>959612888140</t>
  </si>
  <si>
    <t>170205044</t>
  </si>
  <si>
    <t>G.K. / MORAL SCIENCE140</t>
  </si>
  <si>
    <t>COMPUTER140</t>
  </si>
  <si>
    <t>E.V.S.140</t>
  </si>
  <si>
    <t>ENGLISH (SPECIAL)140</t>
  </si>
  <si>
    <t>HINDI (GENERAL)140</t>
  </si>
  <si>
    <t>SHAILI KOL</t>
  </si>
  <si>
    <t>211500</t>
  </si>
  <si>
    <t>P.P.COLONY MUNDA QUATAR GWARIGHAT JABALPUR</t>
  </si>
  <si>
    <t>ASHOK KUMAR KOL</t>
  </si>
  <si>
    <t>PRITI KOL</t>
  </si>
  <si>
    <t>510515508007</t>
  </si>
  <si>
    <t>305826972</t>
  </si>
  <si>
    <t>*02</t>
  </si>
  <si>
    <t>LAXMI NARWARIYA</t>
  </si>
  <si>
    <t>211562</t>
  </si>
  <si>
    <t>LAKHAN LAL NARWARIYA</t>
  </si>
  <si>
    <t>787049600750</t>
  </si>
  <si>
    <t>300723870</t>
  </si>
  <si>
    <t>TANVI VISHWAKARMA</t>
  </si>
  <si>
    <t>211467</t>
  </si>
  <si>
    <t>RAVI KUMAR VISHWAKARMA</t>
  </si>
  <si>
    <t>SANGEETA VISHWAKARMA</t>
  </si>
  <si>
    <t>738274048494</t>
  </si>
  <si>
    <t>309967956</t>
  </si>
  <si>
    <t>ALISHA SARATHE</t>
  </si>
  <si>
    <t>Class IIA</t>
  </si>
  <si>
    <t>HINDI (GENERAL)201</t>
  </si>
  <si>
    <t>211457</t>
  </si>
  <si>
    <t>SANGEETA  SARATHE</t>
  </si>
  <si>
    <t>776407634413</t>
  </si>
  <si>
    <t>305869361</t>
  </si>
  <si>
    <t>ENGLISH (SPECIAL)201</t>
  </si>
  <si>
    <t>MATHS201</t>
  </si>
  <si>
    <t>E.V.S.201</t>
  </si>
  <si>
    <t>ANKITA AHIRWAR</t>
  </si>
  <si>
    <t>211466</t>
  </si>
  <si>
    <t>GRAM JILEHARI GWARIGHAT JABALPUR</t>
  </si>
  <si>
    <t>VIJAY AHIRWAR</t>
  </si>
  <si>
    <t>POOJA AHIRWAR</t>
  </si>
  <si>
    <t>525223005112</t>
  </si>
  <si>
    <t>303327069</t>
  </si>
  <si>
    <t>E.V.S.202</t>
  </si>
  <si>
    <t>MATHS202</t>
  </si>
  <si>
    <t>ENGLISH (SPECIAL)202</t>
  </si>
  <si>
    <t>HINDI (GENERAL)202</t>
  </si>
  <si>
    <t>ANUSHAKA JHARIYA</t>
  </si>
  <si>
    <t>HINDI (GENERAL)203</t>
  </si>
  <si>
    <t>211462</t>
  </si>
  <si>
    <t>DURGA NAGAR BHATOLI JABALPUR GWARIGHAT</t>
  </si>
  <si>
    <t>SURAJ JHARIYA</t>
  </si>
  <si>
    <t>AMRITA JHARIYA</t>
  </si>
  <si>
    <t>866004639700</t>
  </si>
  <si>
    <t>304095437</t>
  </si>
  <si>
    <t>ENGLISH (SPECIAL)203</t>
  </si>
  <si>
    <t>MATHS203</t>
  </si>
  <si>
    <t>E.V.S.203</t>
  </si>
  <si>
    <t>211498</t>
  </si>
  <si>
    <t>NAI BASTI CHUNGI CHOUKI,BHATAULI</t>
  </si>
  <si>
    <t>GOVIND BARMAN</t>
  </si>
  <si>
    <t>SANGEETA BARMAN</t>
  </si>
  <si>
    <t>811004859528</t>
  </si>
  <si>
    <t>301283967</t>
  </si>
  <si>
    <t>E.V.S.204</t>
  </si>
  <si>
    <t>MATHS204</t>
  </si>
  <si>
    <t>ENGLISH (SPECIAL)204</t>
  </si>
  <si>
    <t>HINDI (GENERAL)204</t>
  </si>
  <si>
    <t>ARADHYA RAJPUT</t>
  </si>
  <si>
    <t>HINDI (GENERAL)205</t>
  </si>
  <si>
    <t>211600</t>
  </si>
  <si>
    <t>1821 POLIPATHAR GWARIGHAT JABALPUR</t>
  </si>
  <si>
    <t>VIJAY RAJPUT</t>
  </si>
  <si>
    <t>JANKI RAJPUT</t>
  </si>
  <si>
    <t>842538129991</t>
  </si>
  <si>
    <t>200687497</t>
  </si>
  <si>
    <t>ENGLISH (SPECIAL)205</t>
  </si>
  <si>
    <t>MATHS205</t>
  </si>
  <si>
    <t>E.V.S.205</t>
  </si>
  <si>
    <t>AMBIKA KUSHWAHA</t>
  </si>
  <si>
    <t>211550</t>
  </si>
  <si>
    <t>SAKET DHAM GWARIGHAT JABALPUR</t>
  </si>
  <si>
    <t>RAKESH KUMAR</t>
  </si>
  <si>
    <t>LEELA DEVI</t>
  </si>
  <si>
    <t>428564257192</t>
  </si>
  <si>
    <t>135</t>
  </si>
  <si>
    <t>E.V.S.206</t>
  </si>
  <si>
    <t>MATHS206</t>
  </si>
  <si>
    <t>ENGLISH (SPECIAL)206</t>
  </si>
  <si>
    <t>HINDI (GENERAL)206</t>
  </si>
  <si>
    <t>ANSH SONDHIYA</t>
  </si>
  <si>
    <t>HINDI (GENERAL)207</t>
  </si>
  <si>
    <t>211491</t>
  </si>
  <si>
    <t>81 LALPUR ROAD GWARIGHAT JABALPUR</t>
  </si>
  <si>
    <t>AKASH SONDHIYA</t>
  </si>
  <si>
    <t>SHRADDHA SONDHIYA</t>
  </si>
  <si>
    <t>835017548361</t>
  </si>
  <si>
    <t>310317710</t>
  </si>
  <si>
    <t>ENGLISH (SPECIAL)207</t>
  </si>
  <si>
    <t>MATHS207</t>
  </si>
  <si>
    <t>E.V.S.207</t>
  </si>
  <si>
    <t>ABHAY SINGH LODHI</t>
  </si>
  <si>
    <t>1433</t>
  </si>
  <si>
    <t>ARVIND SINGH LODHI</t>
  </si>
  <si>
    <t>KANTI LODHI</t>
  </si>
  <si>
    <t>895284056638</t>
  </si>
  <si>
    <t>306430709</t>
  </si>
  <si>
    <t>E.V.S.208</t>
  </si>
  <si>
    <t>MATHS208</t>
  </si>
  <si>
    <t>ENGLISH (SPECIAL)208</t>
  </si>
  <si>
    <t>HINDI (GENERAL)208</t>
  </si>
  <si>
    <t>DEVANSH SINGH LODHI</t>
  </si>
  <si>
    <t>HINDI (GENERAL)209</t>
  </si>
  <si>
    <t>211482</t>
  </si>
  <si>
    <t>LALPUR ,GWARIGHAT</t>
  </si>
  <si>
    <t>DEEPAK SINGH LODHI</t>
  </si>
  <si>
    <t>BABITA LODHI</t>
  </si>
  <si>
    <t>216234585877</t>
  </si>
  <si>
    <t>300632782</t>
  </si>
  <si>
    <t>ENGLISH (SPECIAL)209</t>
  </si>
  <si>
    <t>MATHS209</t>
  </si>
  <si>
    <t>E.V.S.209</t>
  </si>
  <si>
    <t>HARSHALI CHOUKEY</t>
  </si>
  <si>
    <t>211583</t>
  </si>
  <si>
    <t>I-38 AWADHPURI COLONY GWARIGHAT JABALPUR</t>
  </si>
  <si>
    <t>RAKESH CHOUKEY</t>
  </si>
  <si>
    <t>549257537752</t>
  </si>
  <si>
    <t>315860865</t>
  </si>
  <si>
    <t>E.V.S.210</t>
  </si>
  <si>
    <t>MATHS210</t>
  </si>
  <si>
    <t>ENGLISH (SPECIAL)210</t>
  </si>
  <si>
    <t>HINDI (GENERAL)210</t>
  </si>
  <si>
    <t>HARSHIT GOUND</t>
  </si>
  <si>
    <t>HINDI (GENERAL)211</t>
  </si>
  <si>
    <t>211613</t>
  </si>
  <si>
    <t>BHALLA COLONY GWARIGHAT JABALPUR</t>
  </si>
  <si>
    <t>SANTRAM GOUND</t>
  </si>
  <si>
    <t>GEETA GOUND</t>
  </si>
  <si>
    <t>636406737145</t>
  </si>
  <si>
    <t>309289603</t>
  </si>
  <si>
    <t>ENGLISH (SPECIAL)211</t>
  </si>
  <si>
    <t>MATHS211</t>
  </si>
  <si>
    <t>E.V.S.211</t>
  </si>
  <si>
    <t>JAGRITI KAKODIYA</t>
  </si>
  <si>
    <t>211584</t>
  </si>
  <si>
    <t>BHATOULI DURGANAGAR GWARIGHAT JABALPUR</t>
  </si>
  <si>
    <t>JEL SINGH KAKODIYA</t>
  </si>
  <si>
    <t>MANISHA  KAKODIYA</t>
  </si>
  <si>
    <t>685509838803</t>
  </si>
  <si>
    <t>307808209</t>
  </si>
  <si>
    <t>E.V.S.212</t>
  </si>
  <si>
    <t>MATHS212</t>
  </si>
  <si>
    <t>ENGLISH (SPECIAL)212</t>
  </si>
  <si>
    <t>HINDI (GENERAL)212</t>
  </si>
  <si>
    <t>KAVITA AHIRWAR</t>
  </si>
  <si>
    <t>HINDI (GENERAL)213</t>
  </si>
  <si>
    <t>211582</t>
  </si>
  <si>
    <t>RAMLALA MANDIR GWARIGHAT JABALPUR</t>
  </si>
  <si>
    <t>SANTOSH AHIRWAR</t>
  </si>
  <si>
    <t>SARITA AHIRWAR</t>
  </si>
  <si>
    <t>492082142617</t>
  </si>
  <si>
    <t>309929245</t>
  </si>
  <si>
    <t>136</t>
  </si>
  <si>
    <t>ENGLISH (SPECIAL)213</t>
  </si>
  <si>
    <t>MATHS213</t>
  </si>
  <si>
    <t>E.V.S.213</t>
  </si>
  <si>
    <t>KESHAV SEN</t>
  </si>
  <si>
    <t>211507</t>
  </si>
  <si>
    <t>SAMADPIPARIYA DURGA MANDIR MOHAS</t>
  </si>
  <si>
    <t>MANOJ SEN</t>
  </si>
  <si>
    <t>VINITA SEN</t>
  </si>
  <si>
    <t>879451331585</t>
  </si>
  <si>
    <t>303443268</t>
  </si>
  <si>
    <t>E.V.S.214</t>
  </si>
  <si>
    <t>MATHS214</t>
  </si>
  <si>
    <t>ENGLISH (SPECIAL)214</t>
  </si>
  <si>
    <t>HINDI (GENERAL)214</t>
  </si>
  <si>
    <t>LAKSHYA RAJAK</t>
  </si>
  <si>
    <t>HINDI (GENERAL)215</t>
  </si>
  <si>
    <t>211485</t>
  </si>
  <si>
    <t>HALWAI BADSHAH MANDIR PATEL MOHALLA GWARIGHAT JABALPUR</t>
  </si>
  <si>
    <t>NARESH  KUMAR  RAJAK</t>
  </si>
  <si>
    <t>SUMAN RAJAK</t>
  </si>
  <si>
    <t>437062331561</t>
  </si>
  <si>
    <t>312375237</t>
  </si>
  <si>
    <t>ENGLISH (SPECIAL)215</t>
  </si>
  <si>
    <t>MATHS215</t>
  </si>
  <si>
    <t>E.V.S.215</t>
  </si>
  <si>
    <t>NAINCY JHARIYA</t>
  </si>
  <si>
    <t>211620</t>
  </si>
  <si>
    <t>SURENDRA  JHARIYA</t>
  </si>
  <si>
    <t>276998216776</t>
  </si>
  <si>
    <t>200119779</t>
  </si>
  <si>
    <t>E.V.S.216</t>
  </si>
  <si>
    <t>*03</t>
  </si>
  <si>
    <t>MATHS216</t>
  </si>
  <si>
    <t>ENGLISH (SPECIAL)216</t>
  </si>
  <si>
    <t>HINDI (GENERAL)216</t>
  </si>
  <si>
    <t>OM JHARIYA</t>
  </si>
  <si>
    <t>HINDI (GENERAL)217</t>
  </si>
  <si>
    <t>211501</t>
  </si>
  <si>
    <t>SHYAMU JHARIYA</t>
  </si>
  <si>
    <t>SUSHILA JHARIYA</t>
  </si>
  <si>
    <t>234779729019</t>
  </si>
  <si>
    <t>ENGLISH (SPECIAL)217</t>
  </si>
  <si>
    <t>MATHS217</t>
  </si>
  <si>
    <t>E.V.S.217</t>
  </si>
  <si>
    <t>PURNIMA JHARIYA</t>
  </si>
  <si>
    <t>211473</t>
  </si>
  <si>
    <t>DURGA NAGAR GWARIGHAT</t>
  </si>
  <si>
    <t>MAHENDRA JHARIYA</t>
  </si>
  <si>
    <t>711427508060</t>
  </si>
  <si>
    <t>308920066</t>
  </si>
  <si>
    <t>E.V.S.218</t>
  </si>
  <si>
    <t>MATHS218</t>
  </si>
  <si>
    <t>ENGLISH (SPECIAL)218</t>
  </si>
  <si>
    <t>HINDI (GENERAL)218</t>
  </si>
  <si>
    <t>PRAGYA MOTHA</t>
  </si>
  <si>
    <t>HINDI (GENERAL)219</t>
  </si>
  <si>
    <t>211551</t>
  </si>
  <si>
    <t>GWRAIGHAT JABALPUR</t>
  </si>
  <si>
    <t>VINOD MOTHA</t>
  </si>
  <si>
    <t>POOJA MOTHA</t>
  </si>
  <si>
    <t>716832648367</t>
  </si>
  <si>
    <t>309326289</t>
  </si>
  <si>
    <t>ENGLISH (SPECIAL)219</t>
  </si>
  <si>
    <t>MATHS219</t>
  </si>
  <si>
    <t>E.V.S.219</t>
  </si>
  <si>
    <t>RISHI PASI</t>
  </si>
  <si>
    <t>211497</t>
  </si>
  <si>
    <t>SANT NAGAR,P.P.COLONY GWARIGHAT JABALPUR</t>
  </si>
  <si>
    <t>SUNIL PASI</t>
  </si>
  <si>
    <t>SUMAN PASI</t>
  </si>
  <si>
    <t>263721039923</t>
  </si>
  <si>
    <t>308611802</t>
  </si>
  <si>
    <t>E.V.S.220</t>
  </si>
  <si>
    <t>MATHS220</t>
  </si>
  <si>
    <t>ENGLISH (SPECIAL)220</t>
  </si>
  <si>
    <t>HINDI (GENERAL)220</t>
  </si>
  <si>
    <t>SHAKSHI BAIRAGI</t>
  </si>
  <si>
    <t>HINDI (GENERAL)221</t>
  </si>
  <si>
    <t>211483</t>
  </si>
  <si>
    <t>RAVI  BAIRAGI</t>
  </si>
  <si>
    <t>891947734009</t>
  </si>
  <si>
    <t>ENGLISH (SPECIAL)221</t>
  </si>
  <si>
    <t>MATHS221</t>
  </si>
  <si>
    <t>E.V.S.221</t>
  </si>
  <si>
    <t>SARGUN BHALAVI</t>
  </si>
  <si>
    <t>211456</t>
  </si>
  <si>
    <t>NARMADA NAGAR GWARIGHAT JABALPUR</t>
  </si>
  <si>
    <t>RAGHUVEER BHALAVI</t>
  </si>
  <si>
    <t>PRABHA BHALAVI</t>
  </si>
  <si>
    <t>856931122866</t>
  </si>
  <si>
    <t>301793625</t>
  </si>
  <si>
    <t>E.V.S.222</t>
  </si>
  <si>
    <t>MATHS222</t>
  </si>
  <si>
    <t>ENGLISH (SPECIAL)222</t>
  </si>
  <si>
    <t>HINDI (GENERAL)222</t>
  </si>
  <si>
    <t>HINDI (GENERAL)223</t>
  </si>
  <si>
    <t>211479</t>
  </si>
  <si>
    <t>BHATAULI GWARIGHAT JABALPUR</t>
  </si>
  <si>
    <t>JAGDISH JHARIYA</t>
  </si>
  <si>
    <t>REETA JHARIYA</t>
  </si>
  <si>
    <t>755719645711</t>
  </si>
  <si>
    <t>303590106</t>
  </si>
  <si>
    <t>ENGLISH (SPECIAL)223</t>
  </si>
  <si>
    <t>MATHS223</t>
  </si>
  <si>
    <t>E.V.S.223</t>
  </si>
  <si>
    <t>SONAM JHARIYA</t>
  </si>
  <si>
    <t>211496</t>
  </si>
  <si>
    <t>SANJAY KUMAR JHARIYA</t>
  </si>
  <si>
    <t>487734107693</t>
  </si>
  <si>
    <t>301946805</t>
  </si>
  <si>
    <t>138</t>
  </si>
  <si>
    <t>E.V.S.224</t>
  </si>
  <si>
    <t>MATHS224</t>
  </si>
  <si>
    <t>ENGLISH (SPECIAL)224</t>
  </si>
  <si>
    <t>HINDI (GENERAL)224</t>
  </si>
  <si>
    <t>SWASTI KEWAT</t>
  </si>
  <si>
    <t>HINDI (GENERAL)225</t>
  </si>
  <si>
    <t>211465</t>
  </si>
  <si>
    <t>1822 GWARIGHAT JABALPUR</t>
  </si>
  <si>
    <t>MANISH KEWAT</t>
  </si>
  <si>
    <t>ABHILASHA KEWAT</t>
  </si>
  <si>
    <t>655791797954</t>
  </si>
  <si>
    <t>304281500</t>
  </si>
  <si>
    <t>ENGLISH (SPECIAL)225</t>
  </si>
  <si>
    <t>MATHS225</t>
  </si>
  <si>
    <t>E.V.S.225</t>
  </si>
  <si>
    <t>SHRISTI YADAV</t>
  </si>
  <si>
    <t>211637</t>
  </si>
  <si>
    <t>SUNIL YADAV</t>
  </si>
  <si>
    <t>SUNITA YADAV</t>
  </si>
  <si>
    <t>405954172346</t>
  </si>
  <si>
    <t>E.V.S.226</t>
  </si>
  <si>
    <t>MATHS226</t>
  </si>
  <si>
    <t>ENGLISH (SPECIAL)226</t>
  </si>
  <si>
    <t>HINDI (GENERAL)226</t>
  </si>
  <si>
    <t>HINDI (GENERAL)227</t>
  </si>
  <si>
    <t>211619</t>
  </si>
  <si>
    <t>DURGA NAGAR,GWARIGHAT</t>
  </si>
  <si>
    <t>MANOJ AHIRWAR</t>
  </si>
  <si>
    <t>935141606161</t>
  </si>
  <si>
    <t>308715405</t>
  </si>
  <si>
    <t>ENGLISH (SPECIAL)227</t>
  </si>
  <si>
    <t>MATHS227</t>
  </si>
  <si>
    <t>E.V.S.227</t>
  </si>
  <si>
    <t>E.V.S.228</t>
  </si>
  <si>
    <t>MATHS228</t>
  </si>
  <si>
    <t>ENGLISH (SPECIAL)228</t>
  </si>
  <si>
    <t>HINDI (GENERAL)228</t>
  </si>
  <si>
    <t>VAISHNAVI PATEL</t>
  </si>
  <si>
    <t>HINDI (GENERAL)229</t>
  </si>
  <si>
    <t>211468</t>
  </si>
  <si>
    <t>W-53 HOUSING BOARD SANT NAGAR P.P GWARIGHAT JABALPUR</t>
  </si>
  <si>
    <t>RAMKRAPAL PATEL</t>
  </si>
  <si>
    <t>NEELU PATEL</t>
  </si>
  <si>
    <t>959750208415</t>
  </si>
  <si>
    <t>300140032</t>
  </si>
  <si>
    <t>ENGLISH (SPECIAL)229</t>
  </si>
  <si>
    <t>MATHS229</t>
  </si>
  <si>
    <t>E.V.S.229</t>
  </si>
  <si>
    <t>YASH CHOUDHARY</t>
  </si>
  <si>
    <t>211622</t>
  </si>
  <si>
    <t>1339 RAVINDAS NAGAR JILEHARIGHAT GWARIGHAT JABALPUR</t>
  </si>
  <si>
    <t>VISHNU CHOUDHARY</t>
  </si>
  <si>
    <t>PRIYA CHOUDHARY</t>
  </si>
  <si>
    <t>375775801999</t>
  </si>
  <si>
    <t>301339886</t>
  </si>
  <si>
    <t>131</t>
  </si>
  <si>
    <t>E.V.S.230</t>
  </si>
  <si>
    <t>MATHS230</t>
  </si>
  <si>
    <t>ENGLISH (SPECIAL)230</t>
  </si>
  <si>
    <t>HINDI (GENERAL)230</t>
  </si>
  <si>
    <t>*01</t>
  </si>
  <si>
    <t>HINDI (GENERAL)231</t>
  </si>
  <si>
    <t>ENGLISH (SPECIAL)231</t>
  </si>
  <si>
    <t>MATHS231</t>
  </si>
  <si>
    <t>E.V.S.231</t>
  </si>
  <si>
    <t>Class IIIA</t>
  </si>
  <si>
    <t>HINDI (GENERAL)301</t>
  </si>
  <si>
    <t>ENGLISH (SPECIAL)301</t>
  </si>
  <si>
    <t>MATHS301</t>
  </si>
  <si>
    <t>E.V.S.301</t>
  </si>
  <si>
    <t>COMPUTER301</t>
  </si>
  <si>
    <t>G.K. / MORAL SCIENCE301</t>
  </si>
  <si>
    <t>CLEANLINESS301</t>
  </si>
  <si>
    <t>CLEANLINESS302</t>
  </si>
  <si>
    <t>PREETI PATEL</t>
  </si>
  <si>
    <t>130</t>
  </si>
  <si>
    <t>G.K. / MORAL SCIENCE302</t>
  </si>
  <si>
    <t>COMPUTER302</t>
  </si>
  <si>
    <t>E.V.S.302</t>
  </si>
  <si>
    <t>MATHS302</t>
  </si>
  <si>
    <t>ENGLISH (SPECIAL)302</t>
  </si>
  <si>
    <t>HINDI (GENERAL)302</t>
  </si>
  <si>
    <t>AKARSH BARMAN</t>
  </si>
  <si>
    <t>HINDI (GENERAL)303</t>
  </si>
  <si>
    <t>1434</t>
  </si>
  <si>
    <t>BHATOULI DURGA NAGAR GWARIGHAT</t>
  </si>
  <si>
    <t>KALLU BARMAN</t>
  </si>
  <si>
    <t>URMILA  BARMAN</t>
  </si>
  <si>
    <t>593306213658</t>
  </si>
  <si>
    <t>159219332</t>
  </si>
  <si>
    <t>133</t>
  </si>
  <si>
    <t>ENGLISH (SPECIAL)303</t>
  </si>
  <si>
    <t>MATHS303</t>
  </si>
  <si>
    <t>E.V.S.303</t>
  </si>
  <si>
    <t>COMPUTER303</t>
  </si>
  <si>
    <t>G.K. / MORAL SCIENCE303</t>
  </si>
  <si>
    <t>CLEANLINESS303</t>
  </si>
  <si>
    <t>AKASH BARMAN</t>
  </si>
  <si>
    <t>CLEANLINESS304</t>
  </si>
  <si>
    <t>1435</t>
  </si>
  <si>
    <t>SHYAM LAL BARMAN</t>
  </si>
  <si>
    <t>KIRAN BARMAN</t>
  </si>
  <si>
    <t>536236867385</t>
  </si>
  <si>
    <t>159223640</t>
  </si>
  <si>
    <t>144</t>
  </si>
  <si>
    <t>G.K. / MORAL SCIENCE304</t>
  </si>
  <si>
    <t>COMPUTER304</t>
  </si>
  <si>
    <t>E.V.S.304</t>
  </si>
  <si>
    <t>MATHS304</t>
  </si>
  <si>
    <t>ENGLISH (SPECIAL)304</t>
  </si>
  <si>
    <t>HINDI (GENERAL)304</t>
  </si>
  <si>
    <t>HINDI (GENERAL)305</t>
  </si>
  <si>
    <t>ENGLISH (SPECIAL)305</t>
  </si>
  <si>
    <t>MATHS305</t>
  </si>
  <si>
    <t>E.V.S.305</t>
  </si>
  <si>
    <t>COMPUTER305</t>
  </si>
  <si>
    <t>G.K. / MORAL SCIENCE305</t>
  </si>
  <si>
    <t>CLEANLINESS305</t>
  </si>
  <si>
    <t>CLEANLINESS306</t>
  </si>
  <si>
    <t>NEAR RAILWAY STATION GWARIGHAT JABALPUR</t>
  </si>
  <si>
    <t>G.K. / MORAL SCIENCE306</t>
  </si>
  <si>
    <t>COMPUTER306</t>
  </si>
  <si>
    <t>E.V.S.306</t>
  </si>
  <si>
    <t>MATHS306</t>
  </si>
  <si>
    <t>ENGLISH (SPECIAL)306</t>
  </si>
  <si>
    <t>HINDI (GENERAL)306</t>
  </si>
  <si>
    <t>HINDI (GENERAL)307</t>
  </si>
  <si>
    <t>ENGLISH (SPECIAL)307</t>
  </si>
  <si>
    <t>MATHS307</t>
  </si>
  <si>
    <t>E.V.S.307</t>
  </si>
  <si>
    <t>COMPUTER307</t>
  </si>
  <si>
    <t>G.K. / MORAL SCIENCE307</t>
  </si>
  <si>
    <t>CLEANLINESS307</t>
  </si>
  <si>
    <t>CLEANLINESS308</t>
  </si>
  <si>
    <t>G.K. / MORAL SCIENCE308</t>
  </si>
  <si>
    <t>COMPUTER308</t>
  </si>
  <si>
    <t>E.V.S.308</t>
  </si>
  <si>
    <t>MATHS308</t>
  </si>
  <si>
    <t>ENGLISH (SPECIAL)308</t>
  </si>
  <si>
    <t>HINDI (GENERAL)308</t>
  </si>
  <si>
    <t>HINDI (GENERAL)309</t>
  </si>
  <si>
    <t>ENGLISH (SPECIAL)309</t>
  </si>
  <si>
    <t>MATHS309</t>
  </si>
  <si>
    <t>E.V.S.309</t>
  </si>
  <si>
    <t>COMPUTER309</t>
  </si>
  <si>
    <t>G.K. / MORAL SCIENCE309</t>
  </si>
  <si>
    <t>CLEANLINESS309</t>
  </si>
  <si>
    <t>CLEANLINESS310</t>
  </si>
  <si>
    <t>G.K. / MORAL SCIENCE310</t>
  </si>
  <si>
    <t>COMPUTER310</t>
  </si>
  <si>
    <t>E.V.S.310</t>
  </si>
  <si>
    <t>MATHS310</t>
  </si>
  <si>
    <t>ENGLISH (SPECIAL)310</t>
  </si>
  <si>
    <t>HINDI (GENERAL)310</t>
  </si>
  <si>
    <t>HINDI (GENERAL)311</t>
  </si>
  <si>
    <t>ENGLISH (SPECIAL)311</t>
  </si>
  <si>
    <t>MATHS311</t>
  </si>
  <si>
    <t>E.V.S.311</t>
  </si>
  <si>
    <t>COMPUTER311</t>
  </si>
  <si>
    <t>G.K. / MORAL SCIENCE311</t>
  </si>
  <si>
    <t>CLEANLINESS311</t>
  </si>
  <si>
    <t>CLEANLINESS312</t>
  </si>
  <si>
    <t>NARBADA CHAKRAWARTI</t>
  </si>
  <si>
    <t>SARASWATI CHAKRAWARTI</t>
  </si>
  <si>
    <t>G.K. / MORAL SCIENCE312</t>
  </si>
  <si>
    <t>COMPUTER312</t>
  </si>
  <si>
    <t>E.V.S.312</t>
  </si>
  <si>
    <t>MATHS312</t>
  </si>
  <si>
    <t>ENGLISH (SPECIAL)312</t>
  </si>
  <si>
    <t>HINDI (GENERAL)312</t>
  </si>
  <si>
    <t>KASAK MOURYA</t>
  </si>
  <si>
    <t>HINDI (GENERAL)313</t>
  </si>
  <si>
    <t>211657</t>
  </si>
  <si>
    <t>NAI BASTI LALPUR GWARIGHAT JABALPUR</t>
  </si>
  <si>
    <t>MAHESH MOURYA</t>
  </si>
  <si>
    <t>602401135405</t>
  </si>
  <si>
    <t>304639352</t>
  </si>
  <si>
    <t>ENGLISH (SPECIAL)313</t>
  </si>
  <si>
    <t>MATHS313</t>
  </si>
  <si>
    <t>E.V.S.313</t>
  </si>
  <si>
    <t>COMPUTER313</t>
  </si>
  <si>
    <t>G.K. / MORAL SCIENCE313</t>
  </si>
  <si>
    <t>CLEANLINESS313</t>
  </si>
  <si>
    <t>CLEANLINESS314</t>
  </si>
  <si>
    <t>SANDEEP YADAV</t>
  </si>
  <si>
    <t>NEETU YADAV</t>
  </si>
  <si>
    <t>G.K. / MORAL SCIENCE314</t>
  </si>
  <si>
    <t>COMPUTER314</t>
  </si>
  <si>
    <t>E.V.S.314</t>
  </si>
  <si>
    <t>MATHS314</t>
  </si>
  <si>
    <t>ENGLISH (SPECIAL)314</t>
  </si>
  <si>
    <t>HINDI (GENERAL)314</t>
  </si>
  <si>
    <t>HINDI (GENERAL)315</t>
  </si>
  <si>
    <t>ENGLISH (SPECIAL)315</t>
  </si>
  <si>
    <t>MATHS315</t>
  </si>
  <si>
    <t>E.V.S.315</t>
  </si>
  <si>
    <t>COMPUTER315</t>
  </si>
  <si>
    <t>G.K. / MORAL SCIENCE315</t>
  </si>
  <si>
    <t>CLEANLINESS315</t>
  </si>
  <si>
    <t>MAYANK CHOUDHARY</t>
  </si>
  <si>
    <t>CLEANLINESS316</t>
  </si>
  <si>
    <t>1442</t>
  </si>
  <si>
    <t>NEELU CHOUDHARY</t>
  </si>
  <si>
    <t>NEHA CHOUDHARY</t>
  </si>
  <si>
    <t>722758686774</t>
  </si>
  <si>
    <t>171190919</t>
  </si>
  <si>
    <t>G.K. / MORAL SCIENCE316</t>
  </si>
  <si>
    <t>COMPUTER316</t>
  </si>
  <si>
    <t>E.V.S.316</t>
  </si>
  <si>
    <t>MATHS316</t>
  </si>
  <si>
    <t>ENGLISH (SPECIAL)316</t>
  </si>
  <si>
    <t>HINDI (GENERAL)316</t>
  </si>
  <si>
    <t>HINDI (GENERAL)317</t>
  </si>
  <si>
    <t>ENGLISH (SPECIAL)317</t>
  </si>
  <si>
    <t>MATHS317</t>
  </si>
  <si>
    <t>E.V.S.317</t>
  </si>
  <si>
    <t>COMPUTER317</t>
  </si>
  <si>
    <t>G.K. / MORAL SCIENCE317</t>
  </si>
  <si>
    <t>CLEANLINESS317</t>
  </si>
  <si>
    <t>CLEANLINESS318</t>
  </si>
  <si>
    <t>G.K. / MORAL SCIENCE318</t>
  </si>
  <si>
    <t>COMPUTER318</t>
  </si>
  <si>
    <t>E.V.S.318</t>
  </si>
  <si>
    <t>MATHS318</t>
  </si>
  <si>
    <t>ENGLISH (SPECIAL)318</t>
  </si>
  <si>
    <t>HINDI (GENERAL)318</t>
  </si>
  <si>
    <t>HINDI (GENERAL)319</t>
  </si>
  <si>
    <t>ENGLISH (SPECIAL)319</t>
  </si>
  <si>
    <t>MATHS319</t>
  </si>
  <si>
    <t>E.V.S.319</t>
  </si>
  <si>
    <t>COMPUTER319</t>
  </si>
  <si>
    <t>G.K. / MORAL SCIENCE319</t>
  </si>
  <si>
    <t>CLEANLINESS319</t>
  </si>
  <si>
    <t>CLEANLINESS320</t>
  </si>
  <si>
    <t>G.K. / MORAL SCIENCE320</t>
  </si>
  <si>
    <t>COMPUTER320</t>
  </si>
  <si>
    <t>E.V.S.320</t>
  </si>
  <si>
    <t>MATHS320</t>
  </si>
  <si>
    <t>ENGLISH (SPECIAL)320</t>
  </si>
  <si>
    <t>HINDI (GENERAL)320</t>
  </si>
  <si>
    <t>HINDI (GENERAL)321</t>
  </si>
  <si>
    <t>RAJENDRA RAIKWAR</t>
  </si>
  <si>
    <t>137</t>
  </si>
  <si>
    <t>ENGLISH (SPECIAL)321</t>
  </si>
  <si>
    <t>MATHS321</t>
  </si>
  <si>
    <t>E.V.S.321</t>
  </si>
  <si>
    <t>COMPUTER321</t>
  </si>
  <si>
    <t>G.K. / MORAL SCIENCE321</t>
  </si>
  <si>
    <t>CLEANLINESS321</t>
  </si>
  <si>
    <t>CLEANLINESS322</t>
  </si>
  <si>
    <t>G.K. / MORAL SCIENCE322</t>
  </si>
  <si>
    <t>COMPUTER322</t>
  </si>
  <si>
    <t>E.V.S.322</t>
  </si>
  <si>
    <t>MATHS322</t>
  </si>
  <si>
    <t>ENGLISH (SPECIAL)322</t>
  </si>
  <si>
    <t>HINDI (GENERAL)322</t>
  </si>
  <si>
    <t>HINDI (GENERAL)323</t>
  </si>
  <si>
    <t>ENGLISH (SPECIAL)323</t>
  </si>
  <si>
    <t>MATHS323</t>
  </si>
  <si>
    <t>E.V.S.323</t>
  </si>
  <si>
    <t>COMPUTER323</t>
  </si>
  <si>
    <t>G.K. / MORAL SCIENCE323</t>
  </si>
  <si>
    <t>CLEANLINESS323</t>
  </si>
  <si>
    <t>CLEANLINESS324</t>
  </si>
  <si>
    <t>KAILASH AHIRWAR</t>
  </si>
  <si>
    <t>POOJA   AHIRWAR</t>
  </si>
  <si>
    <t>G.K. / MORAL SCIENCE324</t>
  </si>
  <si>
    <t>COMPUTER324</t>
  </si>
  <si>
    <t>E.V.S.324</t>
  </si>
  <si>
    <t>MATHS324</t>
  </si>
  <si>
    <t>ENGLISH (SPECIAL)324</t>
  </si>
  <si>
    <t>HINDI (GENERAL)324</t>
  </si>
  <si>
    <t>HINDI (GENERAL)325</t>
  </si>
  <si>
    <t>141</t>
  </si>
  <si>
    <t>ENGLISH (SPECIAL)325</t>
  </si>
  <si>
    <t>MATHS325</t>
  </si>
  <si>
    <t>E.V.S.325</t>
  </si>
  <si>
    <t>COMPUTER325</t>
  </si>
  <si>
    <t>G.K. / MORAL SCIENCE325</t>
  </si>
  <si>
    <t>CLEANLINESS325</t>
  </si>
  <si>
    <t>CLEANLINESS326</t>
  </si>
  <si>
    <t>G.K. / MORAL SCIENCE326</t>
  </si>
  <si>
    <t>COMPUTER326</t>
  </si>
  <si>
    <t>E.V.S.326</t>
  </si>
  <si>
    <t>MATHS326</t>
  </si>
  <si>
    <t>ENGLISH (SPECIAL)326</t>
  </si>
  <si>
    <t>HINDI (GENERAL)326</t>
  </si>
  <si>
    <t>HINDI (GENERAL)327</t>
  </si>
  <si>
    <t>ENGLISH (SPECIAL)327</t>
  </si>
  <si>
    <t>MATHS327</t>
  </si>
  <si>
    <t>E.V.S.327</t>
  </si>
  <si>
    <t>COMPUTER327</t>
  </si>
  <si>
    <t>G.K. / MORAL SCIENCE327</t>
  </si>
  <si>
    <t>CLEANLINESS327</t>
  </si>
  <si>
    <t>CLEANLINESS328</t>
  </si>
  <si>
    <t>G.K. / MORAL SCIENCE328</t>
  </si>
  <si>
    <t>COMPUTER328</t>
  </si>
  <si>
    <t>E.V.S.328</t>
  </si>
  <si>
    <t>MATHS328</t>
  </si>
  <si>
    <t>ENGLISH (SPECIAL)328</t>
  </si>
  <si>
    <t>HINDI (GENERAL)328</t>
  </si>
  <si>
    <t>HINDI (GENERAL)329</t>
  </si>
  <si>
    <t>132</t>
  </si>
  <si>
    <t>ENGLISH (SPECIAL)329</t>
  </si>
  <si>
    <t>MATHS329</t>
  </si>
  <si>
    <t>E.V.S.329</t>
  </si>
  <si>
    <t>COMPUTER329</t>
  </si>
  <si>
    <t>G.K. / MORAL SCIENCE329</t>
  </si>
  <si>
    <t>CLEANLINESS329</t>
  </si>
  <si>
    <t>CLEANLINESS330</t>
  </si>
  <si>
    <t>G.K. / MORAL SCIENCE330</t>
  </si>
  <si>
    <t>COMPUTER330</t>
  </si>
  <si>
    <t>E.V.S.330</t>
  </si>
  <si>
    <t>MATHS330</t>
  </si>
  <si>
    <t>ENGLISH (SPECIAL)330</t>
  </si>
  <si>
    <t>HINDI (GENERAL)330</t>
  </si>
  <si>
    <t>HINDI (GENERAL)331</t>
  </si>
  <si>
    <t>POLIPATHAR GWARIGHAT JABALPUR</t>
  </si>
  <si>
    <t>BABLU YADAV</t>
  </si>
  <si>
    <t>ENGLISH (SPECIAL)331</t>
  </si>
  <si>
    <t>MATHS331</t>
  </si>
  <si>
    <t>E.V.S.331</t>
  </si>
  <si>
    <t>COMPUTER331</t>
  </si>
  <si>
    <t>G.K. / MORAL SCIENCE331</t>
  </si>
  <si>
    <t>CLEANLINESS331</t>
  </si>
  <si>
    <t>CLEANLINESS332</t>
  </si>
  <si>
    <t>G.K. / MORAL SCIENCE332</t>
  </si>
  <si>
    <t>COMPUTER332</t>
  </si>
  <si>
    <t>E.V.S.332</t>
  </si>
  <si>
    <t>MATHS332</t>
  </si>
  <si>
    <t>ENGLISH (SPECIAL)332</t>
  </si>
  <si>
    <t>HINDI (GENERAL)332</t>
  </si>
  <si>
    <t>HINDI (GENERAL)333</t>
  </si>
  <si>
    <t>SOHAN DHURVE</t>
  </si>
  <si>
    <t>MAYA DHURVE</t>
  </si>
  <si>
    <t>ENGLISH (SPECIAL)333</t>
  </si>
  <si>
    <t>MATHS333</t>
  </si>
  <si>
    <t>E.V.S.333</t>
  </si>
  <si>
    <t>COMPUTER333</t>
  </si>
  <si>
    <t>G.K. / MORAL SCIENCE333</t>
  </si>
  <si>
    <t>CLEANLINESS333</t>
  </si>
  <si>
    <t>CLEANLINESS334</t>
  </si>
  <si>
    <t>G.K. / MORAL SCIENCE334</t>
  </si>
  <si>
    <t>COMPUTER334</t>
  </si>
  <si>
    <t>E.V.S.334</t>
  </si>
  <si>
    <t>MATHS334</t>
  </si>
  <si>
    <t>ENGLISH (SPECIAL)334</t>
  </si>
  <si>
    <t>HINDI (GENERAL)334</t>
  </si>
  <si>
    <t>UDAY AHIRWAR</t>
  </si>
  <si>
    <t>211638</t>
  </si>
  <si>
    <t>CHANDAN   AHIRWAR</t>
  </si>
  <si>
    <t>GEETA AHIRWAR</t>
  </si>
  <si>
    <t>721987815511</t>
  </si>
  <si>
    <t>197147453</t>
  </si>
  <si>
    <t>139</t>
  </si>
  <si>
    <t>SHIV KUMAR NAYAK</t>
  </si>
  <si>
    <t>JYOTI NAYAK</t>
  </si>
  <si>
    <t>RETNAKA KANCHANPUR GWARIGHAT JABALPUR</t>
  </si>
  <si>
    <t>H.NO. 197/14 AWADHPURI COLONY GWARIGHAT JABALPUR</t>
  </si>
  <si>
    <t>H.NO. 1016 BHATOULI GWARIGHAT JABALPUR</t>
  </si>
  <si>
    <t>H.NO. 142 BHATOULI DURGANAGAR GWARIGHAT JABALPUR</t>
  </si>
  <si>
    <t>304522737</t>
  </si>
  <si>
    <t>H.NO. 31/1 PATEL MOHALLA RAMPUR JABALPUR</t>
  </si>
  <si>
    <t>JILEHARI GRAM GWARIGHAT JABALPUR</t>
  </si>
  <si>
    <t>BIG BAZAR KE SAMNE GWARIGHAT ROAD JABALPUR</t>
  </si>
  <si>
    <t>H.NO. 2460 AMBEDKAR NAGAR GWARIGHAT JABALPUR</t>
  </si>
  <si>
    <t>H.NO. 485 BARGI ROAD GRAM PADARIYA BARBATI JABALPUR</t>
  </si>
  <si>
    <t>PURANI BASTI BHATOLI GWARIGHAT JABALPUR</t>
  </si>
  <si>
    <t>H.NO. 2460 RAVIDAS NAGAR POLIPATHER GWARIGHAT JABALPUR</t>
  </si>
  <si>
    <t>JILEHARIGHAT NEAR GWARIGHAT JABALPUR</t>
  </si>
  <si>
    <t>H.NO. 155 NAI BASTI GWARIGHAT JABALPUR</t>
  </si>
  <si>
    <t>301284325</t>
  </si>
  <si>
    <t>H.NO. 556 BHATOULI DURGANAGAR GWARIGHAT JABALPUR</t>
  </si>
  <si>
    <t>SUNITA JHARIYA</t>
  </si>
  <si>
    <t>H.NO. 1144 JILEHARI GRAM GWARIGHAT JABALPUR</t>
  </si>
  <si>
    <t>H.NO. 2863 LALKUAN GWARIGHAT JABALPUR</t>
  </si>
  <si>
    <t>H.NO. 1163 GRAM JILEHARI GWARIGHAT JABALPUR</t>
  </si>
  <si>
    <t>SAROJ NARWARIYA</t>
  </si>
  <si>
    <t>H.NO. 506 PURANI BASTI GWARIGHAT JABALPUR</t>
  </si>
  <si>
    <t>CLEANLINESS201</t>
  </si>
  <si>
    <t>CLEANLINESS202</t>
  </si>
  <si>
    <t>CLEANLINESS203</t>
  </si>
  <si>
    <t>CLEANLINESS204</t>
  </si>
  <si>
    <t>CLEANLINESS205</t>
  </si>
  <si>
    <t>CLEANLINESS206</t>
  </si>
  <si>
    <t>CLEANLINESS207</t>
  </si>
  <si>
    <t>CLEANLINESS208</t>
  </si>
  <si>
    <t>CLEANLINESS209</t>
  </si>
  <si>
    <t>CLEANLINESS210</t>
  </si>
  <si>
    <t>CLEANLINESS211</t>
  </si>
  <si>
    <t>CLEANLINESS212</t>
  </si>
  <si>
    <t>CLEANLINESS213</t>
  </si>
  <si>
    <t>CLEANLINESS214</t>
  </si>
  <si>
    <t>CLEANLINESS215</t>
  </si>
  <si>
    <t>CLEANLINESS216</t>
  </si>
  <si>
    <t>200272259</t>
  </si>
  <si>
    <t>CLEANLINESS217</t>
  </si>
  <si>
    <t>CLEANLINESS218</t>
  </si>
  <si>
    <t>CLEANLINESS219</t>
  </si>
  <si>
    <t>CLEANLINESS220</t>
  </si>
  <si>
    <t>309538536</t>
  </si>
  <si>
    <t>CLEANLINESS221</t>
  </si>
  <si>
    <t>CLEANLINESS222</t>
  </si>
  <si>
    <t>CLEANLINESS223</t>
  </si>
  <si>
    <t>CLEANLINESS224</t>
  </si>
  <si>
    <t>CLEANLINESS225</t>
  </si>
  <si>
    <t>200245325</t>
  </si>
  <si>
    <t>CLEANLINESS226</t>
  </si>
  <si>
    <t>SOMYA  AHIRWAR</t>
  </si>
  <si>
    <t>ANURADHA  AHIRWAR</t>
  </si>
  <si>
    <t>CLEANLINESS227</t>
  </si>
  <si>
    <t>CLEANLINESS228</t>
  </si>
  <si>
    <t>CLEANLINESS229</t>
  </si>
  <si>
    <t>CLEANLINESS230</t>
  </si>
  <si>
    <t>CLEANLINESS231</t>
  </si>
  <si>
    <t>SHASHI MOURYA</t>
  </si>
  <si>
    <t>H.NO. 1146 JILEHARI GRAM GWARIGHAT JABALPUR</t>
  </si>
  <si>
    <t>Class IVA</t>
  </si>
  <si>
    <t>HINDI (GENERAL)401</t>
  </si>
  <si>
    <t>LALPUR GWARIGHAT JABALPUR</t>
  </si>
  <si>
    <t>ENGLISH (SPECIAL)401</t>
  </si>
  <si>
    <t>E.V.S.401</t>
  </si>
  <si>
    <t>MATHS401</t>
  </si>
  <si>
    <t>COMPUTER401</t>
  </si>
  <si>
    <t>G.K. / MORAL SCIENCE401</t>
  </si>
  <si>
    <t>CLEANLINESS401</t>
  </si>
  <si>
    <t>CLEANLINESS402</t>
  </si>
  <si>
    <t>G.K. / MORAL SCIENCE402</t>
  </si>
  <si>
    <t>COMPUTER402</t>
  </si>
  <si>
    <t>MATHS402</t>
  </si>
  <si>
    <t>E.V.S.402</t>
  </si>
  <si>
    <t>ENGLISH (SPECIAL)402</t>
  </si>
  <si>
    <t>HINDI (GENERAL)402</t>
  </si>
  <si>
    <t>HINDI (GENERAL)403</t>
  </si>
  <si>
    <t>ENGLISH (SPECIAL)403</t>
  </si>
  <si>
    <t>E.V.S.403</t>
  </si>
  <si>
    <t>MATHS403</t>
  </si>
  <si>
    <t>COMPUTER403</t>
  </si>
  <si>
    <t>G.K. / MORAL SCIENCE403</t>
  </si>
  <si>
    <t>CLEANLINESS403</t>
  </si>
  <si>
    <t>CLEANLINESS404</t>
  </si>
  <si>
    <t>G.K. / MORAL SCIENCE404</t>
  </si>
  <si>
    <t>COMPUTER404</t>
  </si>
  <si>
    <t>MATHS404</t>
  </si>
  <si>
    <t>E.V.S.404</t>
  </si>
  <si>
    <t>ENGLISH (SPECIAL)404</t>
  </si>
  <si>
    <t>HINDI (GENERAL)404</t>
  </si>
  <si>
    <t>HINDI (GENERAL)405</t>
  </si>
  <si>
    <t>SAROJ BARMAN</t>
  </si>
  <si>
    <t>ENGLISH (SPECIAL)405</t>
  </si>
  <si>
    <t>E.V.S.405</t>
  </si>
  <si>
    <t>MATHS405</t>
  </si>
  <si>
    <t>COMPUTER405</t>
  </si>
  <si>
    <t>G.K. / MORAL SCIENCE405</t>
  </si>
  <si>
    <t>CLEANLINESS405</t>
  </si>
  <si>
    <t>CLEANLINESS406</t>
  </si>
  <si>
    <t>G.K. / MORAL SCIENCE406</t>
  </si>
  <si>
    <t>COMPUTER406</t>
  </si>
  <si>
    <t>MATHS406</t>
  </si>
  <si>
    <t>E.V.S.406</t>
  </si>
  <si>
    <t>ENGLISH (SPECIAL)406</t>
  </si>
  <si>
    <t>HINDI (GENERAL)406</t>
  </si>
  <si>
    <t>HINDI (GENERAL)407</t>
  </si>
  <si>
    <t>ENGLISH (SPECIAL)407</t>
  </si>
  <si>
    <t>E.V.S.407</t>
  </si>
  <si>
    <t>MATHS407</t>
  </si>
  <si>
    <t>COMPUTER407</t>
  </si>
  <si>
    <t>G.K. / MORAL SCIENCE407</t>
  </si>
  <si>
    <t>CLEANLINESS407</t>
  </si>
  <si>
    <t>CLEANLINESS408</t>
  </si>
  <si>
    <t>G.K. / MORAL SCIENCE408</t>
  </si>
  <si>
    <t>COMPUTER408</t>
  </si>
  <si>
    <t>MATHS408</t>
  </si>
  <si>
    <t>E.V.S.408</t>
  </si>
  <si>
    <t>ENGLISH (SPECIAL)408</t>
  </si>
  <si>
    <t>HINDI (GENERAL)408</t>
  </si>
  <si>
    <t>HINDI (GENERAL)409</t>
  </si>
  <si>
    <t>POLIPATHER GWARIGHAT JABALPUR</t>
  </si>
  <si>
    <t>ENGLISH (SPECIAL)409</t>
  </si>
  <si>
    <t>E.V.S.409</t>
  </si>
  <si>
    <t>MATHS409</t>
  </si>
  <si>
    <t>COMPUTER409</t>
  </si>
  <si>
    <t>G.K. / MORAL SCIENCE409</t>
  </si>
  <si>
    <t>CLEANLINESS409</t>
  </si>
  <si>
    <t>CLEANLINESS410</t>
  </si>
  <si>
    <t>G.K. / MORAL SCIENCE410</t>
  </si>
  <si>
    <t>COMPUTER410</t>
  </si>
  <si>
    <t>MATHS410</t>
  </si>
  <si>
    <t>E.V.S.410</t>
  </si>
  <si>
    <t>ENGLISH (SPECIAL)410</t>
  </si>
  <si>
    <t>HINDI (GENERAL)410</t>
  </si>
  <si>
    <t>HINDI (GENERAL)411</t>
  </si>
  <si>
    <t>ENGLISH (SPECIAL)411</t>
  </si>
  <si>
    <t>E.V.S.411</t>
  </si>
  <si>
    <t>MATHS411</t>
  </si>
  <si>
    <t>COMPUTER411</t>
  </si>
  <si>
    <t>G.K. / MORAL SCIENCE411</t>
  </si>
  <si>
    <t>CLEANLINESS411</t>
  </si>
  <si>
    <t>CLEANLINESS412</t>
  </si>
  <si>
    <t>BADSHAH MANDIR GWARIGHAT JABALPUR</t>
  </si>
  <si>
    <t>G.K. / MORAL SCIENCE412</t>
  </si>
  <si>
    <t>COMPUTER412</t>
  </si>
  <si>
    <t>MATHS412</t>
  </si>
  <si>
    <t>E.V.S.412</t>
  </si>
  <si>
    <t>ENGLISH (SPECIAL)412</t>
  </si>
  <si>
    <t>HINDI (GENERAL)412</t>
  </si>
  <si>
    <t>HINDI (GENERAL)413</t>
  </si>
  <si>
    <t>RUCHI PATEL</t>
  </si>
  <si>
    <t>ENGLISH (SPECIAL)413</t>
  </si>
  <si>
    <t>E.V.S.413</t>
  </si>
  <si>
    <t>MATHS413</t>
  </si>
  <si>
    <t>COMPUTER413</t>
  </si>
  <si>
    <t>G.K. / MORAL SCIENCE413</t>
  </si>
  <si>
    <t>CLEANLINESS413</t>
  </si>
  <si>
    <t>CLEANLINESS414</t>
  </si>
  <si>
    <t>G.K. / MORAL SCIENCE414</t>
  </si>
  <si>
    <t>COMPUTER414</t>
  </si>
  <si>
    <t>MATHS414</t>
  </si>
  <si>
    <t>E.V.S.414</t>
  </si>
  <si>
    <t>ENGLISH (SPECIAL)414</t>
  </si>
  <si>
    <t>HINDI (GENERAL)414</t>
  </si>
  <si>
    <t>HINDI (GENERAL)415</t>
  </si>
  <si>
    <t>ENGLISH (SPECIAL)415</t>
  </si>
  <si>
    <t>E.V.S.415</t>
  </si>
  <si>
    <t>MATHS415</t>
  </si>
  <si>
    <t>COMPUTER415</t>
  </si>
  <si>
    <t>G.K. / MORAL SCIENCE415</t>
  </si>
  <si>
    <t>CLEANLINESS415</t>
  </si>
  <si>
    <t>CLEANLINESS416</t>
  </si>
  <si>
    <t>G.K. / MORAL SCIENCE416</t>
  </si>
  <si>
    <t>COMPUTER416</t>
  </si>
  <si>
    <t>MATHS416</t>
  </si>
  <si>
    <t>E.V.S.416</t>
  </si>
  <si>
    <t>ENGLISH (SPECIAL)416</t>
  </si>
  <si>
    <t>HINDI (GENERAL)416</t>
  </si>
  <si>
    <t>HINDI (GENERAL)417</t>
  </si>
  <si>
    <t>ENGLISH (SPECIAL)417</t>
  </si>
  <si>
    <t>E.V.S.417</t>
  </si>
  <si>
    <t>MATHS417</t>
  </si>
  <si>
    <t>COMPUTER417</t>
  </si>
  <si>
    <t>G.K. / MORAL SCIENCE417</t>
  </si>
  <si>
    <t>CLEANLINESS417</t>
  </si>
  <si>
    <t>CLEANLINESS418</t>
  </si>
  <si>
    <t>G.K. / MORAL SCIENCE418</t>
  </si>
  <si>
    <t>COMPUTER418</t>
  </si>
  <si>
    <t>MATHS418</t>
  </si>
  <si>
    <t>E.V.S.418</t>
  </si>
  <si>
    <t>ENGLISH (SPECIAL)418</t>
  </si>
  <si>
    <t>HINDI (GENERAL)418</t>
  </si>
  <si>
    <t>HINDI (GENERAL)419</t>
  </si>
  <si>
    <t>ENGLISH (SPECIAL)419</t>
  </si>
  <si>
    <t>E.V.S.419</t>
  </si>
  <si>
    <t>MATHS419</t>
  </si>
  <si>
    <t>COMPUTER419</t>
  </si>
  <si>
    <t>G.K. / MORAL SCIENCE419</t>
  </si>
  <si>
    <t>CLEANLINESS419</t>
  </si>
  <si>
    <t>CLEANLINESS420</t>
  </si>
  <si>
    <t>G.K. / MORAL SCIENCE420</t>
  </si>
  <si>
    <t>COMPUTER420</t>
  </si>
  <si>
    <t>MATHS420</t>
  </si>
  <si>
    <t>E.V.S.420</t>
  </si>
  <si>
    <t>ENGLISH (SPECIAL)420</t>
  </si>
  <si>
    <t>HINDI (GENERAL)420</t>
  </si>
  <si>
    <t>HINDI (GENERAL)421</t>
  </si>
  <si>
    <t>ENGLISH (SPECIAL)421</t>
  </si>
  <si>
    <t>E.V.S.421</t>
  </si>
  <si>
    <t>MATHS421</t>
  </si>
  <si>
    <t>COMPUTER421</t>
  </si>
  <si>
    <t>G.K. / MORAL SCIENCE421</t>
  </si>
  <si>
    <t>CLEANLINESS421</t>
  </si>
  <si>
    <t>CLEANLINESS422</t>
  </si>
  <si>
    <t>G.K. / MORAL SCIENCE422</t>
  </si>
  <si>
    <t>COMPUTER422</t>
  </si>
  <si>
    <t>MATHS422</t>
  </si>
  <si>
    <t>E.V.S.422</t>
  </si>
  <si>
    <t>ENGLISH (SPECIAL)422</t>
  </si>
  <si>
    <t>HINDI (GENERAL)422</t>
  </si>
  <si>
    <t>HINDI (GENERAL)423</t>
  </si>
  <si>
    <t>ENGLISH (SPECIAL)423</t>
  </si>
  <si>
    <t>E.V.S.423</t>
  </si>
  <si>
    <t>MATHS423</t>
  </si>
  <si>
    <t>COMPUTER423</t>
  </si>
  <si>
    <t>G.K. / MORAL SCIENCE423</t>
  </si>
  <si>
    <t>CLEANLINESS423</t>
  </si>
  <si>
    <t>CLEANLINESS424</t>
  </si>
  <si>
    <t>G.K. / MORAL SCIENCE424</t>
  </si>
  <si>
    <t>COMPUTER424</t>
  </si>
  <si>
    <t>MATHS424</t>
  </si>
  <si>
    <t>E.V.S.424</t>
  </si>
  <si>
    <t>ENGLISH (SPECIAL)424</t>
  </si>
  <si>
    <t>HINDI (GENERAL)424</t>
  </si>
  <si>
    <t>HINDI (GENERAL)425</t>
  </si>
  <si>
    <t>ENGLISH (SPECIAL)425</t>
  </si>
  <si>
    <t>E.V.S.425</t>
  </si>
  <si>
    <t>MATHS425</t>
  </si>
  <si>
    <t>COMPUTER425</t>
  </si>
  <si>
    <t>G.K. / MORAL SCIENCE425</t>
  </si>
  <si>
    <t>CLEANLINESS425</t>
  </si>
  <si>
    <t>CLEANLINESS426</t>
  </si>
  <si>
    <t>NISHA PATEL</t>
  </si>
  <si>
    <t>G.K. / MORAL SCIENCE426</t>
  </si>
  <si>
    <t>COMPUTER426</t>
  </si>
  <si>
    <t>MATHS426</t>
  </si>
  <si>
    <t>E.V.S.426</t>
  </si>
  <si>
    <t>ENGLISH (SPECIAL)426</t>
  </si>
  <si>
    <t>HINDI (GENERAL)426</t>
  </si>
  <si>
    <t>HINDI (GENERAL)427</t>
  </si>
  <si>
    <t>ENGLISH (SPECIAL)427</t>
  </si>
  <si>
    <t>E.V.S.427</t>
  </si>
  <si>
    <t>MATHS427</t>
  </si>
  <si>
    <t>COMPUTER427</t>
  </si>
  <si>
    <t>G.K. / MORAL SCIENCE427</t>
  </si>
  <si>
    <t>CLEANLINESS427</t>
  </si>
  <si>
    <t>CLEANLINESS428</t>
  </si>
  <si>
    <t>G.K. / MORAL SCIENCE428</t>
  </si>
  <si>
    <t>COMPUTER428</t>
  </si>
  <si>
    <t>MATHS428</t>
  </si>
  <si>
    <t>E.V.S.428</t>
  </si>
  <si>
    <t>ENGLISH (SPECIAL)428</t>
  </si>
  <si>
    <t>HINDI (GENERAL)428</t>
  </si>
  <si>
    <t>HINDI (GENERAL)429</t>
  </si>
  <si>
    <t>ENGLISH (SPECIAL)429</t>
  </si>
  <si>
    <t>E.V.S.429</t>
  </si>
  <si>
    <t>MATHS429</t>
  </si>
  <si>
    <t>COMPUTER429</t>
  </si>
  <si>
    <t>G.K. / MORAL SCIENCE429</t>
  </si>
  <si>
    <t>CLEANLINESS429</t>
  </si>
  <si>
    <t>CLEANLINESS430</t>
  </si>
  <si>
    <t>G.K. / MORAL SCIENCE430</t>
  </si>
  <si>
    <t>COMPUTER430</t>
  </si>
  <si>
    <t>MATHS430</t>
  </si>
  <si>
    <t>E.V.S.430</t>
  </si>
  <si>
    <t>ENGLISH (SPECIAL)430</t>
  </si>
  <si>
    <t>HINDI (GENERAL)430</t>
  </si>
  <si>
    <t>HINDI (GENERAL)431</t>
  </si>
  <si>
    <t>ENGLISH (SPECIAL)431</t>
  </si>
  <si>
    <t>E.V.S.431</t>
  </si>
  <si>
    <t>MATHS431</t>
  </si>
  <si>
    <t>COMPUTER431</t>
  </si>
  <si>
    <t>G.K. / MORAL SCIENCE431</t>
  </si>
  <si>
    <t>CLEANLINESS431</t>
  </si>
  <si>
    <t>CLEANLINESS432</t>
  </si>
  <si>
    <t>G.K. / MORAL SCIENCE432</t>
  </si>
  <si>
    <t>COMPUTER432</t>
  </si>
  <si>
    <t>MATHS432</t>
  </si>
  <si>
    <t>E.V.S.432</t>
  </si>
  <si>
    <t>ENGLISH (SPECIAL)432</t>
  </si>
  <si>
    <t>HINDI (GENERAL)432</t>
  </si>
  <si>
    <t>HINDI (GENERAL)433</t>
  </si>
  <si>
    <t>ENGLISH (SPECIAL)433</t>
  </si>
  <si>
    <t>E.V.S.433</t>
  </si>
  <si>
    <t>MATHS433</t>
  </si>
  <si>
    <t>COMPUTER433</t>
  </si>
  <si>
    <t>G.K. / MORAL SCIENCE433</t>
  </si>
  <si>
    <t>CLEANLINESS433</t>
  </si>
  <si>
    <t>CLEANLINESS434</t>
  </si>
  <si>
    <t>G.K. / MORAL SCIENCE434</t>
  </si>
  <si>
    <t>COMPUTER434</t>
  </si>
  <si>
    <t>MATHS434</t>
  </si>
  <si>
    <t>E.V.S.434</t>
  </si>
  <si>
    <t>ENGLISH (SPECIAL)434</t>
  </si>
  <si>
    <t>HINDI (GENERAL)434</t>
  </si>
  <si>
    <t>HINDI (GENERAL)435</t>
  </si>
  <si>
    <t>ENGLISH (SPECIAL)435</t>
  </si>
  <si>
    <t>E.V.S.435</t>
  </si>
  <si>
    <t>MATHS435</t>
  </si>
  <si>
    <t>COMPUTER435</t>
  </si>
  <si>
    <t>G.K. / MORAL SCIENCE435</t>
  </si>
  <si>
    <t>CLEANLINESS435</t>
  </si>
  <si>
    <t>CLEANLINESS436</t>
  </si>
  <si>
    <t>G.K. / MORAL SCIENCE436</t>
  </si>
  <si>
    <t>COMPUTER436</t>
  </si>
  <si>
    <t>MATHS436</t>
  </si>
  <si>
    <t>E.V.S.436</t>
  </si>
  <si>
    <t>ENGLISH (SPECIAL)436</t>
  </si>
  <si>
    <t>HINDI (GENERAL)436</t>
  </si>
  <si>
    <t>HINDI (GENERAL)437</t>
  </si>
  <si>
    <t>ENGLISH (SPECIAL)437</t>
  </si>
  <si>
    <t>E.V.S.437</t>
  </si>
  <si>
    <t>MATHS437</t>
  </si>
  <si>
    <t>COMPUTER437</t>
  </si>
  <si>
    <t>G.K. / MORAL SCIENCE437</t>
  </si>
  <si>
    <t>CLEANLINESS437</t>
  </si>
  <si>
    <t>CLEANLINESS438</t>
  </si>
  <si>
    <t>G.K. / MORAL SCIENCE438</t>
  </si>
  <si>
    <t>COMPUTER438</t>
  </si>
  <si>
    <t>MATHS438</t>
  </si>
  <si>
    <t>E.V.S.438</t>
  </si>
  <si>
    <t>ENGLISH (SPECIAL)438</t>
  </si>
  <si>
    <t>HINDI (GENERAL)438</t>
  </si>
  <si>
    <t>HINDI (GENERAL)439</t>
  </si>
  <si>
    <t>ENGLISH (SPECIAL)439</t>
  </si>
  <si>
    <t>E.V.S.439</t>
  </si>
  <si>
    <t>MATHS439</t>
  </si>
  <si>
    <t>COMPUTER439</t>
  </si>
  <si>
    <t>G.K. / MORAL SCIENCE439</t>
  </si>
  <si>
    <t>CLEANLINESS439</t>
  </si>
  <si>
    <t>CLEANLINESS440</t>
  </si>
  <si>
    <t>G.K. / MORAL SCIENCE440</t>
  </si>
  <si>
    <t>COMPUTER440</t>
  </si>
  <si>
    <t>MATHS440</t>
  </si>
  <si>
    <t>E.V.S.440</t>
  </si>
  <si>
    <t>ENGLISH (SPECIAL)440</t>
  </si>
  <si>
    <t>HINDI (GENERAL)440</t>
  </si>
  <si>
    <t>VIRENDRA PATEL</t>
  </si>
  <si>
    <t>DURGANAGAR GWARIGHAT JABALPUR</t>
  </si>
  <si>
    <t>AGRIM PATEL</t>
  </si>
  <si>
    <t>0</t>
  </si>
  <si>
    <t>211522</t>
  </si>
  <si>
    <t>SANT NAGAR POLIPATHAR NEAR SHARDA MANDIR JABALPUR</t>
  </si>
  <si>
    <t>707914959674</t>
  </si>
  <si>
    <t>44210568</t>
  </si>
  <si>
    <t>AKARITI BARMAN</t>
  </si>
  <si>
    <t>211587</t>
  </si>
  <si>
    <t>BRANDAVAN BARMAN</t>
  </si>
  <si>
    <t>VARSHA BARMAN</t>
  </si>
  <si>
    <t>226003104469</t>
  </si>
  <si>
    <t>308569390</t>
  </si>
  <si>
    <t>ANAMAY NAYAK</t>
  </si>
  <si>
    <t>211596</t>
  </si>
  <si>
    <t>NEW RAILWAY STATION,DURGANAGAR GWARIGHAT JABALPUR</t>
  </si>
  <si>
    <t>978188760124</t>
  </si>
  <si>
    <t>305242221</t>
  </si>
  <si>
    <t>211537</t>
  </si>
  <si>
    <t>SANJU PATEL</t>
  </si>
  <si>
    <t>SONAM PATEL</t>
  </si>
  <si>
    <t>602282652169</t>
  </si>
  <si>
    <t>313571425</t>
  </si>
  <si>
    <t>ANANYA KOL</t>
  </si>
  <si>
    <t>211715</t>
  </si>
  <si>
    <t>POLIPATHAR LALKUAN GWARIGHAT JABALPUR</t>
  </si>
  <si>
    <t>DHEERENDRA KOL</t>
  </si>
  <si>
    <t>RAGINI KOL</t>
  </si>
  <si>
    <t>ANANYA JHARIYA</t>
  </si>
  <si>
    <t>211684</t>
  </si>
  <si>
    <t>BADSHAH HALWAI POLIPATHER GWARIGHAT JABALPUR</t>
  </si>
  <si>
    <t>KAVITA JHARIYA</t>
  </si>
  <si>
    <t>ANSHIKA KUSHWAHA</t>
  </si>
  <si>
    <t>211547</t>
  </si>
  <si>
    <t>SAKETDHAM GWARIGHAT JABALPUR</t>
  </si>
  <si>
    <t>660197301185</t>
  </si>
  <si>
    <t>ANSHIKA PATEL</t>
  </si>
  <si>
    <t>211660</t>
  </si>
  <si>
    <t>SAMAD PIPARIYA MOHAS JABALPUR</t>
  </si>
  <si>
    <t>GHANSHYAM PATEL</t>
  </si>
  <si>
    <t>872577674400</t>
  </si>
  <si>
    <t>310369868</t>
  </si>
  <si>
    <t>AVANI BHUMIYA</t>
  </si>
  <si>
    <t>211521</t>
  </si>
  <si>
    <t>MUKESH BHUMIYA</t>
  </si>
  <si>
    <t>ROSHNI BHUMIYA</t>
  </si>
  <si>
    <t>84506047256</t>
  </si>
  <si>
    <t>305842669</t>
  </si>
  <si>
    <t>AYUSH BARMAN</t>
  </si>
  <si>
    <t>211524</t>
  </si>
  <si>
    <t>JILEHARIGHAT JABALPUR</t>
  </si>
  <si>
    <t>LAKSHMAN BARMAN</t>
  </si>
  <si>
    <t>308021605249</t>
  </si>
  <si>
    <t>305404644</t>
  </si>
  <si>
    <t>BHAVYA WALKE</t>
  </si>
  <si>
    <t>211516</t>
  </si>
  <si>
    <t>BHIM NAGAR P.P COLONY GWARIGHAT ROAD JABALPUR</t>
  </si>
  <si>
    <t>RAMAN WALKE</t>
  </si>
  <si>
    <t>SHANMUKHA WALKE</t>
  </si>
  <si>
    <t>311874573007</t>
  </si>
  <si>
    <t>312530392</t>
  </si>
  <si>
    <t>CHIRAG THAKUR</t>
  </si>
  <si>
    <t>211525</t>
  </si>
  <si>
    <t>SANJAY NAGAR POLIPATHAR JABALPUR</t>
  </si>
  <si>
    <t>SUNIL THAKUR</t>
  </si>
  <si>
    <t>SWATI THAKUR</t>
  </si>
  <si>
    <t>807753271643</t>
  </si>
  <si>
    <t>303499101</t>
  </si>
  <si>
    <t>DEVANSH KUMAR CHADAR</t>
  </si>
  <si>
    <t>211535</t>
  </si>
  <si>
    <t>MAHENDRA  CHADAR</t>
  </si>
  <si>
    <t>RACHNA  CHADAR</t>
  </si>
  <si>
    <t>446633113565</t>
  </si>
  <si>
    <t>303048886</t>
  </si>
  <si>
    <t>DEVIKA BARMAN</t>
  </si>
  <si>
    <t>211536</t>
  </si>
  <si>
    <t>GANESH BARMAN</t>
  </si>
  <si>
    <t>SITARA BARMAN</t>
  </si>
  <si>
    <t>478485815051</t>
  </si>
  <si>
    <t>303970852</t>
  </si>
  <si>
    <t>HARDIK GOUND</t>
  </si>
  <si>
    <t>211610</t>
  </si>
  <si>
    <t>KISHAN GOUND</t>
  </si>
  <si>
    <t>NISHA GOUND</t>
  </si>
  <si>
    <t>635984731963</t>
  </si>
  <si>
    <t>308715430</t>
  </si>
  <si>
    <t>HARSHITA BARMAN</t>
  </si>
  <si>
    <t>211553</t>
  </si>
  <si>
    <t>NAI BASTI BARMAN MOHALLA GWARIGHAT JABALPUR</t>
  </si>
  <si>
    <t>590608856478</t>
  </si>
  <si>
    <t>301284385</t>
  </si>
  <si>
    <t>KAVYA AHIRWAR</t>
  </si>
  <si>
    <t>211603</t>
  </si>
  <si>
    <t>357322318763</t>
  </si>
  <si>
    <t>314379219</t>
  </si>
  <si>
    <t>MAHIMA GOUND</t>
  </si>
  <si>
    <t>211602</t>
  </si>
  <si>
    <t>ROSHAN GOUND</t>
  </si>
  <si>
    <t>RUKMANI GOUND</t>
  </si>
  <si>
    <t>558220304653</t>
  </si>
  <si>
    <t>314604174</t>
  </si>
  <si>
    <t>NAINA BARMAN</t>
  </si>
  <si>
    <t>211746</t>
  </si>
  <si>
    <t>RAMKUMAR  BARMAN</t>
  </si>
  <si>
    <t>POOJA  BARMAN</t>
  </si>
  <si>
    <t>NANDITA SHRIVASTAVA</t>
  </si>
  <si>
    <t>211589</t>
  </si>
  <si>
    <t>VIVEK SHRIVASTAVA</t>
  </si>
  <si>
    <t>DIVYA SHRIVASTAVA</t>
  </si>
  <si>
    <t>278868363092</t>
  </si>
  <si>
    <t>308574190</t>
  </si>
  <si>
    <t>PRARTHNA BEN</t>
  </si>
  <si>
    <t>211531</t>
  </si>
  <si>
    <t>JOGI MOHALLA GORAKHPUR JABALPUR</t>
  </si>
  <si>
    <t>VIJAY BEN</t>
  </si>
  <si>
    <t>PINKI BEN</t>
  </si>
  <si>
    <t>279615867687</t>
  </si>
  <si>
    <t>199855546</t>
  </si>
  <si>
    <t>RIDDHI CHAKRAWARTI</t>
  </si>
  <si>
    <t>211588</t>
  </si>
  <si>
    <t>997800013609</t>
  </si>
  <si>
    <t>308790937</t>
  </si>
  <si>
    <t>SAMARTH YADAV</t>
  </si>
  <si>
    <t>211532</t>
  </si>
  <si>
    <t>DURGANAGAR BHATAULI GWARIGHAT JABALPUR</t>
  </si>
  <si>
    <t>DEEPA YADAV</t>
  </si>
  <si>
    <t>380933667968</t>
  </si>
  <si>
    <t>300182009</t>
  </si>
  <si>
    <t>SANVI SAXENA</t>
  </si>
  <si>
    <t>211687</t>
  </si>
  <si>
    <t>VIPIN SAXENA</t>
  </si>
  <si>
    <t>SWATI SAXENA</t>
  </si>
  <si>
    <t>SHIVANSH  GIRI GOSWAMI</t>
  </si>
  <si>
    <t>211526</t>
  </si>
  <si>
    <t>NAI BASTI GWARIGHAT JABJALPUR</t>
  </si>
  <si>
    <t>CHANDAN  GIRI  GOSWAMI</t>
  </si>
  <si>
    <t>RASHMI  GIRI  GOSWAMI</t>
  </si>
  <si>
    <t>607176126983</t>
  </si>
  <si>
    <t>312452083</t>
  </si>
  <si>
    <t>SHIVANGI KASHYAP</t>
  </si>
  <si>
    <t>211671</t>
  </si>
  <si>
    <t>SOORAJ KASHYAP</t>
  </si>
  <si>
    <t>RAKHI KASHYAP</t>
  </si>
  <si>
    <t>SHIVANYA KASHYAP</t>
  </si>
  <si>
    <t>211693</t>
  </si>
  <si>
    <t>RAMLALA PURANI BASTI GWARIGHAT JABALPUR</t>
  </si>
  <si>
    <t>RAVI KASHYAP</t>
  </si>
  <si>
    <t>UPASANA KASHYAP</t>
  </si>
  <si>
    <t>SHRIYANSHI KUSHWAHA</t>
  </si>
  <si>
    <t>211548</t>
  </si>
  <si>
    <t>MANOJ KUMAR KUSHWAHA</t>
  </si>
  <si>
    <t>SEEMA KUSHWAHA</t>
  </si>
  <si>
    <t>380508272036</t>
  </si>
  <si>
    <t>311228102</t>
  </si>
  <si>
    <t>SHOURYA JHARIYA</t>
  </si>
  <si>
    <t>211714</t>
  </si>
  <si>
    <t>SRISHTI JHARIYA</t>
  </si>
  <si>
    <t>211683</t>
  </si>
  <si>
    <t>SONAM KAPOOR</t>
  </si>
  <si>
    <t>211529</t>
  </si>
  <si>
    <t>BARMAN MOHALLA GWARIGHAT JABALAPUR</t>
  </si>
  <si>
    <t>333716978245</t>
  </si>
  <si>
    <t>306644390</t>
  </si>
  <si>
    <t>SUBEER MISHRA</t>
  </si>
  <si>
    <t>211487</t>
  </si>
  <si>
    <t>SUDHANSHU  MISHRA</t>
  </si>
  <si>
    <t>NAMITA  MISHRA</t>
  </si>
  <si>
    <t>428356951324</t>
  </si>
  <si>
    <t>312224016</t>
  </si>
  <si>
    <t>SUMIT MALLAH</t>
  </si>
  <si>
    <t>211545</t>
  </si>
  <si>
    <t>RAILWAY STATION GWARIGHAT JABALPUR</t>
  </si>
  <si>
    <t>JITENDRA MALLAH</t>
  </si>
  <si>
    <t>LAXMI MALLAH</t>
  </si>
  <si>
    <t>514566297063</t>
  </si>
  <si>
    <t>304235344</t>
  </si>
  <si>
    <t>TANUSHKA KASHYAP</t>
  </si>
  <si>
    <t>211688</t>
  </si>
  <si>
    <t>RAHUL KASHYAP</t>
  </si>
  <si>
    <t>ABHA KASHYAP</t>
  </si>
  <si>
    <t>TEENA KUSHWAHA</t>
  </si>
  <si>
    <t>211534</t>
  </si>
  <si>
    <t>MANOJ  KUSHWAHA</t>
  </si>
  <si>
    <t>SEEMA  KUSHWAHA</t>
  </si>
  <si>
    <t>601427145764</t>
  </si>
  <si>
    <t>305957462</t>
  </si>
  <si>
    <t>211709</t>
  </si>
  <si>
    <t>RAVIDAS NAGAR POLIPATHAR GWARIGHAT JABALPUR</t>
  </si>
  <si>
    <t>ASHA RAIKWAR</t>
  </si>
  <si>
    <t>VISHNU SAHU</t>
  </si>
  <si>
    <t>211607</t>
  </si>
  <si>
    <t>MAHENDRA SAHU</t>
  </si>
  <si>
    <t>SARASWATI  SAHU</t>
  </si>
  <si>
    <t>607403629696</t>
  </si>
  <si>
    <t>307874832</t>
  </si>
  <si>
    <t>ARPITA CHOUDHARY</t>
  </si>
  <si>
    <t>211678</t>
  </si>
  <si>
    <t>RAVIDAS NAGAR GWARIGHAT JABALPUR</t>
  </si>
  <si>
    <t>SANDEEP CHOUDHARY</t>
  </si>
  <si>
    <t>GOVIND YADAV</t>
  </si>
  <si>
    <t>211680</t>
  </si>
  <si>
    <t>RELIABLE STAT COLONY JILEHARIGHAT JABALPUR</t>
  </si>
  <si>
    <t>LAXMI YADAV</t>
  </si>
  <si>
    <t>211716</t>
  </si>
  <si>
    <t>KANCHANPUR RETNAKA GWARIGHAT JABALPUR</t>
  </si>
  <si>
    <t>LAXMAN YADAV</t>
  </si>
  <si>
    <t>RANJITA  YADAV</t>
  </si>
  <si>
    <t>211754</t>
  </si>
  <si>
    <t>MANISH  SARVE</t>
  </si>
  <si>
    <t>RAMSAKHI SARVE</t>
  </si>
  <si>
    <t>MAHI AHIRWAR</t>
  </si>
  <si>
    <t>211672</t>
  </si>
  <si>
    <t>JILEHARI GHAT GWARIGHAT JABALPUR</t>
  </si>
  <si>
    <t>AMAR AHIRWAR</t>
  </si>
  <si>
    <t>AARTI AHIRWAR</t>
  </si>
  <si>
    <t>E.V.S.232</t>
  </si>
  <si>
    <t>CLEANLINESS232</t>
  </si>
  <si>
    <t>MATHS232</t>
  </si>
  <si>
    <t>ENGLISH (SPECIAL)232</t>
  </si>
  <si>
    <t>HINDI (GENERAL)232</t>
  </si>
  <si>
    <t>HINDI (GENERAL)233</t>
  </si>
  <si>
    <t>ENGLISH (SPECIAL)233</t>
  </si>
  <si>
    <t>MATHS233</t>
  </si>
  <si>
    <t>CLEANLINESS233</t>
  </si>
  <si>
    <t>E.V.S.233</t>
  </si>
  <si>
    <t>E.V.S.234</t>
  </si>
  <si>
    <t>CLEANLINESS234</t>
  </si>
  <si>
    <t>MATHS234</t>
  </si>
  <si>
    <t>ENGLISH (SPECIAL)234</t>
  </si>
  <si>
    <t>HINDI (GENERAL)234</t>
  </si>
  <si>
    <t>HINDI (GENERAL)235</t>
  </si>
  <si>
    <t>ENGLISH (SPECIAL)235</t>
  </si>
  <si>
    <t>MATHS235</t>
  </si>
  <si>
    <t>CLEANLINESS235</t>
  </si>
  <si>
    <t>E.V.S.235</t>
  </si>
  <si>
    <t>E.V.S.236</t>
  </si>
  <si>
    <t>CLEANLINESS236</t>
  </si>
  <si>
    <t>MATHS236</t>
  </si>
  <si>
    <t>ENGLISH (SPECIAL)236</t>
  </si>
  <si>
    <t>HINDI (GENERAL)236</t>
  </si>
  <si>
    <t>HINDI (GENERAL)237</t>
  </si>
  <si>
    <t>ENGLISH (SPECIAL)237</t>
  </si>
  <si>
    <t>MATHS237</t>
  </si>
  <si>
    <t>CLEANLINESS237</t>
  </si>
  <si>
    <t>E.V.S.237</t>
  </si>
  <si>
    <t>E.V.S.238</t>
  </si>
  <si>
    <t>CLEANLINESS238</t>
  </si>
  <si>
    <t>MATHS238</t>
  </si>
  <si>
    <t>ENGLISH (SPECIAL)238</t>
  </si>
  <si>
    <t>HINDI (GENERAL)238</t>
  </si>
  <si>
    <t>HINDI (GENERAL)239</t>
  </si>
  <si>
    <t>ENGLISH (SPECIAL)239</t>
  </si>
  <si>
    <t>MATHS239</t>
  </si>
  <si>
    <t>CLEANLINESS239</t>
  </si>
  <si>
    <t>E.V.S.239</t>
  </si>
  <si>
    <t>E.V.S.240</t>
  </si>
  <si>
    <t>CLEANLINESS240</t>
  </si>
  <si>
    <t>MATHS240</t>
  </si>
  <si>
    <t>ENGLISH (SPECIAL)240</t>
  </si>
  <si>
    <t>HINDI (GENERAL)240</t>
  </si>
  <si>
    <t>HINDI (GENERAL)241</t>
  </si>
  <si>
    <t>ENGLISH (SPECIAL)241</t>
  </si>
  <si>
    <t>MATHS241</t>
  </si>
  <si>
    <t>CLEANLINESS241</t>
  </si>
  <si>
    <t>E.V.S.241</t>
  </si>
  <si>
    <t>E.V.S.242</t>
  </si>
  <si>
    <t>CLEANLINESS242</t>
  </si>
  <si>
    <t>MATHS242</t>
  </si>
  <si>
    <t>ENGLISH (SPECIAL)242</t>
  </si>
  <si>
    <t>HINDI (GENERAL)242</t>
  </si>
  <si>
    <t>HINDI (GENERAL)243</t>
  </si>
  <si>
    <t>ENGLISH (SPECIAL)243</t>
  </si>
  <si>
    <t>MATHS243</t>
  </si>
  <si>
    <t>CLEANLINESS243</t>
  </si>
  <si>
    <t>E.V.S.243</t>
  </si>
  <si>
    <t>E.V.S.244</t>
  </si>
  <si>
    <t>CLEANLINESS244</t>
  </si>
  <si>
    <t>MATHS244</t>
  </si>
  <si>
    <t>ENGLISH (SPECIAL)244</t>
  </si>
  <si>
    <t>HINDI (GENERAL)244</t>
  </si>
  <si>
    <t>HINDI (GENERAL)245</t>
  </si>
  <si>
    <t>ENGLISH (SPECIAL)245</t>
  </si>
  <si>
    <t>MATHS245</t>
  </si>
  <si>
    <t>CLEANLINESS245</t>
  </si>
  <si>
    <t>E.V.S.245</t>
  </si>
  <si>
    <t>E.V.S.246</t>
  </si>
  <si>
    <t>CLEANLINESS246</t>
  </si>
  <si>
    <t>MATHS246</t>
  </si>
  <si>
    <t>ENGLISH (SPECIAL)246</t>
  </si>
  <si>
    <t>HINDI (GENERAL)246</t>
  </si>
  <si>
    <t>HINDI (GENERAL)247</t>
  </si>
  <si>
    <t>ENGLISH (SPECIAL)247</t>
  </si>
  <si>
    <t>MATHS247</t>
  </si>
  <si>
    <t>CLEANLINESS247</t>
  </si>
  <si>
    <t>E.V.S.247</t>
  </si>
  <si>
    <t>E.V.S.248</t>
  </si>
  <si>
    <t>CLEANLINESS248</t>
  </si>
  <si>
    <t>MATHS248</t>
  </si>
  <si>
    <t>ENGLISH (SPECIAL)248</t>
  </si>
  <si>
    <t>HINDI (GENERAL)248</t>
  </si>
  <si>
    <t>HINDI (GENERAL)249</t>
  </si>
  <si>
    <t>ENGLISH (SPECIAL)249</t>
  </si>
  <si>
    <t>MATHS249</t>
  </si>
  <si>
    <t>CLEANLINESS249</t>
  </si>
  <si>
    <t>E.V.S.249</t>
  </si>
  <si>
    <t>E.V.S.250</t>
  </si>
  <si>
    <t>CLEANLINESS250</t>
  </si>
  <si>
    <t>MATHS250</t>
  </si>
  <si>
    <t>ENGLISH (SPECIAL)250</t>
  </si>
  <si>
    <t>HINDI (GENERAL)250</t>
  </si>
  <si>
    <t>YASH NANDA</t>
  </si>
  <si>
    <t>211682</t>
  </si>
  <si>
    <t>MUKESH NANDA</t>
  </si>
  <si>
    <t>NEHA NANDA</t>
  </si>
  <si>
    <t>BASU CHOUDHARY</t>
  </si>
  <si>
    <t>211679</t>
  </si>
  <si>
    <t>DEEPAK  CHOUDHARY</t>
  </si>
  <si>
    <t>SARASWATI CHOUDHARY</t>
  </si>
  <si>
    <t>RIDDHI PATEL</t>
  </si>
  <si>
    <t>211732</t>
  </si>
  <si>
    <t>ASHISH PATEL</t>
  </si>
  <si>
    <t>ANANYA RAJAK</t>
  </si>
  <si>
    <t>211706</t>
  </si>
  <si>
    <t>UMESH RAJAK</t>
  </si>
  <si>
    <t>RINKI  RAJAK</t>
  </si>
  <si>
    <t>PRINCE BARMAN</t>
  </si>
  <si>
    <t>211741</t>
  </si>
  <si>
    <t>CHANNU  BARMAN</t>
  </si>
  <si>
    <t>SUNITA  BARMAN</t>
  </si>
  <si>
    <t>SHREYANSH UPADHYAY</t>
  </si>
  <si>
    <t>211745</t>
  </si>
  <si>
    <t>RAMSEVAK UPADHYAY</t>
  </si>
  <si>
    <t>POOJA UPADHYAY</t>
  </si>
  <si>
    <t>RIYANSH SONI</t>
  </si>
  <si>
    <t>211751</t>
  </si>
  <si>
    <t>MAYURKALA MANDIR GWARIGHAT JABALPUR</t>
  </si>
  <si>
    <t>RAVISHANKAR SONI</t>
  </si>
  <si>
    <t>ROSHNI SONI</t>
  </si>
  <si>
    <t>RACHIT GUPTA</t>
  </si>
  <si>
    <t>211756</t>
  </si>
  <si>
    <t>MAHAVEER MANDIR JABALPUR</t>
  </si>
  <si>
    <t>RAVISHANKAR GUPTA</t>
  </si>
  <si>
    <t>PREMWATI GUPTA</t>
  </si>
  <si>
    <t>Quarterly 5%</t>
  </si>
  <si>
    <t>Halfyearly 5%</t>
  </si>
  <si>
    <t>Annual 90%</t>
  </si>
  <si>
    <t>12+5</t>
  </si>
  <si>
    <t>+5</t>
  </si>
  <si>
    <t>14+3</t>
  </si>
  <si>
    <t>+3</t>
  </si>
  <si>
    <t>15+2</t>
  </si>
  <si>
    <t>+2</t>
  </si>
  <si>
    <t>RANI CHOUDHARY</t>
  </si>
  <si>
    <t>965902876383</t>
  </si>
  <si>
    <t>305510690</t>
  </si>
  <si>
    <t>POORAN  YADAV</t>
  </si>
  <si>
    <t>POONAM YADAV</t>
  </si>
  <si>
    <t>830195163999</t>
  </si>
  <si>
    <t>311647469</t>
  </si>
  <si>
    <t>881733491117</t>
  </si>
  <si>
    <t>305365533</t>
  </si>
  <si>
    <t>MONIKA  SARVE</t>
  </si>
  <si>
    <t>346841022338</t>
  </si>
  <si>
    <t>309418519</t>
  </si>
  <si>
    <t>50457356580</t>
  </si>
  <si>
    <t>307188864</t>
  </si>
  <si>
    <t>RAJNI JHARIYA</t>
  </si>
  <si>
    <t>KAVITA  DWIVEDI</t>
  </si>
  <si>
    <t>273212729947</t>
  </si>
  <si>
    <t>321637809</t>
  </si>
  <si>
    <t>TRVENI JHARIYA</t>
  </si>
  <si>
    <t>681271181267</t>
  </si>
  <si>
    <t>319619863</t>
  </si>
  <si>
    <t>301924204632</t>
  </si>
  <si>
    <t>310308317</t>
  </si>
  <si>
    <t>583008959100</t>
  </si>
  <si>
    <t>304851693</t>
  </si>
  <si>
    <t>612483045187</t>
  </si>
  <si>
    <t>304835612</t>
  </si>
  <si>
    <t>885818810399</t>
  </si>
  <si>
    <t>310244935</t>
  </si>
  <si>
    <t>630058933865</t>
  </si>
  <si>
    <t>312451951</t>
  </si>
  <si>
    <t>266475680588</t>
  </si>
  <si>
    <t>304281626</t>
  </si>
  <si>
    <t>678450426487</t>
  </si>
  <si>
    <t>303327262</t>
  </si>
  <si>
    <t>SUNIL KUMAR  JHARIYA</t>
  </si>
  <si>
    <t>510330406835</t>
  </si>
  <si>
    <t>310757196</t>
  </si>
  <si>
    <t>106</t>
  </si>
  <si>
    <t>REETI   PATEL</t>
  </si>
  <si>
    <t>370815083678</t>
  </si>
  <si>
    <t>309271565</t>
  </si>
  <si>
    <t>489340474906</t>
  </si>
  <si>
    <t>320975312</t>
  </si>
  <si>
    <t>802282812338</t>
  </si>
  <si>
    <t>307251212</t>
  </si>
  <si>
    <t>330724614536</t>
  </si>
  <si>
    <t>307616902</t>
  </si>
  <si>
    <t>375224700255</t>
  </si>
  <si>
    <t>321527220</t>
  </si>
  <si>
    <t>REETA  JHARIYA</t>
  </si>
  <si>
    <t>321677209511</t>
  </si>
  <si>
    <t>309375140</t>
  </si>
  <si>
    <t>LOKESH  KAPOOR</t>
  </si>
  <si>
    <t>JYOTI  KAPOOR</t>
  </si>
  <si>
    <t>117</t>
  </si>
  <si>
    <t>394405085850</t>
  </si>
  <si>
    <t>308744105</t>
  </si>
  <si>
    <t>888113745738</t>
  </si>
  <si>
    <t>315378468</t>
  </si>
  <si>
    <t>112</t>
  </si>
  <si>
    <t>COMPUTER201</t>
  </si>
  <si>
    <t>COMPUTER202</t>
  </si>
  <si>
    <t>COMPUTER203</t>
  </si>
  <si>
    <t>COMPUTER204</t>
  </si>
  <si>
    <t>COMPUTER205</t>
  </si>
  <si>
    <t>COMPUTER206</t>
  </si>
  <si>
    <t>COMPUTER207</t>
  </si>
  <si>
    <t>COMPUTER208</t>
  </si>
  <si>
    <t>COMPUTER209</t>
  </si>
  <si>
    <t>COMPUTER210</t>
  </si>
  <si>
    <t>COMPUTER211</t>
  </si>
  <si>
    <t>COMPUTER212</t>
  </si>
  <si>
    <t>COMPUTER213</t>
  </si>
  <si>
    <t>COMPUTER214</t>
  </si>
  <si>
    <t>COMPUTER215</t>
  </si>
  <si>
    <t>COMPUTER216</t>
  </si>
  <si>
    <t>COMPUTER217</t>
  </si>
  <si>
    <t>COMPUTER218</t>
  </si>
  <si>
    <t>COMPUTER219</t>
  </si>
  <si>
    <t>COMPUTER220</t>
  </si>
  <si>
    <t>COMPUTER221</t>
  </si>
  <si>
    <t>COMPUTER222</t>
  </si>
  <si>
    <t>COMPUTER223</t>
  </si>
  <si>
    <t>COMPUTER224</t>
  </si>
  <si>
    <t>COMPUTER225</t>
  </si>
  <si>
    <t>COMPUTER226</t>
  </si>
  <si>
    <t>COMPUTER227</t>
  </si>
  <si>
    <t>COMPUTER228</t>
  </si>
  <si>
    <t>COMPUTER229</t>
  </si>
  <si>
    <t>COMPUTER230</t>
  </si>
  <si>
    <t>COMPUTER231</t>
  </si>
  <si>
    <t>COMPUTER232</t>
  </si>
  <si>
    <t>13</t>
  </si>
  <si>
    <t>COMPUTER233</t>
  </si>
  <si>
    <t>COMPUTER234</t>
  </si>
  <si>
    <t>COMPUTER235</t>
  </si>
  <si>
    <t>COMPUTER236</t>
  </si>
  <si>
    <t>COMPUTER237</t>
  </si>
  <si>
    <t>COMPUTER238</t>
  </si>
  <si>
    <t>COMPUTER239</t>
  </si>
  <si>
    <t>COMPUTER240</t>
  </si>
  <si>
    <t>COMPUTER241</t>
  </si>
  <si>
    <t>COMPUTER242</t>
  </si>
  <si>
    <t>COMPUTER243</t>
  </si>
  <si>
    <t>COMPUTER244</t>
  </si>
  <si>
    <t>COMPUTER245</t>
  </si>
  <si>
    <t>COMPUTER246</t>
  </si>
  <si>
    <t>COMPUTER247</t>
  </si>
  <si>
    <t>COMPUTER248</t>
  </si>
  <si>
    <t>COMPUTER249</t>
  </si>
  <si>
    <t>COMPUTER250</t>
  </si>
  <si>
    <t>SAYITRI CHOUKEY</t>
  </si>
  <si>
    <t>ARNAV DONGRE</t>
  </si>
  <si>
    <t>2025-2026</t>
  </si>
  <si>
    <t>211614</t>
  </si>
  <si>
    <t>PATEL MOHALLA RAMPUR JABALPUR</t>
  </si>
  <si>
    <t>448281000318</t>
  </si>
  <si>
    <t>307741137</t>
  </si>
  <si>
    <t>ADARSH SAHU</t>
  </si>
  <si>
    <t>211554</t>
  </si>
  <si>
    <t>BRIJESH SAHU</t>
  </si>
  <si>
    <t>SARITA SAHU</t>
  </si>
  <si>
    <t>780347316865</t>
  </si>
  <si>
    <t>306836510</t>
  </si>
  <si>
    <t>AARUSH YADAV</t>
  </si>
  <si>
    <t>211555</t>
  </si>
  <si>
    <t>SHEETU YADAV</t>
  </si>
  <si>
    <t>493395336834</t>
  </si>
  <si>
    <t>311489384</t>
  </si>
  <si>
    <t>ANURAG PATEL</t>
  </si>
  <si>
    <t>211556</t>
  </si>
  <si>
    <t>JITENDRA  PATEL</t>
  </si>
  <si>
    <t>444085347271</t>
  </si>
  <si>
    <t>311919640</t>
  </si>
  <si>
    <t>ADARSH KUMAR KUSHWAHA</t>
  </si>
  <si>
    <t>211730</t>
  </si>
  <si>
    <t>SAKET DHAM ROAD GWARIGHAT JABALPUR</t>
  </si>
  <si>
    <t>RAKESH KUSHWAHA</t>
  </si>
  <si>
    <t>559469857486</t>
  </si>
  <si>
    <t>321637811</t>
  </si>
  <si>
    <t>ARADHY PARMAR</t>
  </si>
  <si>
    <t>211890</t>
  </si>
  <si>
    <t>NEW BASTI GWARIGHAT JABALPUR</t>
  </si>
  <si>
    <t>SOHAN  PARMAR</t>
  </si>
  <si>
    <t>SIKHA  PARMAR</t>
  </si>
  <si>
    <t>680763152129</t>
  </si>
  <si>
    <t>318262484</t>
  </si>
  <si>
    <t>ARNAV YADAV</t>
  </si>
  <si>
    <t>211818</t>
  </si>
  <si>
    <t>MANGELI JABALPUR</t>
  </si>
  <si>
    <t>VIMAL YADAV</t>
  </si>
  <si>
    <t>ARCHANA YADAV</t>
  </si>
  <si>
    <t>487925726245</t>
  </si>
  <si>
    <t>310367509</t>
  </si>
  <si>
    <t>AARTI BARMAN</t>
  </si>
  <si>
    <t>211665</t>
  </si>
  <si>
    <t>SEETA RAM BARMAN</t>
  </si>
  <si>
    <t>518116403423</t>
  </si>
  <si>
    <t>303775791</t>
  </si>
  <si>
    <t>ANSHIKA DHURVE</t>
  </si>
  <si>
    <t>211593</t>
  </si>
  <si>
    <t>MUKTIDHAM GWARIGHAT JABALPUR</t>
  </si>
  <si>
    <t>436963750529</t>
  </si>
  <si>
    <t>313496029</t>
  </si>
  <si>
    <t>DEEPIKA BARMAN</t>
  </si>
  <si>
    <t>211612</t>
  </si>
  <si>
    <t>ASHLEKHA BARMAN</t>
  </si>
  <si>
    <t>549736694524</t>
  </si>
  <si>
    <t>313430520</t>
  </si>
  <si>
    <t>DEVANSHI KUSHWAHA</t>
  </si>
  <si>
    <t>211663</t>
  </si>
  <si>
    <t>531 RATNAKA KANCHANPUR GWARIGHAT JABALPUR</t>
  </si>
  <si>
    <t>BASANT KUSHWAHA</t>
  </si>
  <si>
    <t>HEMLATA KUSHWAHA</t>
  </si>
  <si>
    <t>507415811941</t>
  </si>
  <si>
    <t>319249203</t>
  </si>
  <si>
    <t>DHANI CHOUDHARY</t>
  </si>
  <si>
    <t>211884</t>
  </si>
  <si>
    <t>546371111967</t>
  </si>
  <si>
    <t>308716210</t>
  </si>
  <si>
    <t>DEVANSH PANCHESHWAR</t>
  </si>
  <si>
    <t>211659</t>
  </si>
  <si>
    <t>MANOJ PANCHESHWAR</t>
  </si>
  <si>
    <t>DURGA PANCHESHWAR</t>
  </si>
  <si>
    <t>807983605152</t>
  </si>
  <si>
    <t>305105219</t>
  </si>
  <si>
    <t>DAKSH THAKUR</t>
  </si>
  <si>
    <t>211830</t>
  </si>
  <si>
    <t>P.P.COLONY GWARIGHAT JABALPUR</t>
  </si>
  <si>
    <t>PRADEEP THAKUR</t>
  </si>
  <si>
    <t>RAGINI THAKUR</t>
  </si>
  <si>
    <t>821396032427</t>
  </si>
  <si>
    <t>314900995</t>
  </si>
  <si>
    <t>GOURI PATEL</t>
  </si>
  <si>
    <t>211558</t>
  </si>
  <si>
    <t>DINESH PATEL</t>
  </si>
  <si>
    <t>SONU PATEL</t>
  </si>
  <si>
    <t>379492935866</t>
  </si>
  <si>
    <t>315001164</t>
  </si>
  <si>
    <t>GARIMA KACHHI</t>
  </si>
  <si>
    <t>211592</t>
  </si>
  <si>
    <t>RETNAKA GWARIGHAT JABALPUR</t>
  </si>
  <si>
    <t>DINESH KACHHI</t>
  </si>
  <si>
    <t>SUNITA KACHHI</t>
  </si>
  <si>
    <t>864313384714</t>
  </si>
  <si>
    <t>311633621</t>
  </si>
  <si>
    <t>KRATIKA PATEL</t>
  </si>
  <si>
    <t>211561</t>
  </si>
  <si>
    <t>AJAY PATEL</t>
  </si>
  <si>
    <t>NEHA PATEL</t>
  </si>
  <si>
    <t>558741601100</t>
  </si>
  <si>
    <t>310997986</t>
  </si>
  <si>
    <t>LEELADHAR AHIRWAR</t>
  </si>
  <si>
    <t>211594</t>
  </si>
  <si>
    <t>SHIVRAJ SINGH CHOUHAN NAGAR,GWARIGHAT</t>
  </si>
  <si>
    <t>BABULAL AHIRWAR</t>
  </si>
  <si>
    <t>ROSHANI AHIRWAR</t>
  </si>
  <si>
    <t>777400268581</t>
  </si>
  <si>
    <t>305105262</t>
  </si>
  <si>
    <t>MAHI YADAV</t>
  </si>
  <si>
    <t>211595</t>
  </si>
  <si>
    <t>KALI DHAM DURGANAGAR GWARIGHAT</t>
  </si>
  <si>
    <t>400665338910</t>
  </si>
  <si>
    <t>312083428</t>
  </si>
  <si>
    <t>NAVYA PURI GOSWAMI</t>
  </si>
  <si>
    <t>211564</t>
  </si>
  <si>
    <t>SACHENDRA PURI GOSWAMI</t>
  </si>
  <si>
    <t>DEEPA PURI GOSWAMI</t>
  </si>
  <si>
    <t>686472615976</t>
  </si>
  <si>
    <t>3150628841</t>
  </si>
  <si>
    <t>NIVI JATAV</t>
  </si>
  <si>
    <t>211597</t>
  </si>
  <si>
    <t>539189636870</t>
  </si>
  <si>
    <t>315080210</t>
  </si>
  <si>
    <t>PAWANI SAINI</t>
  </si>
  <si>
    <t>211609</t>
  </si>
  <si>
    <t>JHANDA CHOWK GWARIGHAT JABALPUR</t>
  </si>
  <si>
    <t>AKSHAY SAINI</t>
  </si>
  <si>
    <t>POOJA SAINI</t>
  </si>
  <si>
    <t>332338154313</t>
  </si>
  <si>
    <t>314124778</t>
  </si>
  <si>
    <t>PRERNA CHOUKEY</t>
  </si>
  <si>
    <t>211591</t>
  </si>
  <si>
    <t>CHANDRABHAN CHOUKEY</t>
  </si>
  <si>
    <t>MAMTA CHOUKEY</t>
  </si>
  <si>
    <t>604620284772</t>
  </si>
  <si>
    <t>311784602</t>
  </si>
  <si>
    <t>PRATIGYA BARMAN</t>
  </si>
  <si>
    <t>211669</t>
  </si>
  <si>
    <t>DURGANAGAR BHATOLI GWARIGHAT JABALPUR</t>
  </si>
  <si>
    <t>GYANI  BARMAN</t>
  </si>
  <si>
    <t>REKHA BARMAN</t>
  </si>
  <si>
    <t>505866808061</t>
  </si>
  <si>
    <t>309174561</t>
  </si>
  <si>
    <t>PRACHI SHARMA</t>
  </si>
  <si>
    <t>211791</t>
  </si>
  <si>
    <t>SAKET DHAM GWARIGAHT JABALPUR</t>
  </si>
  <si>
    <t>SUNIL SHARMA</t>
  </si>
  <si>
    <t>SONU SHARMA</t>
  </si>
  <si>
    <t>579148178873</t>
  </si>
  <si>
    <t>315054377</t>
  </si>
  <si>
    <t>PARTH SINGH</t>
  </si>
  <si>
    <t>211831</t>
  </si>
  <si>
    <t>BHALLA COLONY RETNAKA GWARIGHAT JABALPUR</t>
  </si>
  <si>
    <t>NISHANT SINGH</t>
  </si>
  <si>
    <t>JAYA SINGH</t>
  </si>
  <si>
    <t>359962535015</t>
  </si>
  <si>
    <t>322892561</t>
  </si>
  <si>
    <t>RIYA PASI</t>
  </si>
  <si>
    <t>211566</t>
  </si>
  <si>
    <t>SANT NAGAR POLIPATHAR GWARIGHAT ROAD JABALPUR</t>
  </si>
  <si>
    <t>451060912225</t>
  </si>
  <si>
    <t>313911557</t>
  </si>
  <si>
    <t>111</t>
  </si>
  <si>
    <t>RUHI KUSHWAHA</t>
  </si>
  <si>
    <t>211565</t>
  </si>
  <si>
    <t>PURANI BASTI GAWRIGHAT JABALPUR</t>
  </si>
  <si>
    <t>NITESH KUSHWAHA</t>
  </si>
  <si>
    <t>NEHA KUSHWAHA</t>
  </si>
  <si>
    <t>495256242485</t>
  </si>
  <si>
    <t>313746220</t>
  </si>
  <si>
    <t>RITIKA AHIRWAR</t>
  </si>
  <si>
    <t>211811</t>
  </si>
  <si>
    <t>SANGITA  AHIRWAR</t>
  </si>
  <si>
    <t>9009967810</t>
  </si>
  <si>
    <t>308716102</t>
  </si>
  <si>
    <t>RIYANSH KUSHWAHA</t>
  </si>
  <si>
    <t>211590</t>
  </si>
  <si>
    <t>RAJNEESH   KUSHWAHA</t>
  </si>
  <si>
    <t>RADHA  KUSHWAHA</t>
  </si>
  <si>
    <t>793938405648</t>
  </si>
  <si>
    <t>313729367</t>
  </si>
  <si>
    <t>RUDRA RAJAK</t>
  </si>
  <si>
    <t>211568</t>
  </si>
  <si>
    <t>BHOLU RAJAK</t>
  </si>
  <si>
    <t>SARSVATI RAJAK</t>
  </si>
  <si>
    <t>442436348500</t>
  </si>
  <si>
    <t>315378499</t>
  </si>
  <si>
    <t>RISHI CHOUDHARY</t>
  </si>
  <si>
    <t>211744</t>
  </si>
  <si>
    <t>AMBEDKAR NAGAR POLIPATHAR GWARIGHAT JABALPUR</t>
  </si>
  <si>
    <t>AMAR CHOUDHARY</t>
  </si>
  <si>
    <t>GUDIYA  CHOUDHARY</t>
  </si>
  <si>
    <t>488034109824</t>
  </si>
  <si>
    <t>311356781</t>
  </si>
  <si>
    <t>SRISHTI BARMAN</t>
  </si>
  <si>
    <t>211570</t>
  </si>
  <si>
    <t>NEAR SHARDA MANDIR GWARIGHAT JABALPUR</t>
  </si>
  <si>
    <t>PARMU BARMAN</t>
  </si>
  <si>
    <t>BHOORI BARMAN</t>
  </si>
  <si>
    <t>896322037802</t>
  </si>
  <si>
    <t>313729466</t>
  </si>
  <si>
    <t>SRASTI JHARIYA</t>
  </si>
  <si>
    <t>211798</t>
  </si>
  <si>
    <t>MANISH KUMAR JHARIYA</t>
  </si>
  <si>
    <t>SONALI JHARIYA</t>
  </si>
  <si>
    <t>619509315730</t>
  </si>
  <si>
    <t>31972973</t>
  </si>
  <si>
    <t>101</t>
  </si>
  <si>
    <t>SHWETA MALVIYA</t>
  </si>
  <si>
    <t>211685</t>
  </si>
  <si>
    <t>MOHIT MALVIYA</t>
  </si>
  <si>
    <t>SANDHYA MALVIYA</t>
  </si>
  <si>
    <t>859118562136</t>
  </si>
  <si>
    <t>311357000</t>
  </si>
  <si>
    <t>SANVI KEWAT</t>
  </si>
  <si>
    <t>211666</t>
  </si>
  <si>
    <t>SATISH KEWAT</t>
  </si>
  <si>
    <t>AARTI KEWAT</t>
  </si>
  <si>
    <t>741519568799</t>
  </si>
  <si>
    <t>314269758</t>
  </si>
  <si>
    <t>SONAKSHI KAPOOR</t>
  </si>
  <si>
    <t>211819</t>
  </si>
  <si>
    <t>NAI BASTI CHUNGI GWARIGHAT JABALPUR</t>
  </si>
  <si>
    <t>KESHBIN KAPOOR</t>
  </si>
  <si>
    <t>CHANDRAKALA</t>
  </si>
  <si>
    <t>510980310139</t>
  </si>
  <si>
    <t>313459392</t>
  </si>
  <si>
    <t>SAMEER AHIRWAR</t>
  </si>
  <si>
    <t>211728</t>
  </si>
  <si>
    <t>SANTOSH  AHIRWAR</t>
  </si>
  <si>
    <t>POONAM AHIRWAR</t>
  </si>
  <si>
    <t>727831389489</t>
  </si>
  <si>
    <t>314901027</t>
  </si>
  <si>
    <t>TANISHKA AHIRWAR</t>
  </si>
  <si>
    <t>211796</t>
  </si>
  <si>
    <t>GRAM CHHIWLA GWARIGHAT JABALPUR</t>
  </si>
  <si>
    <t>KIRTI AHIRWAR</t>
  </si>
  <si>
    <t>219795400406</t>
  </si>
  <si>
    <t>321437316</t>
  </si>
  <si>
    <t>VAISHNAVI BARMAN</t>
  </si>
  <si>
    <t>211571</t>
  </si>
  <si>
    <t>NEAR RAILWAY STATION BHATOLI GWARIGHAT JABALPUR</t>
  </si>
  <si>
    <t>PRAMOD BARMAN</t>
  </si>
  <si>
    <t>746844175077</t>
  </si>
  <si>
    <t>308201486</t>
  </si>
  <si>
    <t>VAISHNAVI BAIRAGI</t>
  </si>
  <si>
    <t>ENGLISH (SPECIAL)141</t>
  </si>
  <si>
    <t>211670</t>
  </si>
  <si>
    <t>GULAB BAIRAGI</t>
  </si>
  <si>
    <t>DURGA</t>
  </si>
  <si>
    <t>314239400907</t>
  </si>
  <si>
    <t>316607681</t>
  </si>
  <si>
    <t>HINDI (GENERAL)141</t>
  </si>
  <si>
    <t>E.V.S.141</t>
  </si>
  <si>
    <t>CLEANLINESS141</t>
  </si>
  <si>
    <t>G.K. / MORAL SCIENCE141</t>
  </si>
  <si>
    <t>COMPUTER141</t>
  </si>
  <si>
    <t>YUVRAJ JHARIYA</t>
  </si>
  <si>
    <t>COMPUTER142</t>
  </si>
  <si>
    <t>211656</t>
  </si>
  <si>
    <t>DURGANAGAR,GWARIGHAT JABALPUR</t>
  </si>
  <si>
    <t>NEELU JHARIYA</t>
  </si>
  <si>
    <t>MOHINI JHARIYA</t>
  </si>
  <si>
    <t>749026755024</t>
  </si>
  <si>
    <t>311218569</t>
  </si>
  <si>
    <t>G.K. / MORAL SCIENCE142</t>
  </si>
  <si>
    <t>CLEANLINESS142</t>
  </si>
  <si>
    <t>E.V.S.142</t>
  </si>
  <si>
    <t>HINDI (GENERAL)142</t>
  </si>
  <si>
    <t>ENGLISH (SPECIAL)142</t>
  </si>
  <si>
    <t>SAHIL YADAV</t>
  </si>
  <si>
    <t>ENGLISH (SPECIAL)143</t>
  </si>
  <si>
    <t>211829</t>
  </si>
  <si>
    <t>SHREECHAND YADAV</t>
  </si>
  <si>
    <t>DULARI BAI</t>
  </si>
  <si>
    <t>929934822000</t>
  </si>
  <si>
    <t>308322726</t>
  </si>
  <si>
    <t>HINDI (GENERAL)143</t>
  </si>
  <si>
    <t>E.V.S.143</t>
  </si>
  <si>
    <t>CLEANLINESS143</t>
  </si>
  <si>
    <t>G.K. / MORAL SCIENCE143</t>
  </si>
  <si>
    <t>COMPUTER143</t>
  </si>
  <si>
    <t>COMPUTER144</t>
  </si>
  <si>
    <t>211668</t>
  </si>
  <si>
    <t>SUNEEL BARMAN</t>
  </si>
  <si>
    <t>KOUSHALIYA</t>
  </si>
  <si>
    <t>622045129935</t>
  </si>
  <si>
    <t>200484999</t>
  </si>
  <si>
    <t>G.K. / MORAL SCIENCE144</t>
  </si>
  <si>
    <t>CLEANLINESS144</t>
  </si>
  <si>
    <t>E.V.S.144</t>
  </si>
  <si>
    <t>HINDI (GENERAL)144</t>
  </si>
  <si>
    <t>ENGLISH (SPECIAL)144</t>
  </si>
  <si>
    <t>RUDRA KUMAR GOUND</t>
  </si>
  <si>
    <t>ENGLISH (SPECIAL)145</t>
  </si>
  <si>
    <t>211900</t>
  </si>
  <si>
    <t>NEW BASTI JHANDA CHOUK GWARIGHAT JABALPUR</t>
  </si>
  <si>
    <t>VINOD GOUND</t>
  </si>
  <si>
    <t>URMILA GOUND</t>
  </si>
  <si>
    <t>841476925096</t>
  </si>
  <si>
    <t>315686676</t>
  </si>
  <si>
    <t>HINDI (GENERAL)145</t>
  </si>
  <si>
    <t>E.V.S.145</t>
  </si>
  <si>
    <t>CLEANLINESS145</t>
  </si>
  <si>
    <t>G.K. / MORAL SCIENCE145</t>
  </si>
  <si>
    <t>COMPUTER145</t>
  </si>
  <si>
    <t>RUDRA BARMAN</t>
  </si>
  <si>
    <t>COMPUTER146</t>
  </si>
  <si>
    <t>211854</t>
  </si>
  <si>
    <t>BARMAN MOHALLA GWARIGHAT JABALPUR</t>
  </si>
  <si>
    <t>RAJENDRA BARMAN</t>
  </si>
  <si>
    <t>SEEMA BARMAN</t>
  </si>
  <si>
    <t>626020219294</t>
  </si>
  <si>
    <t>311991672</t>
  </si>
  <si>
    <t>G.K. / MORAL SCIENCE146</t>
  </si>
  <si>
    <t>CLEANLINESS146</t>
  </si>
  <si>
    <t>E.V.S.146</t>
  </si>
  <si>
    <t>HINDI (GENERAL)146</t>
  </si>
  <si>
    <t>ENGLISH (SPECIAL)146</t>
  </si>
  <si>
    <t>ASHI CHOUHAN</t>
  </si>
  <si>
    <t>211820</t>
  </si>
  <si>
    <t>BADSHAH MANDIR P.P COLONY GWARIGHAT JABALPUR</t>
  </si>
  <si>
    <t>MANOJ CHOUHAN</t>
  </si>
  <si>
    <t>RIYA</t>
  </si>
  <si>
    <t>812341296279</t>
  </si>
  <si>
    <t>308640893</t>
  </si>
  <si>
    <t>ARPITA THAKUR</t>
  </si>
  <si>
    <t>211804</t>
  </si>
  <si>
    <t>DHIRENDRA THAKUR</t>
  </si>
  <si>
    <t>RENUKA THAKUR</t>
  </si>
  <si>
    <t>327293604746</t>
  </si>
  <si>
    <t>320629363</t>
  </si>
  <si>
    <t>KHUSHAL BARMAN</t>
  </si>
  <si>
    <t>211888</t>
  </si>
  <si>
    <t>VISHAL BARMAN</t>
  </si>
  <si>
    <t>DEEKSHA</t>
  </si>
  <si>
    <t>299290779959</t>
  </si>
  <si>
    <t>315112822</t>
  </si>
  <si>
    <t>MAHAK BARMAN</t>
  </si>
  <si>
    <t>211849</t>
  </si>
  <si>
    <t>RAKESH KUMAR BARMAN</t>
  </si>
  <si>
    <t>GAYATRI BARMAN</t>
  </si>
  <si>
    <t>813192410448</t>
  </si>
  <si>
    <t>304143288</t>
  </si>
  <si>
    <t>6/19</t>
  </si>
  <si>
    <t>PRIYANSH YADAV</t>
  </si>
  <si>
    <t>211782</t>
  </si>
  <si>
    <t>SOMRAJ YADAV</t>
  </si>
  <si>
    <t>PREMLATA YADAV</t>
  </si>
  <si>
    <t>385816835433</t>
  </si>
  <si>
    <t>320858096</t>
  </si>
  <si>
    <t>140</t>
  </si>
  <si>
    <t>211865</t>
  </si>
  <si>
    <t>STATION GWARIGHAT JABALPUR</t>
  </si>
  <si>
    <t>MANU MISHRA</t>
  </si>
  <si>
    <t>MANISHA MISHRA</t>
  </si>
  <si>
    <t>581863764568</t>
  </si>
  <si>
    <t>313696581</t>
  </si>
  <si>
    <t>RUDRA AHIRWAR</t>
  </si>
  <si>
    <t>211790</t>
  </si>
  <si>
    <t>SANDHYA AHIRWAR</t>
  </si>
  <si>
    <t>836318191091</t>
  </si>
  <si>
    <t>307250710</t>
  </si>
  <si>
    <t>ROHAN BARMAN</t>
  </si>
  <si>
    <t>211806</t>
  </si>
  <si>
    <t>SHRIRAM BARMAN</t>
  </si>
  <si>
    <t>KAVITA BARMAN</t>
  </si>
  <si>
    <t>220520518409</t>
  </si>
  <si>
    <t>315686697</t>
  </si>
  <si>
    <t>SHOURYA ARMO</t>
  </si>
  <si>
    <t>211783</t>
  </si>
  <si>
    <t>PHE COLONY LALPUR ROAD GWARIGHAT JABALPUR</t>
  </si>
  <si>
    <t>SHAIL KUMAR ARMO</t>
  </si>
  <si>
    <t>MANISHA ARMO</t>
  </si>
  <si>
    <t>513577711015</t>
  </si>
  <si>
    <t>307321272</t>
  </si>
  <si>
    <t>SANVI AHIRWAR</t>
  </si>
  <si>
    <t>211799</t>
  </si>
  <si>
    <t>1135 JILEHARI GRAM GWARIGHAT JABALPUR</t>
  </si>
  <si>
    <t>RAKESH AHIRWAR</t>
  </si>
  <si>
    <t>SAPNA AHIRWAR</t>
  </si>
  <si>
    <t>264033170122</t>
  </si>
  <si>
    <t>305410667</t>
  </si>
  <si>
    <t>142</t>
  </si>
  <si>
    <t>62</t>
  </si>
  <si>
    <t>DEVSHANIKAR KUDERIYA</t>
  </si>
  <si>
    <t>211905</t>
  </si>
  <si>
    <t>AMBIKA PRASHAD KUDARIYA</t>
  </si>
  <si>
    <t>SUNITA KUDARIYA</t>
  </si>
  <si>
    <t>601128452312</t>
  </si>
  <si>
    <t>321610180</t>
  </si>
  <si>
    <t>13+4</t>
  </si>
  <si>
    <t>+4</t>
  </si>
  <si>
    <t>164</t>
  </si>
  <si>
    <t>BALLVI RAJPUT</t>
  </si>
  <si>
    <t>211897</t>
  </si>
  <si>
    <t>TELHARI JABALPUR</t>
  </si>
  <si>
    <t>RAJU RAJPUT</t>
  </si>
  <si>
    <t>DIPALI RAJPUT</t>
  </si>
  <si>
    <t>751583331493</t>
  </si>
  <si>
    <t>305907025</t>
  </si>
  <si>
    <t>150</t>
  </si>
  <si>
    <t>51</t>
  </si>
  <si>
    <t>223</t>
  </si>
  <si>
    <t>65</t>
  </si>
  <si>
    <t>PRAGYA CHOUHAN</t>
  </si>
  <si>
    <t>211822</t>
  </si>
  <si>
    <t>HALWAI BADSHAH MANDIR POLIPATHER</t>
  </si>
  <si>
    <t>RIYA CHOUHAN</t>
  </si>
  <si>
    <t>780450836471</t>
  </si>
  <si>
    <t>308640292</t>
  </si>
  <si>
    <t>MATHS335</t>
  </si>
  <si>
    <t>ENGLISH (SPECIAL)335</t>
  </si>
  <si>
    <t>HINDI (GENERAL)335</t>
  </si>
  <si>
    <t>E.V.S.335</t>
  </si>
  <si>
    <t>CLEANLINESS335</t>
  </si>
  <si>
    <t>COMPUTER335</t>
  </si>
  <si>
    <t>G.K. / MORAL SCIENCE335</t>
  </si>
  <si>
    <t>G.K. / MORAL SCIENCE336</t>
  </si>
  <si>
    <t>COMPUTER336</t>
  </si>
  <si>
    <t>CLEANLINESS336</t>
  </si>
  <si>
    <t>E.V.S.336</t>
  </si>
  <si>
    <t>HINDI (GENERAL)336</t>
  </si>
  <si>
    <t>ENGLISH (SPECIAL)336</t>
  </si>
  <si>
    <t>MATHS336</t>
  </si>
  <si>
    <t>RAJVANSH PATEL</t>
  </si>
  <si>
    <t>MATHS337</t>
  </si>
  <si>
    <t>211868</t>
  </si>
  <si>
    <t>BEHIND UCO BANK POLIPATHER</t>
  </si>
  <si>
    <t>SATEESH KUMAR</t>
  </si>
  <si>
    <t>GEETA PATEL</t>
  </si>
  <si>
    <t>671459369056</t>
  </si>
  <si>
    <t>307610485</t>
  </si>
  <si>
    <t>ENGLISH (SPECIAL)337</t>
  </si>
  <si>
    <t>HINDI (GENERAL)337</t>
  </si>
  <si>
    <t>E.V.S.337</t>
  </si>
  <si>
    <t>CLEANLINESS337</t>
  </si>
  <si>
    <t>COMPUTER337</t>
  </si>
  <si>
    <t>G.K. / MORAL SCIENCE337</t>
  </si>
  <si>
    <t>RUDRA PATEL</t>
  </si>
  <si>
    <t>G.K. / MORAL SCIENCE338</t>
  </si>
  <si>
    <t>211837</t>
  </si>
  <si>
    <t>262622452458</t>
  </si>
  <si>
    <t>310308454</t>
  </si>
  <si>
    <t>COMPUTER338</t>
  </si>
  <si>
    <t>CLEANLINESS338</t>
  </si>
  <si>
    <t>E.V.S.338</t>
  </si>
  <si>
    <t>HINDI (GENERAL)338</t>
  </si>
  <si>
    <t>ENGLISH (SPECIAL)338</t>
  </si>
  <si>
    <t>MATHS338</t>
  </si>
  <si>
    <t>MATHS339</t>
  </si>
  <si>
    <t>ENGLISH (SPECIAL)339</t>
  </si>
  <si>
    <t>HINDI (GENERAL)339</t>
  </si>
  <si>
    <t>E.V.S.339</t>
  </si>
  <si>
    <t>CLEANLINESS339</t>
  </si>
  <si>
    <t>COMPUTER339</t>
  </si>
  <si>
    <t>G.K. / MORAL SCIENCE339</t>
  </si>
  <si>
    <t>G.K. / MORAL SCIENCE340</t>
  </si>
  <si>
    <t>COMPUTER340</t>
  </si>
  <si>
    <t>CLEANLINESS340</t>
  </si>
  <si>
    <t>E.V.S.340</t>
  </si>
  <si>
    <t>HINDI (GENERAL)340</t>
  </si>
  <si>
    <t>ENGLISH (SPECIAL)340</t>
  </si>
  <si>
    <t>MATHS340</t>
  </si>
  <si>
    <t>MATHS341</t>
  </si>
  <si>
    <t>ENGLISH (SPECIAL)341</t>
  </si>
  <si>
    <t>HINDI (GENERAL)341</t>
  </si>
  <si>
    <t>E.V.S.341</t>
  </si>
  <si>
    <t>CLEANLINESS341</t>
  </si>
  <si>
    <t>COMPUTER341</t>
  </si>
  <si>
    <t>G.K. / MORAL SCIENCE341</t>
  </si>
  <si>
    <t>G.K. / MORAL SCIENCE342</t>
  </si>
  <si>
    <t>COMPUTER342</t>
  </si>
  <si>
    <t>CLEANLINESS342</t>
  </si>
  <si>
    <t>E.V.S.342</t>
  </si>
  <si>
    <t>HINDI (GENERAL)342</t>
  </si>
  <si>
    <t>ENGLISH (SPECIAL)342</t>
  </si>
  <si>
    <t>MATHS342</t>
  </si>
  <si>
    <t>MATHS343</t>
  </si>
  <si>
    <t>ENGLISH (SPECIAL)343</t>
  </si>
  <si>
    <t>HINDI (GENERAL)343</t>
  </si>
  <si>
    <t>E.V.S.343</t>
  </si>
  <si>
    <t>CLEANLINESS343</t>
  </si>
  <si>
    <t>COMPUTER343</t>
  </si>
  <si>
    <t>G.K. / MORAL SCIENCE343</t>
  </si>
  <si>
    <t>G.K. / MORAL SCIENCE344</t>
  </si>
  <si>
    <t>COMPUTER344</t>
  </si>
  <si>
    <t>CLEANLINESS344</t>
  </si>
  <si>
    <t>E.V.S.344</t>
  </si>
  <si>
    <t>HINDI (GENERAL)344</t>
  </si>
  <si>
    <t>ENGLISH (SPECIAL)344</t>
  </si>
  <si>
    <t>MATHS344</t>
  </si>
  <si>
    <t>MATHS345</t>
  </si>
  <si>
    <t>ENGLISH (SPECIAL)345</t>
  </si>
  <si>
    <t>HINDI (GENERAL)345</t>
  </si>
  <si>
    <t>E.V.S.345</t>
  </si>
  <si>
    <t>CLEANLINESS345</t>
  </si>
  <si>
    <t>COMPUTER345</t>
  </si>
  <si>
    <t>G.K. / MORAL SCIENCE345</t>
  </si>
  <si>
    <t>G.K. / MORAL SCIENCE346</t>
  </si>
  <si>
    <t>COMPUTER346</t>
  </si>
  <si>
    <t>CLEANLINESS346</t>
  </si>
  <si>
    <t>E.V.S.346</t>
  </si>
  <si>
    <t>HINDI (GENERAL)346</t>
  </si>
  <si>
    <t>ENGLISH (SPECIAL)346</t>
  </si>
  <si>
    <t>MATHS346</t>
  </si>
  <si>
    <t>MATHS347</t>
  </si>
  <si>
    <t>ENGLISH (SPECIAL)347</t>
  </si>
  <si>
    <t>HINDI (GENERAL)347</t>
  </si>
  <si>
    <t>E.V.S.347</t>
  </si>
  <si>
    <t>CLEANLINESS347</t>
  </si>
  <si>
    <t>COMPUTER347</t>
  </si>
  <si>
    <t>G.K. / MORAL SCIENCE347</t>
  </si>
  <si>
    <t>G.K. / MORAL SCIENCE348</t>
  </si>
  <si>
    <t>COMPUTER348</t>
  </si>
  <si>
    <t>CLEANLINESS348</t>
  </si>
  <si>
    <t>E.V.S.348</t>
  </si>
  <si>
    <t>HINDI (GENERAL)348</t>
  </si>
  <si>
    <t>ENGLISH (SPECIAL)348</t>
  </si>
  <si>
    <t>MATHS348</t>
  </si>
  <si>
    <t>MATHS349</t>
  </si>
  <si>
    <t>ENGLISH (SPECIAL)349</t>
  </si>
  <si>
    <t>HINDI (GENERAL)349</t>
  </si>
  <si>
    <t>E.V.S.349</t>
  </si>
  <si>
    <t>CLEANLINESS349</t>
  </si>
  <si>
    <t>COMPUTER349</t>
  </si>
  <si>
    <t>G.K. / MORAL SCIENCE349</t>
  </si>
  <si>
    <t>G.K. / MORAL SCIENCE350</t>
  </si>
  <si>
    <t>COMPUTER350</t>
  </si>
  <si>
    <t>CLEANLINESS350</t>
  </si>
  <si>
    <t>E.V.S.350</t>
  </si>
  <si>
    <t>HINDI (GENERAL)350</t>
  </si>
  <si>
    <t>ENGLISH (SPECIAL)350</t>
  </si>
  <si>
    <t>MATHS350</t>
  </si>
  <si>
    <t>MATHS351</t>
  </si>
  <si>
    <t>ENGLISH (SPECIAL)351</t>
  </si>
  <si>
    <t>HINDI (GENERAL)351</t>
  </si>
  <si>
    <t>E.V.S.351</t>
  </si>
  <si>
    <t>CLEANLINESS351</t>
  </si>
  <si>
    <t>COMPUTER351</t>
  </si>
  <si>
    <t>G.K. / MORAL SCIENCE351</t>
  </si>
  <si>
    <t>G.K. / MORAL SCIENCE352</t>
  </si>
  <si>
    <t>COMPUTER352</t>
  </si>
  <si>
    <t>CLEANLINESS352</t>
  </si>
  <si>
    <t>E.V.S.352</t>
  </si>
  <si>
    <t>HINDI (GENERAL)352</t>
  </si>
  <si>
    <t>ENGLISH (SPECIAL)352</t>
  </si>
  <si>
    <t>MATHS352</t>
  </si>
  <si>
    <t>149</t>
  </si>
  <si>
    <t>52</t>
  </si>
  <si>
    <t>AMANDEEP SEN</t>
  </si>
  <si>
    <t>211808</t>
  </si>
  <si>
    <t>PRADEEP SEN</t>
  </si>
  <si>
    <t>SAPNA SEN</t>
  </si>
  <si>
    <t>807409197904</t>
  </si>
  <si>
    <t>305059995</t>
  </si>
  <si>
    <t>DIVYANSHI CHOUDHARY</t>
  </si>
  <si>
    <t>211803</t>
  </si>
  <si>
    <t>BHARAT CHOUDHARY</t>
  </si>
  <si>
    <t>SUNITA CHOUDHARY</t>
  </si>
  <si>
    <t>988443814850</t>
  </si>
  <si>
    <t>303201287</t>
  </si>
  <si>
    <t>11</t>
  </si>
  <si>
    <t>KRATI UIKEY</t>
  </si>
  <si>
    <t>211875</t>
  </si>
  <si>
    <t>SATYAPRAKASH PUBLIC SCHOOL GWARIGHAT</t>
  </si>
  <si>
    <t>KESHAV PRASAD</t>
  </si>
  <si>
    <t>CHANDRIKA</t>
  </si>
  <si>
    <t>966350317031</t>
  </si>
  <si>
    <t>309175981</t>
  </si>
  <si>
    <t>KRISH PADWAR</t>
  </si>
  <si>
    <t>211879</t>
  </si>
  <si>
    <t>POLIPATHER GWARIGHAT</t>
  </si>
  <si>
    <t>KRISHAN PADWAR</t>
  </si>
  <si>
    <t>SAVITA</t>
  </si>
  <si>
    <t>946473819881</t>
  </si>
  <si>
    <t>302740354</t>
  </si>
  <si>
    <t>PIYUSH MARSAKOLE</t>
  </si>
  <si>
    <t>211885</t>
  </si>
  <si>
    <t>SANT NAGER GWARIGHAT</t>
  </si>
  <si>
    <t>PRAKASH</t>
  </si>
  <si>
    <t>SUBHIYA</t>
  </si>
  <si>
    <t>532944876693</t>
  </si>
  <si>
    <t>315870322</t>
  </si>
  <si>
    <t>RISHABH WARKADE</t>
  </si>
  <si>
    <t>211867</t>
  </si>
  <si>
    <t>CHHIWALA GRAM GWARIGHAT</t>
  </si>
  <si>
    <t>AJIT KUMAR WARKADE</t>
  </si>
  <si>
    <t>RANI</t>
  </si>
  <si>
    <t>978337630033</t>
  </si>
  <si>
    <t>308333711</t>
  </si>
  <si>
    <t>151</t>
  </si>
  <si>
    <t>SOMYA AHIRWAR</t>
  </si>
  <si>
    <t>G.K. / MORAL SCIENCE441</t>
  </si>
  <si>
    <t>211844</t>
  </si>
  <si>
    <t>JILHARI GRAM GWARIGHAT JABALPUR</t>
  </si>
  <si>
    <t>860030857977</t>
  </si>
  <si>
    <t>312732652</t>
  </si>
  <si>
    <t>COMPUTER441</t>
  </si>
  <si>
    <t>CLEANLINESS441</t>
  </si>
  <si>
    <t>MATHS441</t>
  </si>
  <si>
    <t>ENGLISH (SPECIAL)441</t>
  </si>
  <si>
    <t>HINDI (GENERAL)441</t>
  </si>
  <si>
    <t>E.V.S.441</t>
  </si>
  <si>
    <t>E.V.S.442</t>
  </si>
  <si>
    <t>HINDI (GENERAL)442</t>
  </si>
  <si>
    <t>ENGLISH (SPECIAL)442</t>
  </si>
  <si>
    <t>MATHS442</t>
  </si>
  <si>
    <t>CLEANLINESS442</t>
  </si>
  <si>
    <t>COMPUTER442</t>
  </si>
  <si>
    <t>G.K. / MORAL SCIENCE442</t>
  </si>
  <si>
    <t>G.K. / MORAL SCIENCE443</t>
  </si>
  <si>
    <t>157</t>
  </si>
  <si>
    <t>COMPUTER443</t>
  </si>
  <si>
    <t>CLEANLINESS443</t>
  </si>
  <si>
    <t>MATHS443</t>
  </si>
  <si>
    <t>ENGLISH (SPECIAL)443</t>
  </si>
  <si>
    <t>HINDI (GENERAL)443</t>
  </si>
  <si>
    <t>E.V.S.443</t>
  </si>
  <si>
    <t>E.V.S.444</t>
  </si>
  <si>
    <t>HINDI (GENERAL)444</t>
  </si>
  <si>
    <t>ENGLISH (SPECIAL)444</t>
  </si>
  <si>
    <t>MATHS444</t>
  </si>
  <si>
    <t>CLEANLINESS444</t>
  </si>
  <si>
    <t>COMPUTER444</t>
  </si>
  <si>
    <t>G.K. / MORAL SCIENCE444</t>
  </si>
  <si>
    <t>VAISHNAVI YADAV</t>
  </si>
  <si>
    <t>G.K. / MORAL SCIENCE445</t>
  </si>
  <si>
    <t>211805</t>
  </si>
  <si>
    <t>SAHAB LAL YADAV</t>
  </si>
  <si>
    <t>AASHA BAI YADAV</t>
  </si>
  <si>
    <t>232334865202</t>
  </si>
  <si>
    <t>300706061</t>
  </si>
  <si>
    <t>COMPUTER445</t>
  </si>
  <si>
    <t>CLEANLINESS445</t>
  </si>
  <si>
    <t>MATHS445</t>
  </si>
  <si>
    <t>ENGLISH (SPECIAL)445</t>
  </si>
  <si>
    <t>HINDI (GENERAL)445</t>
  </si>
  <si>
    <t>E.V.S.445</t>
  </si>
  <si>
    <t>MATHS101</t>
  </si>
  <si>
    <t>MATHS102</t>
  </si>
  <si>
    <t>MATHS103</t>
  </si>
  <si>
    <t>MATHS104</t>
  </si>
  <si>
    <t>MATHS105</t>
  </si>
  <si>
    <t>MATHS106</t>
  </si>
  <si>
    <t>MATHS107</t>
  </si>
  <si>
    <t>MATHS108</t>
  </si>
  <si>
    <t>MATHS109</t>
  </si>
  <si>
    <t>MATHS110</t>
  </si>
  <si>
    <t>MATHS111</t>
  </si>
  <si>
    <t>MATHS112</t>
  </si>
  <si>
    <t>MATHS113</t>
  </si>
  <si>
    <t>MATHS114</t>
  </si>
  <si>
    <t>MATHS115</t>
  </si>
  <si>
    <t>MATHS116</t>
  </si>
  <si>
    <t>MATHS117</t>
  </si>
  <si>
    <t>MATHS118</t>
  </si>
  <si>
    <t>MATHS119</t>
  </si>
  <si>
    <t>MATHS120</t>
  </si>
  <si>
    <t>MATHS121</t>
  </si>
  <si>
    <t>MATHS122</t>
  </si>
  <si>
    <t>MATHS123</t>
  </si>
  <si>
    <t>MATHS124</t>
  </si>
  <si>
    <t>MATHS125</t>
  </si>
  <si>
    <t>MATHS126</t>
  </si>
  <si>
    <t>MATHS127</t>
  </si>
  <si>
    <t>MATHS128</t>
  </si>
  <si>
    <t>MATHS129</t>
  </si>
  <si>
    <t>MATHS130</t>
  </si>
  <si>
    <t>MATHS131</t>
  </si>
  <si>
    <t>MATHS132</t>
  </si>
  <si>
    <t>MATHS133</t>
  </si>
  <si>
    <t>MATHS134</t>
  </si>
  <si>
    <t>MATHS135</t>
  </si>
  <si>
    <t>MATHS136</t>
  </si>
  <si>
    <t>MATHS137</t>
  </si>
  <si>
    <t>MATHS138</t>
  </si>
  <si>
    <t>MATHS139</t>
  </si>
  <si>
    <t>MATHS140</t>
  </si>
  <si>
    <t>MATHS141</t>
  </si>
  <si>
    <t>MATHS142</t>
  </si>
  <si>
    <t>MATHS143</t>
  </si>
  <si>
    <t>MATHS144</t>
  </si>
  <si>
    <t>MATHS145</t>
  </si>
  <si>
    <t>MATHS146</t>
  </si>
  <si>
    <t>G.K. / MORAL SCIENCE201</t>
  </si>
  <si>
    <t>G.K. / MORAL SCIENCE202</t>
  </si>
  <si>
    <t>G.K. / MORAL SCIENCE203</t>
  </si>
  <si>
    <t>G.K. / MORAL SCIENCE204</t>
  </si>
  <si>
    <t>G.K. / MORAL SCIENCE205</t>
  </si>
  <si>
    <t>G.K. / MORAL SCIENCE206</t>
  </si>
  <si>
    <t>G.K. / MORAL SCIENCE207</t>
  </si>
  <si>
    <t>G.K. / MORAL SCIENCE208</t>
  </si>
  <si>
    <t>G.K. / MORAL SCIENCE209</t>
  </si>
  <si>
    <t>G.K. / MORAL SCIENCE210</t>
  </si>
  <si>
    <t>G.K. / MORAL SCIENCE211</t>
  </si>
  <si>
    <t>G.K. / MORAL SCIENCE212</t>
  </si>
  <si>
    <t>G.K. / MORAL SCIENCE213</t>
  </si>
  <si>
    <t>G.K. / MORAL SCIENCE214</t>
  </si>
  <si>
    <t>G.K. / MORAL SCIENCE215</t>
  </si>
  <si>
    <t>G.K. / MORAL SCIENCE216</t>
  </si>
  <si>
    <t>G.K. / MORAL SCIENCE217</t>
  </si>
  <si>
    <t>G.K. / MORAL SCIENCE218</t>
  </si>
  <si>
    <t>G.K. / MORAL SCIENCE219</t>
  </si>
  <si>
    <t>G.K. / MORAL SCIENCE220</t>
  </si>
  <si>
    <t>G.K. / MORAL SCIENCE221</t>
  </si>
  <si>
    <t>G.K. / MORAL SCIENCE222</t>
  </si>
  <si>
    <t>G.K. / MORAL SCIENCE223</t>
  </si>
  <si>
    <t>G.K. / MORAL SCIENCE224</t>
  </si>
  <si>
    <t>G.K. / MORAL SCIENCE225</t>
  </si>
  <si>
    <t>G.K. / MORAL SCIENCE226</t>
  </si>
  <si>
    <t>G.K. / MORAL SCIENCE227</t>
  </si>
  <si>
    <t>G.K. / MORAL SCIENCE228</t>
  </si>
  <si>
    <t>G.K. / MORAL SCIENCE229</t>
  </si>
  <si>
    <t>G.K. / MORAL SCIENCE230</t>
  </si>
  <si>
    <t>G.K. / MORAL SCIENCE231</t>
  </si>
  <si>
    <t>G.K. / MORAL SCIENCE232</t>
  </si>
  <si>
    <t>G.K. / MORAL SCIENCE233</t>
  </si>
  <si>
    <t>G.K. / MORAL SCIENCE234</t>
  </si>
  <si>
    <t>G.K. / MORAL SCIENCE235</t>
  </si>
  <si>
    <t>G.K. / MORAL SCIENCE236</t>
  </si>
  <si>
    <t>G.K. / MORAL SCIENCE237</t>
  </si>
  <si>
    <t>G.K. / MORAL SCIENCE238</t>
  </si>
  <si>
    <t>G.K. / MORAL SCIENCE239</t>
  </si>
  <si>
    <t>G.K. / MORAL SCIENCE240</t>
  </si>
  <si>
    <t>G.K. / MORAL SCIENCE241</t>
  </si>
  <si>
    <t>G.K. / MORAL SCIENCE242</t>
  </si>
  <si>
    <t>G.K. / MORAL SCIENCE243</t>
  </si>
  <si>
    <t>G.K. / MORAL SCIENCE244</t>
  </si>
  <si>
    <t>G.K. / MORAL SCIENCE245</t>
  </si>
  <si>
    <t>G.K. / MORAL SCIENCE246</t>
  </si>
  <si>
    <t>G.K. / MORAL SCIENCE247</t>
  </si>
  <si>
    <t>G.K. / MORAL SCIENCE248</t>
  </si>
  <si>
    <t>G.K. / MORAL SCIENCE249</t>
  </si>
  <si>
    <t>G.K. / MORAL SCIENCE250</t>
  </si>
  <si>
    <t>SUNITA BARMAN</t>
  </si>
  <si>
    <t>SUNEEL CHOUDHARY</t>
  </si>
  <si>
    <t>POOJA CHOUDHARY</t>
  </si>
  <si>
    <t>ROSHNI MISHRA</t>
  </si>
  <si>
    <t>VAISHNAVI RAIKWAR</t>
  </si>
  <si>
    <t>SATISH PATEL</t>
  </si>
  <si>
    <t>POOJA PATEL</t>
  </si>
  <si>
    <t>RAKHI  AHIRWAR</t>
  </si>
  <si>
    <t>ARADHANA K. BARMAN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</si>
</sst>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00439]0"/>
    <numFmt numFmtId="165" formatCode="0.0"/>
    <numFmt numFmtId="166" formatCode="00"/>
    <numFmt numFmtId="167" formatCode="[$-14009]dd/mm/yyyy;@"/>
  </numFmts>
  <fonts count="29">
    <font>
      <sz val="11"/>
      <color theme="1"/>
      <name val="Calibri"/>
      <family val="2"/>
      <scheme val="minor"/>
    </font>
    <font>
      <sz val="11"/>
      <color theme="1"/>
      <name val="Aharoni"/>
      <charset val="177"/>
    </font>
    <font>
      <sz val="14"/>
      <color theme="1"/>
      <name val="Aharoni"/>
      <charset val="177"/>
    </font>
    <font>
      <b/>
      <sz val="13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0"/>
      <color theme="1"/>
      <name val="Microsoft Sans Serif"/>
      <family val="2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omic Sans MS"/>
      <family val="4"/>
    </font>
    <font>
      <sz val="12"/>
      <color theme="1"/>
      <name val="Tw Cen MT Condensed"/>
      <family val="2"/>
    </font>
    <font>
      <b/>
      <sz val="12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color theme="1"/>
      <name val="Albertus Extra Bold"/>
      <family val="2"/>
    </font>
    <font>
      <b/>
      <sz val="13"/>
      <color theme="1"/>
      <name val="Tw Cen MT Condensed"/>
      <family val="2"/>
    </font>
    <font>
      <sz val="13"/>
      <color theme="1"/>
      <name val="Tw Cen MT Condensed"/>
      <family val="2"/>
    </font>
    <font>
      <sz val="16"/>
      <color theme="1"/>
      <name val="Calibri"/>
      <family val="2"/>
      <scheme val="minor"/>
    </font>
    <font>
      <b/>
      <sz val="20"/>
      <color rgb="FFC00000"/>
      <name val="Calibri"/>
      <family val="2"/>
      <scheme val="minor"/>
    </font>
    <font>
      <sz val="26"/>
      <color rgb="FFC00000"/>
      <name val="Franklin Gothic Demi Cond"/>
      <family val="2"/>
    </font>
    <font>
      <sz val="20"/>
      <color rgb="FFC00000"/>
      <name val="Franklin Gothic Demi Cond"/>
      <family val="2"/>
    </font>
    <font>
      <vertAlign val="superscript"/>
      <sz val="11"/>
      <color theme="1"/>
      <name val="Aharoni"/>
      <charset val="177"/>
    </font>
    <font>
      <sz val="1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indexed="64"/>
      </patternFill>
    </fill>
  </fills>
  <borders count="5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87">
    <xf numFmtId="0" fontId="0" fillId="0" borderId="0" xfId="0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0" xfId="0" applyFont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0" fillId="2" borderId="12" xfId="0" applyFill="1" applyBorder="1"/>
    <xf numFmtId="0" fontId="2" fillId="0" borderId="0" xfId="0" applyFont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5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3" fillId="0" borderId="0" xfId="0" applyFont="1"/>
    <xf numFmtId="0" fontId="4" fillId="0" borderId="0" xfId="0" applyFont="1"/>
    <xf numFmtId="0" fontId="4" fillId="0" borderId="0" xfId="0" applyFont="1" applyAlignment="1">
      <alignment vertical="top"/>
    </xf>
    <xf numFmtId="0" fontId="6" fillId="0" borderId="24" xfId="0" applyFont="1" applyBorder="1" applyAlignment="1">
      <alignment horizontal="center" vertical="center" shrinkToFit="1"/>
    </xf>
    <xf numFmtId="0" fontId="6" fillId="0" borderId="14" xfId="0" applyFont="1" applyBorder="1" applyAlignment="1">
      <alignment horizontal="center" vertical="center" shrinkToFit="1"/>
    </xf>
    <xf numFmtId="0" fontId="6" fillId="0" borderId="19" xfId="0" applyFont="1" applyBorder="1" applyAlignment="1">
      <alignment horizontal="center" vertical="center" shrinkToFit="1"/>
    </xf>
    <xf numFmtId="0" fontId="6" fillId="0" borderId="20" xfId="0" applyFont="1" applyBorder="1" applyAlignment="1">
      <alignment horizontal="center" vertical="center" shrinkToFit="1"/>
    </xf>
    <xf numFmtId="0" fontId="6" fillId="0" borderId="18" xfId="0" applyFont="1" applyBorder="1" applyAlignment="1">
      <alignment horizontal="center" vertical="center" shrinkToFit="1"/>
    </xf>
    <xf numFmtId="0" fontId="9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 shrinkToFit="1"/>
    </xf>
    <xf numFmtId="0" fontId="9" fillId="0" borderId="10" xfId="0" applyFont="1" applyBorder="1" applyAlignment="1">
      <alignment horizontal="center" vertical="center"/>
    </xf>
    <xf numFmtId="0" fontId="11" fillId="0" borderId="2" xfId="0" applyFont="1" applyBorder="1"/>
    <xf numFmtId="0" fontId="8" fillId="0" borderId="0" xfId="0" applyFont="1"/>
    <xf numFmtId="0" fontId="8" fillId="0" borderId="0" xfId="0" applyFont="1" applyAlignment="1">
      <alignment vertical="center"/>
    </xf>
    <xf numFmtId="0" fontId="9" fillId="0" borderId="2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8" xfId="0" applyFont="1" applyBorder="1" applyAlignment="1">
      <alignment vertical="center"/>
    </xf>
    <xf numFmtId="0" fontId="4" fillId="0" borderId="10" xfId="0" applyFont="1" applyBorder="1" applyAlignment="1">
      <alignment horizontal="left" vertical="center"/>
    </xf>
    <xf numFmtId="0" fontId="4" fillId="0" borderId="11" xfId="0" applyFont="1" applyBorder="1" applyAlignment="1">
      <alignment horizontal="left" vertical="center"/>
    </xf>
    <xf numFmtId="0" fontId="17" fillId="0" borderId="15" xfId="0" applyFont="1" applyBorder="1" applyAlignment="1">
      <alignment vertical="center"/>
    </xf>
    <xf numFmtId="0" fontId="17" fillId="0" borderId="17" xfId="0" applyFont="1" applyBorder="1" applyAlignment="1">
      <alignment vertical="center"/>
    </xf>
    <xf numFmtId="0" fontId="6" fillId="0" borderId="0" xfId="0" applyFont="1"/>
    <xf numFmtId="0" fontId="15" fillId="0" borderId="0" xfId="0" applyFont="1"/>
    <xf numFmtId="0" fontId="6" fillId="0" borderId="1" xfId="0" applyFont="1" applyBorder="1"/>
    <xf numFmtId="0" fontId="6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6" fillId="0" borderId="9" xfId="0" applyFont="1" applyBorder="1"/>
    <xf numFmtId="0" fontId="20" fillId="0" borderId="0" xfId="0" applyFont="1" applyAlignment="1">
      <alignment vertical="center"/>
    </xf>
    <xf numFmtId="0" fontId="9" fillId="0" borderId="0" xfId="0" applyFont="1"/>
    <xf numFmtId="0" fontId="9" fillId="0" borderId="0" xfId="0" applyFont="1" applyAlignment="1">
      <alignment horizontal="left"/>
    </xf>
    <xf numFmtId="2" fontId="4" fillId="0" borderId="9" xfId="0" applyNumberFormat="1" applyFont="1" applyBorder="1"/>
    <xf numFmtId="0" fontId="6" fillId="0" borderId="35" xfId="0" applyFont="1" applyBorder="1" applyAlignment="1">
      <alignment horizontal="center" vertical="center" shrinkToFit="1"/>
    </xf>
    <xf numFmtId="2" fontId="4" fillId="0" borderId="10" xfId="0" applyNumberFormat="1" applyFont="1" applyBorder="1"/>
    <xf numFmtId="0" fontId="6" fillId="0" borderId="0" xfId="0" applyFont="1" applyAlignment="1">
      <alignment horizontal="left"/>
    </xf>
    <xf numFmtId="0" fontId="9" fillId="0" borderId="10" xfId="0" applyFont="1" applyBorder="1" applyAlignment="1">
      <alignment horizontal="left" vertical="center"/>
    </xf>
    <xf numFmtId="0" fontId="6" fillId="0" borderId="15" xfId="0" applyFont="1" applyBorder="1" applyAlignment="1">
      <alignment horizontal="center" vertical="center" shrinkToFit="1"/>
    </xf>
    <xf numFmtId="0" fontId="6" fillId="0" borderId="13" xfId="0" applyFont="1" applyBorder="1" applyAlignment="1">
      <alignment horizontal="center" vertical="center" shrinkToFit="1"/>
    </xf>
    <xf numFmtId="0" fontId="6" fillId="0" borderId="16" xfId="0" applyFont="1" applyBorder="1" applyAlignment="1">
      <alignment horizontal="center" vertical="center" shrinkToFit="1"/>
    </xf>
    <xf numFmtId="0" fontId="6" fillId="0" borderId="23" xfId="0" applyFont="1" applyBorder="1" applyAlignment="1">
      <alignment horizontal="center" vertical="center" shrinkToFit="1"/>
    </xf>
    <xf numFmtId="165" fontId="7" fillId="0" borderId="30" xfId="0" applyNumberFormat="1" applyFont="1" applyBorder="1" applyAlignment="1">
      <alignment horizontal="right" vertical="center" indent="1" shrinkToFit="1"/>
    </xf>
    <xf numFmtId="0" fontId="6" fillId="0" borderId="0" xfId="0" applyFont="1" applyAlignment="1">
      <alignment horizontal="right"/>
    </xf>
    <xf numFmtId="165" fontId="13" fillId="0" borderId="31" xfId="0" applyNumberFormat="1" applyFont="1" applyBorder="1" applyAlignment="1">
      <alignment horizontal="right" vertical="center" indent="1" shrinkToFit="1"/>
    </xf>
    <xf numFmtId="165" fontId="13" fillId="0" borderId="5" xfId="0" applyNumberFormat="1" applyFont="1" applyBorder="1" applyAlignment="1">
      <alignment horizontal="right" vertical="center" indent="1" shrinkToFit="1"/>
    </xf>
    <xf numFmtId="0" fontId="6" fillId="0" borderId="41" xfId="0" applyFont="1" applyBorder="1" applyAlignment="1">
      <alignment horizontal="center" vertical="center" shrinkToFit="1"/>
    </xf>
    <xf numFmtId="0" fontId="6" fillId="0" borderId="42" xfId="0" applyFont="1" applyBorder="1" applyAlignment="1">
      <alignment horizontal="center" vertical="center" shrinkToFit="1"/>
    </xf>
    <xf numFmtId="0" fontId="6" fillId="0" borderId="43" xfId="0" applyFont="1" applyBorder="1" applyAlignment="1">
      <alignment horizontal="center" vertical="center" shrinkToFit="1"/>
    </xf>
    <xf numFmtId="0" fontId="0" fillId="0" borderId="4" xfId="0" applyBorder="1" applyAlignment="1">
      <alignment horizontal="left" vertical="center" wrapText="1" shrinkToFit="1"/>
    </xf>
    <xf numFmtId="165" fontId="7" fillId="0" borderId="5" xfId="0" applyNumberFormat="1" applyFont="1" applyBorder="1" applyAlignment="1">
      <alignment horizontal="left" vertical="top" wrapText="1" shrinkToFit="1"/>
    </xf>
    <xf numFmtId="2" fontId="7" fillId="0" borderId="5" xfId="0" applyNumberFormat="1" applyFont="1" applyBorder="1" applyAlignment="1">
      <alignment horizontal="left" vertical="top" wrapText="1" shrinkToFit="1"/>
    </xf>
    <xf numFmtId="2" fontId="13" fillId="0" borderId="4" xfId="0" applyNumberFormat="1" applyFont="1" applyBorder="1" applyAlignment="1">
      <alignment horizontal="left" vertical="center"/>
    </xf>
    <xf numFmtId="2" fontId="3" fillId="0" borderId="5" xfId="0" applyNumberFormat="1" applyFont="1" applyBorder="1" applyAlignment="1">
      <alignment horizontal="left" vertical="center"/>
    </xf>
    <xf numFmtId="0" fontId="24" fillId="0" borderId="2" xfId="0" applyFont="1" applyBorder="1"/>
    <xf numFmtId="0" fontId="7" fillId="0" borderId="5" xfId="0" applyFont="1" applyBorder="1" applyAlignment="1">
      <alignment horizontal="left" vertical="center"/>
    </xf>
    <xf numFmtId="0" fontId="27" fillId="0" borderId="0" xfId="0" quotePrefix="1" applyFont="1"/>
    <xf numFmtId="49" fontId="1" fillId="0" borderId="0" xfId="0" applyNumberFormat="1" applyFont="1"/>
    <xf numFmtId="0" fontId="6" fillId="0" borderId="47" xfId="0" applyFont="1" applyBorder="1" applyAlignment="1">
      <alignment horizontal="center" vertical="center" shrinkToFit="1"/>
    </xf>
    <xf numFmtId="0" fontId="6" fillId="0" borderId="48" xfId="0" applyFont="1" applyBorder="1" applyAlignment="1">
      <alignment horizontal="center" vertical="center" shrinkToFit="1"/>
    </xf>
    <xf numFmtId="0" fontId="4" fillId="0" borderId="36" xfId="0" applyFont="1" applyBorder="1" applyAlignment="1">
      <alignment horizontal="center" vertical="center" shrinkToFit="1"/>
    </xf>
    <xf numFmtId="0" fontId="4" fillId="0" borderId="38" xfId="0" applyFont="1" applyBorder="1" applyAlignment="1">
      <alignment horizontal="center" vertical="center" shrinkToFit="1"/>
    </xf>
    <xf numFmtId="165" fontId="13" fillId="0" borderId="34" xfId="0" applyNumberFormat="1" applyFont="1" applyBorder="1" applyAlignment="1">
      <alignment horizontal="right" vertical="center" indent="1" shrinkToFit="1"/>
    </xf>
    <xf numFmtId="165" fontId="13" fillId="0" borderId="44" xfId="0" applyNumberFormat="1" applyFont="1" applyBorder="1" applyAlignment="1">
      <alignment horizontal="center" vertical="center" shrinkToFit="1"/>
    </xf>
    <xf numFmtId="0" fontId="13" fillId="0" borderId="4" xfId="0" applyFont="1" applyBorder="1" applyAlignment="1">
      <alignment horizontal="left" vertical="center" wrapText="1" shrinkToFit="1"/>
    </xf>
    <xf numFmtId="49" fontId="6" fillId="0" borderId="0" xfId="0" applyNumberFormat="1" applyFont="1" applyAlignment="1">
      <alignment horizontal="right"/>
    </xf>
    <xf numFmtId="14" fontId="0" fillId="0" borderId="0" xfId="0" applyNumberFormat="1"/>
    <xf numFmtId="9" fontId="28" fillId="0" borderId="21" xfId="0" applyNumberFormat="1" applyFont="1" applyBorder="1" applyAlignment="1">
      <alignment horizontal="center" vertical="center" shrinkToFit="1"/>
    </xf>
    <xf numFmtId="9" fontId="28" fillId="0" borderId="22" xfId="0" applyNumberFormat="1" applyFont="1" applyBorder="1" applyAlignment="1">
      <alignment horizontal="center" vertical="center" shrinkToFit="1"/>
    </xf>
    <xf numFmtId="9" fontId="28" fillId="0" borderId="32" xfId="0" applyNumberFormat="1" applyFont="1" applyBorder="1" applyAlignment="1">
      <alignment horizontal="center" vertical="center" shrinkToFit="1"/>
    </xf>
    <xf numFmtId="165" fontId="7" fillId="0" borderId="26" xfId="0" applyNumberFormat="1" applyFont="1" applyBorder="1" applyAlignment="1">
      <alignment horizontal="right" vertical="center" indent="1" shrinkToFit="1"/>
    </xf>
    <xf numFmtId="165" fontId="13" fillId="0" borderId="53" xfId="0" applyNumberFormat="1" applyFont="1" applyBorder="1" applyAlignment="1">
      <alignment horizontal="right" vertical="center" indent="1" shrinkToFit="1"/>
    </xf>
    <xf numFmtId="165" fontId="13" fillId="0" borderId="54" xfId="0" applyNumberFormat="1" applyFont="1" applyBorder="1" applyAlignment="1">
      <alignment horizontal="right" vertical="center" indent="1" shrinkToFit="1"/>
    </xf>
    <xf numFmtId="165" fontId="13" fillId="0" borderId="44" xfId="0" applyNumberFormat="1" applyFont="1" applyBorder="1" applyAlignment="1">
      <alignment horizontal="right" vertical="center" indent="1" shrinkToFit="1"/>
    </xf>
    <xf numFmtId="165" fontId="13" fillId="0" borderId="27" xfId="0" applyNumberFormat="1" applyFont="1" applyBorder="1" applyAlignment="1">
      <alignment horizontal="right" vertical="center" indent="1" shrinkToFit="1"/>
    </xf>
    <xf numFmtId="165" fontId="13" fillId="0" borderId="49" xfId="0" applyNumberFormat="1" applyFont="1" applyBorder="1" applyAlignment="1">
      <alignment horizontal="right" vertical="center" indent="1" shrinkToFit="1"/>
    </xf>
    <xf numFmtId="165" fontId="7" fillId="0" borderId="26" xfId="0" applyNumberFormat="1" applyFont="1" applyBorder="1" applyAlignment="1">
      <alignment horizontal="center" vertical="center" shrinkToFit="1"/>
    </xf>
    <xf numFmtId="165" fontId="13" fillId="0" borderId="27" xfId="0" applyNumberFormat="1" applyFont="1" applyBorder="1" applyAlignment="1">
      <alignment horizontal="center" vertical="center" shrinkToFit="1"/>
    </xf>
    <xf numFmtId="165" fontId="13" fillId="0" borderId="49" xfId="0" applyNumberFormat="1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left" vertical="center"/>
    </xf>
    <xf numFmtId="0" fontId="13" fillId="0" borderId="8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 wrapText="1" shrinkToFit="1"/>
    </xf>
    <xf numFmtId="0" fontId="3" fillId="0" borderId="8" xfId="0" applyFont="1" applyBorder="1" applyAlignment="1">
      <alignment horizontal="left" vertical="center" wrapText="1" shrinkToFit="1"/>
    </xf>
    <xf numFmtId="0" fontId="3" fillId="0" borderId="6" xfId="0" applyFont="1" applyBorder="1" applyAlignment="1">
      <alignment horizontal="left" vertical="top" wrapText="1" shrinkToFit="1"/>
    </xf>
    <xf numFmtId="0" fontId="3" fillId="0" borderId="8" xfId="0" applyFont="1" applyBorder="1" applyAlignment="1">
      <alignment horizontal="left" vertical="top" wrapText="1" shrinkToFit="1"/>
    </xf>
    <xf numFmtId="0" fontId="13" fillId="0" borderId="1" xfId="0" applyFont="1" applyBorder="1" applyAlignment="1">
      <alignment horizontal="left" vertical="center"/>
    </xf>
    <xf numFmtId="0" fontId="13" fillId="0" borderId="3" xfId="0" applyFont="1" applyBorder="1" applyAlignment="1">
      <alignment horizontal="left" vertic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0" fillId="0" borderId="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 shrinkToFit="1"/>
    </xf>
    <xf numFmtId="0" fontId="6" fillId="0" borderId="13" xfId="0" applyFont="1" applyBorder="1" applyAlignment="1">
      <alignment horizontal="center" vertical="center" shrinkToFit="1"/>
    </xf>
    <xf numFmtId="0" fontId="6" fillId="0" borderId="16" xfId="0" applyFont="1" applyBorder="1" applyAlignment="1">
      <alignment horizontal="center" vertical="center" shrinkToFit="1"/>
    </xf>
    <xf numFmtId="0" fontId="6" fillId="0" borderId="21" xfId="0" applyFont="1" applyBorder="1" applyAlignment="1">
      <alignment horizontal="center" vertical="center" shrinkToFit="1"/>
    </xf>
    <xf numFmtId="0" fontId="6" fillId="0" borderId="22" xfId="0" applyFont="1" applyBorder="1" applyAlignment="1">
      <alignment horizontal="center" vertical="center" shrinkToFit="1"/>
    </xf>
    <xf numFmtId="0" fontId="6" fillId="0" borderId="23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right" vertical="center" indent="2" shrinkToFit="1"/>
    </xf>
    <xf numFmtId="0" fontId="7" fillId="0" borderId="37" xfId="0" applyFont="1" applyBorder="1" applyAlignment="1">
      <alignment horizontal="right" vertical="center" indent="2" shrinkToFit="1"/>
    </xf>
    <xf numFmtId="0" fontId="7" fillId="0" borderId="38" xfId="0" applyFont="1" applyBorder="1" applyAlignment="1">
      <alignment horizontal="right" vertical="center" indent="2" shrinkToFit="1"/>
    </xf>
    <xf numFmtId="2" fontId="8" fillId="0" borderId="1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8" fillId="0" borderId="3" xfId="0" applyNumberFormat="1" applyFont="1" applyBorder="1" applyAlignment="1">
      <alignment horizontal="center"/>
    </xf>
    <xf numFmtId="0" fontId="7" fillId="0" borderId="36" xfId="0" applyFont="1" applyBorder="1" applyAlignment="1">
      <alignment horizontal="center" vertical="center" shrinkToFit="1"/>
    </xf>
    <xf numFmtId="0" fontId="7" fillId="0" borderId="37" xfId="0" applyFont="1" applyBorder="1" applyAlignment="1">
      <alignment horizontal="center" vertical="center" shrinkToFit="1"/>
    </xf>
    <xf numFmtId="0" fontId="7" fillId="0" borderId="38" xfId="0" applyFont="1" applyBorder="1" applyAlignment="1">
      <alignment horizontal="center" vertical="center" shrinkToFit="1"/>
    </xf>
    <xf numFmtId="0" fontId="7" fillId="0" borderId="50" xfId="0" applyFont="1" applyBorder="1" applyAlignment="1">
      <alignment horizontal="right" vertical="center" indent="2" shrinkToFit="1"/>
    </xf>
    <xf numFmtId="0" fontId="7" fillId="0" borderId="51" xfId="0" applyFont="1" applyBorder="1" applyAlignment="1">
      <alignment horizontal="right" vertical="center" indent="2" shrinkToFit="1"/>
    </xf>
    <xf numFmtId="0" fontId="7" fillId="0" borderId="52" xfId="0" applyFont="1" applyBorder="1" applyAlignment="1">
      <alignment horizontal="right" vertical="center" indent="2" shrinkToFit="1"/>
    </xf>
    <xf numFmtId="166" fontId="7" fillId="0" borderId="36" xfId="0" applyNumberFormat="1" applyFont="1" applyBorder="1" applyAlignment="1">
      <alignment horizontal="right" vertical="center" indent="2" shrinkToFit="1"/>
    </xf>
    <xf numFmtId="166" fontId="7" fillId="0" borderId="37" xfId="0" applyNumberFormat="1" applyFont="1" applyBorder="1" applyAlignment="1">
      <alignment horizontal="right" vertical="center" indent="2" shrinkToFit="1"/>
    </xf>
    <xf numFmtId="166" fontId="7" fillId="0" borderId="38" xfId="0" applyNumberFormat="1" applyFont="1" applyBorder="1" applyAlignment="1">
      <alignment horizontal="right" vertical="center" indent="2" shrinkToFit="1"/>
    </xf>
    <xf numFmtId="0" fontId="1" fillId="0" borderId="6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23" fillId="0" borderId="1" xfId="0" applyFont="1" applyBorder="1" applyAlignment="1">
      <alignment horizontal="center" vertical="center" wrapText="1" shrinkToFit="1"/>
    </xf>
    <xf numFmtId="0" fontId="23" fillId="0" borderId="3" xfId="0" applyFont="1" applyBorder="1" applyAlignment="1">
      <alignment horizontal="center" vertical="center" wrapText="1" shrinkToFit="1"/>
    </xf>
    <xf numFmtId="0" fontId="23" fillId="0" borderId="4" xfId="0" applyFont="1" applyBorder="1" applyAlignment="1">
      <alignment horizontal="center" vertical="center" wrapText="1" shrinkToFit="1"/>
    </xf>
    <xf numFmtId="0" fontId="23" fillId="0" borderId="5" xfId="0" applyFont="1" applyBorder="1" applyAlignment="1">
      <alignment horizontal="center" vertical="center" wrapText="1" shrinkToFit="1"/>
    </xf>
    <xf numFmtId="0" fontId="4" fillId="0" borderId="10" xfId="0" applyFont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5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left" vertical="center"/>
    </xf>
    <xf numFmtId="167" fontId="6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0" fillId="0" borderId="0" xfId="0" applyAlignment="1">
      <alignment horizontal="left"/>
    </xf>
    <xf numFmtId="0" fontId="7" fillId="0" borderId="0" xfId="0" applyFont="1" applyAlignment="1">
      <alignment horizontal="left"/>
    </xf>
    <xf numFmtId="0" fontId="20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 wrapText="1"/>
    </xf>
    <xf numFmtId="2" fontId="8" fillId="0" borderId="9" xfId="0" applyNumberFormat="1" applyFont="1" applyBorder="1" applyAlignment="1">
      <alignment horizontal="right"/>
    </xf>
    <xf numFmtId="2" fontId="8" fillId="0" borderId="11" xfId="0" applyNumberFormat="1" applyFont="1" applyBorder="1" applyAlignment="1">
      <alignment horizontal="right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3" fillId="0" borderId="1" xfId="0" applyFont="1" applyBorder="1" applyAlignment="1">
      <alignment horizontal="left" vertical="center" wrapText="1" shrinkToFit="1"/>
    </xf>
    <xf numFmtId="0" fontId="13" fillId="0" borderId="3" xfId="0" applyFont="1" applyBorder="1" applyAlignment="1">
      <alignment horizontal="left" vertical="center" wrapText="1" shrinkToFit="1"/>
    </xf>
    <xf numFmtId="0" fontId="13" fillId="0" borderId="21" xfId="0" applyFont="1" applyBorder="1" applyAlignment="1">
      <alignment horizontal="center" vertical="center" shrinkToFit="1"/>
    </xf>
    <xf numFmtId="0" fontId="13" fillId="0" borderId="22" xfId="0" applyFont="1" applyBorder="1" applyAlignment="1">
      <alignment horizontal="center" vertical="center" shrinkToFit="1"/>
    </xf>
    <xf numFmtId="0" fontId="13" fillId="0" borderId="43" xfId="0" applyFont="1" applyBorder="1" applyAlignment="1">
      <alignment horizontal="center" vertical="center" shrinkToFit="1"/>
    </xf>
    <xf numFmtId="0" fontId="13" fillId="0" borderId="44" xfId="0" applyFont="1" applyBorder="1" applyAlignment="1">
      <alignment horizontal="right" vertical="center" indent="2" shrinkToFit="1"/>
    </xf>
    <xf numFmtId="0" fontId="13" fillId="0" borderId="55" xfId="0" applyFont="1" applyBorder="1" applyAlignment="1">
      <alignment horizontal="right" vertical="center" indent="2" shrinkToFit="1"/>
    </xf>
    <xf numFmtId="0" fontId="13" fillId="0" borderId="56" xfId="0" applyFont="1" applyBorder="1" applyAlignment="1">
      <alignment horizontal="right" vertical="center" indent="2" shrinkToFit="1"/>
    </xf>
    <xf numFmtId="0" fontId="13" fillId="0" borderId="27" xfId="0" applyFont="1" applyBorder="1" applyAlignment="1">
      <alignment horizontal="right" vertical="center" indent="2" shrinkToFit="1"/>
    </xf>
    <xf numFmtId="0" fontId="13" fillId="0" borderId="28" xfId="0" applyFont="1" applyBorder="1" applyAlignment="1">
      <alignment horizontal="right" vertical="center" indent="2" shrinkToFit="1"/>
    </xf>
    <xf numFmtId="0" fontId="13" fillId="0" borderId="29" xfId="0" applyFont="1" applyBorder="1" applyAlignment="1">
      <alignment horizontal="right" vertical="center" indent="2" shrinkToFit="1"/>
    </xf>
    <xf numFmtId="0" fontId="12" fillId="0" borderId="1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49" xfId="0" applyFont="1" applyBorder="1" applyAlignment="1">
      <alignment horizontal="right" vertical="center" indent="2" shrinkToFit="1"/>
    </xf>
    <xf numFmtId="0" fontId="13" fillId="0" borderId="57" xfId="0" applyFont="1" applyBorder="1" applyAlignment="1">
      <alignment horizontal="right" vertical="center" indent="2" shrinkToFit="1"/>
    </xf>
    <xf numFmtId="0" fontId="13" fillId="0" borderId="58" xfId="0" applyFont="1" applyBorder="1" applyAlignment="1">
      <alignment horizontal="right" vertical="center" indent="2" shrinkToFit="1"/>
    </xf>
    <xf numFmtId="0" fontId="13" fillId="0" borderId="39" xfId="0" applyFont="1" applyBorder="1" applyAlignment="1">
      <alignment horizontal="center" vertical="center" shrinkToFit="1"/>
    </xf>
    <xf numFmtId="0" fontId="13" fillId="0" borderId="32" xfId="0" applyFont="1" applyBorder="1" applyAlignment="1">
      <alignment horizontal="center" vertical="center" shrinkToFit="1"/>
    </xf>
    <xf numFmtId="0" fontId="13" fillId="0" borderId="48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left" vertical="top" wrapText="1" shrinkToFit="1"/>
    </xf>
    <xf numFmtId="0" fontId="13" fillId="0" borderId="3" xfId="0" applyFont="1" applyBorder="1" applyAlignment="1">
      <alignment horizontal="left" vertical="top" wrapText="1" shrinkToFit="1"/>
    </xf>
    <xf numFmtId="0" fontId="13" fillId="0" borderId="21" xfId="0" applyFont="1" applyBorder="1" applyAlignment="1">
      <alignment horizontal="right" vertical="center" indent="2" shrinkToFit="1"/>
    </xf>
    <xf numFmtId="0" fontId="13" fillId="0" borderId="22" xfId="0" applyFont="1" applyBorder="1" applyAlignment="1">
      <alignment horizontal="right" vertical="center" indent="2" shrinkToFit="1"/>
    </xf>
    <xf numFmtId="0" fontId="13" fillId="0" borderId="23" xfId="0" applyFont="1" applyBorder="1" applyAlignment="1">
      <alignment horizontal="right" vertical="center" indent="2" shrinkToFit="1"/>
    </xf>
    <xf numFmtId="0" fontId="13" fillId="0" borderId="15" xfId="0" applyFont="1" applyBorder="1" applyAlignment="1">
      <alignment horizontal="right" vertical="center" indent="2" shrinkToFit="1"/>
    </xf>
    <xf numFmtId="0" fontId="13" fillId="0" borderId="13" xfId="0" applyFont="1" applyBorder="1" applyAlignment="1">
      <alignment horizontal="right" vertical="center" indent="2" shrinkToFit="1"/>
    </xf>
    <xf numFmtId="0" fontId="13" fillId="0" borderId="16" xfId="0" applyFont="1" applyBorder="1" applyAlignment="1">
      <alignment horizontal="right" vertical="center" indent="2" shrinkToFit="1"/>
    </xf>
    <xf numFmtId="0" fontId="21" fillId="0" borderId="36" xfId="0" applyFont="1" applyBorder="1" applyAlignment="1">
      <alignment horizontal="left" vertical="center"/>
    </xf>
    <xf numFmtId="0" fontId="21" fillId="0" borderId="38" xfId="0" applyFont="1" applyBorder="1" applyAlignment="1">
      <alignment horizontal="left" vertical="center"/>
    </xf>
    <xf numFmtId="0" fontId="22" fillId="0" borderId="33" xfId="0" applyFont="1" applyBorder="1" applyAlignment="1">
      <alignment horizontal="left" vertical="center"/>
    </xf>
    <xf numFmtId="0" fontId="22" fillId="0" borderId="45" xfId="0" applyFont="1" applyBorder="1" applyAlignment="1">
      <alignment horizontal="left" vertical="center"/>
    </xf>
    <xf numFmtId="0" fontId="6" fillId="0" borderId="24" xfId="0" applyFont="1" applyBorder="1" applyAlignment="1">
      <alignment horizontal="center" vertical="center" shrinkToFit="1"/>
    </xf>
    <xf numFmtId="0" fontId="22" fillId="0" borderId="21" xfId="0" applyFont="1" applyBorder="1" applyAlignment="1">
      <alignment horizontal="left" vertical="center"/>
    </xf>
    <xf numFmtId="0" fontId="22" fillId="0" borderId="23" xfId="0" applyFont="1" applyBorder="1" applyAlignment="1">
      <alignment horizontal="left" vertical="center"/>
    </xf>
    <xf numFmtId="0" fontId="22" fillId="0" borderId="15" xfId="0" applyFont="1" applyBorder="1" applyAlignment="1">
      <alignment horizontal="left" vertical="center"/>
    </xf>
    <xf numFmtId="0" fontId="22" fillId="0" borderId="16" xfId="0" applyFont="1" applyBorder="1" applyAlignment="1">
      <alignment horizontal="left" vertical="center"/>
    </xf>
    <xf numFmtId="0" fontId="22" fillId="0" borderId="35" xfId="0" applyFont="1" applyBorder="1" applyAlignment="1">
      <alignment horizontal="left" vertical="center"/>
    </xf>
    <xf numFmtId="0" fontId="22" fillId="0" borderId="20" xfId="0" applyFont="1" applyBorder="1" applyAlignment="1">
      <alignment horizontal="left" vertical="center"/>
    </xf>
    <xf numFmtId="0" fontId="13" fillId="0" borderId="35" xfId="0" applyFont="1" applyBorder="1" applyAlignment="1">
      <alignment horizontal="right" vertical="center" indent="2" shrinkToFit="1"/>
    </xf>
    <xf numFmtId="0" fontId="13" fillId="0" borderId="19" xfId="0" applyFont="1" applyBorder="1" applyAlignment="1">
      <alignment horizontal="right" vertical="center" indent="2" shrinkToFit="1"/>
    </xf>
    <xf numFmtId="0" fontId="13" fillId="0" borderId="20" xfId="0" applyFont="1" applyBorder="1" applyAlignment="1">
      <alignment horizontal="right" vertical="center" indent="2" shrinkToFit="1"/>
    </xf>
    <xf numFmtId="166" fontId="13" fillId="0" borderId="27" xfId="0" applyNumberFormat="1" applyFont="1" applyBorder="1" applyAlignment="1">
      <alignment horizontal="right" vertical="center" indent="2" shrinkToFit="1"/>
    </xf>
    <xf numFmtId="166" fontId="13" fillId="0" borderId="28" xfId="0" applyNumberFormat="1" applyFont="1" applyBorder="1" applyAlignment="1">
      <alignment horizontal="right" vertical="center" indent="2" shrinkToFit="1"/>
    </xf>
    <xf numFmtId="166" fontId="13" fillId="0" borderId="29" xfId="0" applyNumberFormat="1" applyFont="1" applyBorder="1" applyAlignment="1">
      <alignment horizontal="right" vertical="center" indent="2" shrinkToFit="1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5" fillId="0" borderId="7" xfId="0" applyFont="1" applyBorder="1" applyAlignment="1">
      <alignment horizontal="right" vertical="center"/>
    </xf>
    <xf numFmtId="0" fontId="15" fillId="0" borderId="25" xfId="0" applyFont="1" applyBorder="1" applyAlignment="1">
      <alignment horizontal="center" vertical="center" wrapText="1" shrinkToFit="1"/>
    </xf>
    <xf numFmtId="0" fontId="15" fillId="0" borderId="40" xfId="0" applyFont="1" applyBorder="1" applyAlignment="1">
      <alignment horizontal="center" vertical="center" wrapText="1" shrinkToFit="1"/>
    </xf>
    <xf numFmtId="0" fontId="12" fillId="0" borderId="4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3" fillId="0" borderId="7" xfId="0" applyFont="1" applyBorder="1" applyAlignment="1">
      <alignment horizontal="left" vertical="center"/>
    </xf>
    <xf numFmtId="0" fontId="14" fillId="0" borderId="25" xfId="0" applyFont="1" applyBorder="1" applyAlignment="1">
      <alignment horizontal="center" vertical="center" wrapText="1" shrinkToFit="1"/>
    </xf>
    <xf numFmtId="0" fontId="14" fillId="0" borderId="40" xfId="0" applyFont="1" applyBorder="1" applyAlignment="1">
      <alignment horizontal="center" vertical="center" wrapText="1" shrinkToFit="1"/>
    </xf>
    <xf numFmtId="0" fontId="16" fillId="0" borderId="25" xfId="0" applyFont="1" applyBorder="1" applyAlignment="1">
      <alignment horizontal="center" vertical="center" wrapText="1"/>
    </xf>
    <xf numFmtId="0" fontId="16" fillId="0" borderId="26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left" vertical="top"/>
    </xf>
    <xf numFmtId="0" fontId="13" fillId="0" borderId="10" xfId="0" applyFont="1" applyBorder="1" applyAlignment="1">
      <alignment horizontal="left"/>
    </xf>
    <xf numFmtId="0" fontId="13" fillId="0" borderId="11" xfId="0" applyFont="1" applyBorder="1" applyAlignment="1">
      <alignment horizontal="left"/>
    </xf>
    <xf numFmtId="0" fontId="6" fillId="0" borderId="0" xfId="0" applyFont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6" fillId="0" borderId="0" xfId="0" applyFont="1" applyAlignment="1">
      <alignment horizontal="left" vertical="top"/>
    </xf>
    <xf numFmtId="0" fontId="6" fillId="0" borderId="5" xfId="0" applyFont="1" applyBorder="1" applyAlignment="1">
      <alignment horizontal="left" vertical="top"/>
    </xf>
    <xf numFmtId="0" fontId="6" fillId="0" borderId="8" xfId="0" applyFont="1" applyBorder="1" applyAlignment="1">
      <alignment horizontal="left" vertical="top"/>
    </xf>
    <xf numFmtId="0" fontId="7" fillId="0" borderId="0" xfId="0" applyFont="1" applyAlignment="1">
      <alignment horizontal="center" vertical="top"/>
    </xf>
    <xf numFmtId="0" fontId="7" fillId="0" borderId="0" xfId="0" applyFont="1" applyAlignment="1">
      <alignment horizontal="center"/>
    </xf>
    <xf numFmtId="0" fontId="26" fillId="0" borderId="4" xfId="0" applyFont="1" applyBorder="1" applyAlignment="1">
      <alignment horizontal="center" vertical="top"/>
    </xf>
    <xf numFmtId="0" fontId="26" fillId="0" borderId="0" xfId="0" applyFont="1" applyAlignment="1">
      <alignment horizontal="center" vertical="top"/>
    </xf>
    <xf numFmtId="0" fontId="25" fillId="0" borderId="4" xfId="0" applyFont="1" applyBorder="1" applyAlignment="1">
      <alignment horizontal="center" vertical="top"/>
    </xf>
    <xf numFmtId="0" fontId="25" fillId="0" borderId="0" xfId="0" applyFont="1" applyAlignment="1">
      <alignment horizontal="center" vertical="top"/>
    </xf>
    <xf numFmtId="0" fontId="9" fillId="0" borderId="4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14" fillId="0" borderId="4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8" fillId="3" borderId="0" xfId="0" applyFont="1" applyFill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6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0" borderId="7" xfId="0" applyFont="1" applyBorder="1" applyAlignment="1">
      <alignment horizontal="left" vertical="center"/>
    </xf>
    <xf numFmtId="164" fontId="1" fillId="0" borderId="2" xfId="0" applyNumberFormat="1" applyFont="1" applyBorder="1" applyAlignment="1">
      <alignment horizontal="left" vertical="center"/>
    </xf>
    <xf numFmtId="164" fontId="1" fillId="0" borderId="7" xfId="0" applyNumberFormat="1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0" xfId="0" applyFont="1" applyBorder="1" applyAlignment="1">
      <alignment horizontal="left" vertical="center"/>
    </xf>
    <xf numFmtId="0" fontId="15" fillId="0" borderId="4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5" fillId="0" borderId="4" xfId="0" applyFont="1" applyBorder="1" applyAlignment="1">
      <alignment horizontal="left"/>
    </xf>
    <xf numFmtId="0" fontId="15" fillId="0" borderId="0" xfId="0" applyFont="1" applyAlignment="1">
      <alignment horizontal="left"/>
    </xf>
    <xf numFmtId="0" fontId="6" fillId="0" borderId="4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21" fillId="0" borderId="6" xfId="0" applyFont="1" applyBorder="1" applyAlignment="1">
      <alignment vertical="center" shrinkToFit="1"/>
    </xf>
    <xf numFmtId="0" fontId="21" fillId="0" borderId="8" xfId="0" applyFont="1" applyBorder="1" applyAlignment="1">
      <alignment vertical="center" shrinkToFit="1"/>
    </xf>
    <xf numFmtId="0" fontId="22" fillId="0" borderId="9" xfId="0" applyFont="1" applyBorder="1" applyAlignment="1">
      <alignment vertical="center" shrinkToFit="1"/>
    </xf>
    <xf numFmtId="0" fontId="22" fillId="0" borderId="11" xfId="0" applyFont="1" applyBorder="1" applyAlignment="1">
      <alignment vertical="center" shrinkToFit="1"/>
    </xf>
    <xf numFmtId="0" fontId="6" fillId="0" borderId="14" xfId="0" applyFont="1" applyBorder="1" applyAlignment="1">
      <alignment horizontal="center" vertical="center" shrinkToFit="1"/>
    </xf>
    <xf numFmtId="0" fontId="22" fillId="0" borderId="17" xfId="0" applyFont="1" applyBorder="1" applyAlignment="1">
      <alignment horizontal="left" vertical="center"/>
    </xf>
    <xf numFmtId="0" fontId="22" fillId="0" borderId="46" xfId="0" applyFont="1" applyBorder="1" applyAlignment="1">
      <alignment horizontal="left" vertical="center"/>
    </xf>
  </cellXfs>
  <cellStyles count="1">
    <cellStyle name="Normal" xfId="0" builtinId="0"/>
  </cellStyles>
  <dxfs count="4">
    <dxf>
      <numFmt numFmtId="19" formatCode="dd/mm/yyyy"/>
    </dxf>
    <dxf>
      <font>
        <b/>
        <i val="0"/>
        <color auto="1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179919</xdr:colOff>
      <xdr:row>54</xdr:row>
      <xdr:rowOff>158749</xdr:rowOff>
    </xdr:from>
    <xdr:to>
      <xdr:col>27</xdr:col>
      <xdr:colOff>116418</xdr:colOff>
      <xdr:row>57</xdr:row>
      <xdr:rowOff>5291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57423ED-2F0A-42D7-BBBB-E64936BC9332}"/>
            </a:ext>
          </a:extLst>
        </xdr:cNvPr>
        <xdr:cNvSpPr/>
      </xdr:nvSpPr>
      <xdr:spPr>
        <a:xfrm>
          <a:off x="5683252" y="10667999"/>
          <a:ext cx="1703916" cy="322792"/>
        </a:xfrm>
        <a:prstGeom prst="roundRect">
          <a:avLst/>
        </a:prstGeom>
        <a:ln w="19050"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lnSpc>
              <a:spcPct val="107000"/>
            </a:lnSpc>
            <a:spcBef>
              <a:spcPts val="0"/>
            </a:spcBef>
            <a:spcAft>
              <a:spcPts val="800"/>
            </a:spcAft>
          </a:pPr>
          <a:r>
            <a:rPr lang="en-US" sz="1100" b="1">
              <a:effectLst/>
              <a:ea typeface="Calibri" panose="020F0502020204030204" pitchFamily="34" charset="0"/>
              <a:cs typeface="Mangal" panose="02040503050203030202" pitchFamily="18" charset="0"/>
            </a:rPr>
            <a:t>PROGRESS REPORT CARD</a:t>
          </a:r>
        </a:p>
      </xdr:txBody>
    </xdr:sp>
    <xdr:clientData/>
  </xdr:twoCellAnchor>
  <xdr:twoCellAnchor>
    <xdr:from>
      <xdr:col>0</xdr:col>
      <xdr:colOff>52916</xdr:colOff>
      <xdr:row>4</xdr:row>
      <xdr:rowOff>84667</xdr:rowOff>
    </xdr:from>
    <xdr:to>
      <xdr:col>6</xdr:col>
      <xdr:colOff>12699</xdr:colOff>
      <xdr:row>7</xdr:row>
      <xdr:rowOff>29634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A06C620-DD55-4E76-8D1C-ACE6E91366A7}"/>
            </a:ext>
          </a:extLst>
        </xdr:cNvPr>
        <xdr:cNvSpPr/>
      </xdr:nvSpPr>
      <xdr:spPr>
        <a:xfrm>
          <a:off x="52916" y="910167"/>
          <a:ext cx="1600200" cy="495300"/>
        </a:xfrm>
        <a:prstGeom prst="round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>
            <a:lnSpc>
              <a:spcPct val="107000"/>
            </a:lnSpc>
            <a:spcBef>
              <a:spcPts val="0"/>
            </a:spcBef>
            <a:spcAft>
              <a:spcPts val="300"/>
            </a:spcAft>
          </a:pPr>
          <a:r>
            <a:rPr lang="en-US" sz="1000">
              <a:effectLst/>
              <a:ea typeface="Calibri" panose="020F0502020204030204" pitchFamily="34" charset="0"/>
              <a:cs typeface="Mangal" panose="02040503050203030202" pitchFamily="18" charset="0"/>
            </a:rPr>
            <a:t>Dise Code – 23390222204</a:t>
          </a:r>
          <a:endParaRPr lang="en-US" sz="1100">
            <a:effectLst/>
            <a:ea typeface="Calibri" panose="020F0502020204030204" pitchFamily="34" charset="0"/>
            <a:cs typeface="Mangal" panose="02040503050203030202" pitchFamily="18" charset="0"/>
          </a:endParaRPr>
        </a:p>
        <a:p>
          <a:pPr marL="0" marR="0">
            <a:lnSpc>
              <a:spcPct val="107000"/>
            </a:lnSpc>
            <a:spcBef>
              <a:spcPts val="0"/>
            </a:spcBef>
            <a:spcAft>
              <a:spcPts val="300"/>
            </a:spcAft>
          </a:pPr>
          <a:r>
            <a:rPr lang="en-US" sz="1000">
              <a:effectLst/>
              <a:ea typeface="Calibri" panose="020F0502020204030204" pitchFamily="34" charset="0"/>
              <a:cs typeface="Mangal" panose="02040503050203030202" pitchFamily="18" charset="0"/>
            </a:rPr>
            <a:t>School Code - 712287</a:t>
          </a:r>
          <a:endParaRPr lang="en-US" sz="1100">
            <a:effectLst/>
            <a:ea typeface="Calibri" panose="020F0502020204030204" pitchFamily="34" charset="0"/>
            <a:cs typeface="Mangal" panose="02040503050203030202" pitchFamily="18" charset="0"/>
          </a:endParaRPr>
        </a:p>
      </xdr:txBody>
    </xdr:sp>
    <xdr:clientData/>
  </xdr:twoCellAnchor>
  <xdr:twoCellAnchor editAs="oneCell">
    <xdr:from>
      <xdr:col>24</xdr:col>
      <xdr:colOff>95249</xdr:colOff>
      <xdr:row>46</xdr:row>
      <xdr:rowOff>10583</xdr:rowOff>
    </xdr:from>
    <xdr:to>
      <xdr:col>26</xdr:col>
      <xdr:colOff>52917</xdr:colOff>
      <xdr:row>52</xdr:row>
      <xdr:rowOff>126621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DBB81508-2A11-4FBB-A442-D6C970C4C7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81749" y="9398000"/>
          <a:ext cx="836084" cy="1068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158751</xdr:colOff>
      <xdr:row>0</xdr:row>
      <xdr:rowOff>52917</xdr:rowOff>
    </xdr:from>
    <xdr:to>
      <xdr:col>2</xdr:col>
      <xdr:colOff>255426</xdr:colOff>
      <xdr:row>4</xdr:row>
      <xdr:rowOff>135467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15628AC9-EB13-48D9-B171-02FACAF1EE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1668" y="52917"/>
          <a:ext cx="710509" cy="908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E3A56B5-CB7C-4F4D-84E1-F5CD278DFB7B}" autoFormatId="16" applyNumberFormats="0" applyBorderFormats="0" applyFontFormats="0" applyPatternFormats="0" applyAlignmentFormats="0" applyWidthHeightFormats="0">
  <queryTableRefresh nextId="33">
    <queryTableFields count="32">
      <queryTableField id="1" name="RollNo" tableColumnId="1"/>
      <queryTableField id="2" name="StudentId" tableColumnId="2"/>
      <queryTableField id="3" name="StudentName" tableColumnId="3"/>
      <queryTableField id="4" name="Class" tableColumnId="4"/>
      <queryTableField id="5" name="Session" tableColumnId="5"/>
      <queryTableField id="6" name="Subject" tableColumnId="6"/>
      <queryTableField id="7" name="KEYID" tableColumnId="7"/>
      <queryTableField id="8" name="FINALEXAM" tableColumnId="8"/>
      <queryTableField id="9" name="HALFYEARLY" tableColumnId="9"/>
      <queryTableField id="10" name="QUARTERLY" tableColumnId="10"/>
      <queryTableField id="11" name="AdmissionNo" tableColumnId="11"/>
      <queryTableField id="12" name="DOB" tableColumnId="12"/>
      <queryTableField id="13" name="BloodGroup" tableColumnId="13"/>
      <queryTableField id="14" name="Address" tableColumnId="14"/>
      <queryTableField id="15" name="CategoryId" tableColumnId="15"/>
      <queryTableField id="16" name="FATHERNAME" tableColumnId="16"/>
      <queryTableField id="17" name="MotherName" tableColumnId="17"/>
      <queryTableField id="18" name="AADHAR" tableColumnId="18"/>
      <queryTableField id="19" name="SSSMID" tableColumnId="19"/>
      <queryTableField id="20" name="ReportCardText" tableColumnId="20"/>
      <queryTableField id="21" name="Caste" tableColumnId="21"/>
      <queryTableField id="22" name="Attendance" tableColumnId="22"/>
      <queryTableField id="23" name="TotalDays" tableColumnId="23"/>
      <queryTableField id="24" name="HLF_TOTAL" tableColumnId="24"/>
      <queryTableField id="25" name="HLF_ATTENDANCE" tableColumnId="25"/>
      <queryTableField id="26" name="YR_TOTAL" tableColumnId="26"/>
      <queryTableField id="27" name="YR_ATTENDANCE" tableColumnId="27"/>
      <queryTableField id="28" name="Height" tableColumnId="28"/>
      <queryTableField id="29" name="Weight" tableColumnId="29"/>
      <queryTableField id="30" name="Vision" tableColumnId="30"/>
      <queryTableField id="31" name="REMARKS" tableColumnId="31"/>
      <queryTableField id="32" name="FailedSubjects" tableColumnId="3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44948D0-EDDD-4C17-9971-D0AA558DAA85}" name="View_ReportCard_Primary__2" displayName="View_ReportCard_Primary__2" ref="A1:AF1569" tableType="queryTable" totalsRowShown="0">
  <autoFilter ref="A1:AF1569" xr:uid="{844948D0-EDDD-4C17-9971-D0AA558DAA85}"/>
  <tableColumns count="32">
    <tableColumn id="1" xr3:uid="{855CE138-E702-493C-BAFC-23B791ED840B}" uniqueName="1" name="RollNo" queryTableFieldId="1"/>
    <tableColumn id="2" xr3:uid="{DCF6F989-51B8-4BF8-A81D-83AA2484A4C1}" uniqueName="2" name="StudentId" queryTableFieldId="2"/>
    <tableColumn id="3" xr3:uid="{11D5C073-3D62-4A08-99C7-21B4134DC02C}" uniqueName="3" name="StudentName" queryTableFieldId="3"/>
    <tableColumn id="4" xr3:uid="{4D2C358B-4B4C-4C41-82A0-DE227565C199}" uniqueName="4" name="Class" queryTableFieldId="4"/>
    <tableColumn id="5" xr3:uid="{1F86BF1E-73F1-41AF-ABB0-03ECD19726C1}" uniqueName="5" name="Session" queryTableFieldId="5"/>
    <tableColumn id="6" xr3:uid="{34BD78EA-EAD5-4338-AD9A-207BC81FAA7D}" uniqueName="6" name="Subject" queryTableFieldId="6"/>
    <tableColumn id="7" xr3:uid="{17E8B45E-07B5-4057-AFAA-AD5B95D400D0}" uniqueName="7" name="KEYID" queryTableFieldId="7"/>
    <tableColumn id="8" xr3:uid="{AF8A00DE-2659-464A-884E-CE823FACABB0}" uniqueName="8" name="FINALEXAM" queryTableFieldId="8"/>
    <tableColumn id="9" xr3:uid="{16E78B4D-EF1B-4CA9-8A3F-02AA7B8875C8}" uniqueName="9" name="HALFYEARLY" queryTableFieldId="9"/>
    <tableColumn id="10" xr3:uid="{A5A0EDFC-F526-47E8-A7C0-E1772A847B84}" uniqueName="10" name="QUARTERLY" queryTableFieldId="10"/>
    <tableColumn id="11" xr3:uid="{6D8632BB-BD9C-4358-92D1-7E09219053CD}" uniqueName="11" name="AdmissionNo" queryTableFieldId="11"/>
    <tableColumn id="12" xr3:uid="{BC64B548-4A27-4494-AA8E-BDCC59D84154}" uniqueName="12" name="DOB" queryTableFieldId="12" dataDxfId="0"/>
    <tableColumn id="13" xr3:uid="{AC9AFD9D-CE34-4D7D-8C1F-3FF404380AC2}" uniqueName="13" name="BloodGroup" queryTableFieldId="13"/>
    <tableColumn id="14" xr3:uid="{B9DD503B-7012-4699-97E1-B034A59A7F1E}" uniqueName="14" name="Address" queryTableFieldId="14"/>
    <tableColumn id="15" xr3:uid="{93AA229B-5186-42DF-94C4-D891FDBF48CB}" uniqueName="15" name="CategoryId" queryTableFieldId="15"/>
    <tableColumn id="16" xr3:uid="{1B2AE005-FD68-44FB-82DE-6FF05E6753CD}" uniqueName="16" name="FATHERNAME" queryTableFieldId="16"/>
    <tableColumn id="17" xr3:uid="{B365FD40-E80A-4936-93B4-80AAF1836C4B}" uniqueName="17" name="MotherName" queryTableFieldId="17"/>
    <tableColumn id="18" xr3:uid="{85045BE1-BDFF-4353-8F07-0CCAA2DD040D}" uniqueName="18" name="AADHAR" queryTableFieldId="18"/>
    <tableColumn id="19" xr3:uid="{6D3D4948-71EE-48F6-87E2-5EF9A08D63C5}" uniqueName="19" name="SSSMID" queryTableFieldId="19"/>
    <tableColumn id="20" xr3:uid="{B4CCB78C-9DBC-4597-93DB-2DC3D81E0B30}" uniqueName="20" name="ReportCardText" queryTableFieldId="20"/>
    <tableColumn id="21" xr3:uid="{37722DBB-36BF-48C3-A830-F3603845A45C}" uniqueName="21" name="Caste" queryTableFieldId="21"/>
    <tableColumn id="22" xr3:uid="{7281FFE5-6A7F-4352-B9D3-A12C8874C2E2}" uniqueName="22" name="Attendance" queryTableFieldId="22"/>
    <tableColumn id="23" xr3:uid="{8259B94A-FAC2-46FD-B456-15592880F02B}" uniqueName="23" name="TotalDays" queryTableFieldId="23"/>
    <tableColumn id="24" xr3:uid="{2378C14F-5986-4F8E-8B45-585A6A4A7585}" uniqueName="24" name="HLF_TOTAL" queryTableFieldId="24"/>
    <tableColumn id="25" xr3:uid="{40B4A5D8-B303-4648-8278-6E51F77BBFC4}" uniqueName="25" name="HLF_ATTENDANCE" queryTableFieldId="25"/>
    <tableColumn id="26" xr3:uid="{A749AACD-076B-4E02-BF86-A242DB63B7CA}" uniqueName="26" name="YR_TOTAL" queryTableFieldId="26"/>
    <tableColumn id="27" xr3:uid="{45A0E0F9-980B-47AC-ABA9-9D9612384D2B}" uniqueName="27" name="YR_ATTENDANCE" queryTableFieldId="27"/>
    <tableColumn id="28" xr3:uid="{00E35B19-D889-4CD2-95EB-4DA4D2541A6F}" uniqueName="28" name="Height" queryTableFieldId="28"/>
    <tableColumn id="29" xr3:uid="{C060CDE6-C9D0-49D4-AE03-F0440649E312}" uniqueName="29" name="Weight" queryTableFieldId="29"/>
    <tableColumn id="30" xr3:uid="{8009BF28-B7CA-4EB2-A33E-0D876CC03EF0}" uniqueName="30" name="Vision" queryTableFieldId="30"/>
    <tableColumn id="31" xr3:uid="{057A590E-416C-4ED2-9758-515BD253C45A}" uniqueName="31" name="REMARKS" queryTableFieldId="31"/>
    <tableColumn id="32" xr3:uid="{3BFF77E0-5AD6-4357-83EF-EB05ABC33117}" uniqueName="32" name="FailedSubjects" queryTableFieldId="3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CDB1C-43E9-4983-A890-5E3EFD3B13BD}">
  <sheetPr codeName="Sheet1"/>
  <dimension ref="A1:AF1569"/>
  <sheetViews>
    <sheetView topLeftCell="A1374" workbookViewId="0">
      <selection activeCell="A1388" sqref="A1388:XFD1394"/>
    </sheetView>
  </sheetViews>
  <sheetFormatPr defaultRowHeight="15"/>
  <cols>
    <col min="1" max="1" width="9.28515625" bestFit="1" customWidth="1"/>
    <col min="2" max="2" width="12" bestFit="1" customWidth="1"/>
    <col min="3" max="3" width="26.7109375" bestFit="1" customWidth="1"/>
    <col min="4" max="4" width="9" bestFit="1" customWidth="1"/>
    <col min="5" max="5" width="10" bestFit="1" customWidth="1"/>
    <col min="6" max="6" width="21.42578125" bestFit="1" customWidth="1"/>
    <col min="7" max="7" width="23.85546875" bestFit="1" customWidth="1"/>
    <col min="8" max="8" width="13.7109375" bestFit="1" customWidth="1"/>
    <col min="9" max="9" width="14.28515625" bestFit="1" customWidth="1"/>
    <col min="10" max="10" width="13.7109375" bestFit="1" customWidth="1"/>
    <col min="11" max="11" width="15.140625" bestFit="1" customWidth="1"/>
    <col min="12" max="12" width="10.42578125" style="84" bestFit="1" customWidth="1"/>
    <col min="13" max="13" width="14" bestFit="1" customWidth="1"/>
    <col min="14" max="14" width="62.28515625" bestFit="1" customWidth="1"/>
    <col min="15" max="15" width="12.85546875" bestFit="1" customWidth="1"/>
    <col min="16" max="16" width="29.7109375" bestFit="1" customWidth="1"/>
    <col min="17" max="17" width="25.5703125" bestFit="1" customWidth="1"/>
    <col min="18" max="18" width="13.140625" bestFit="1" customWidth="1"/>
    <col min="19" max="19" width="11" bestFit="1" customWidth="1"/>
    <col min="20" max="20" width="20.7109375" bestFit="1" customWidth="1"/>
    <col min="21" max="21" width="8.140625" bestFit="1" customWidth="1"/>
    <col min="22" max="22" width="13.5703125" bestFit="1" customWidth="1"/>
    <col min="23" max="23" width="11.85546875" bestFit="1" customWidth="1"/>
    <col min="24" max="24" width="13" bestFit="1" customWidth="1"/>
    <col min="25" max="25" width="19.5703125" bestFit="1" customWidth="1"/>
    <col min="26" max="26" width="12.140625" bestFit="1" customWidth="1"/>
    <col min="27" max="27" width="18.5703125" bestFit="1" customWidth="1"/>
    <col min="29" max="29" width="9.85546875" bestFit="1" customWidth="1"/>
    <col min="30" max="30" width="8.85546875" bestFit="1" customWidth="1"/>
    <col min="31" max="31" width="11.85546875" bestFit="1" customWidth="1"/>
    <col min="32" max="32" width="16.28515625" bestFit="1" customWidth="1"/>
  </cols>
  <sheetData>
    <row r="1" spans="1:32">
      <c r="A1" t="s">
        <v>1</v>
      </c>
      <c r="B1" t="s">
        <v>0</v>
      </c>
      <c r="C1" t="s">
        <v>12</v>
      </c>
      <c r="D1" t="s">
        <v>2</v>
      </c>
      <c r="E1" t="s">
        <v>3</v>
      </c>
      <c r="F1" t="s">
        <v>4</v>
      </c>
      <c r="G1" t="s">
        <v>108</v>
      </c>
      <c r="H1" t="s">
        <v>13</v>
      </c>
      <c r="I1" t="s">
        <v>14</v>
      </c>
      <c r="J1" t="s">
        <v>15</v>
      </c>
      <c r="K1" t="s">
        <v>87</v>
      </c>
      <c r="L1" s="84" t="s">
        <v>88</v>
      </c>
      <c r="M1" t="s">
        <v>89</v>
      </c>
      <c r="N1" t="s">
        <v>75</v>
      </c>
      <c r="O1" t="s">
        <v>86</v>
      </c>
      <c r="P1" t="s">
        <v>90</v>
      </c>
      <c r="Q1" t="s">
        <v>132</v>
      </c>
      <c r="R1" t="s">
        <v>91</v>
      </c>
      <c r="S1" t="s">
        <v>76</v>
      </c>
      <c r="T1" t="s">
        <v>109</v>
      </c>
      <c r="U1" t="s">
        <v>77</v>
      </c>
      <c r="V1" t="s">
        <v>110</v>
      </c>
      <c r="W1" t="s">
        <v>111</v>
      </c>
      <c r="X1" t="s">
        <v>133</v>
      </c>
      <c r="Y1" t="s">
        <v>134</v>
      </c>
      <c r="Z1" t="s">
        <v>135</v>
      </c>
      <c r="AA1" t="s">
        <v>136</v>
      </c>
      <c r="AB1" t="s">
        <v>137</v>
      </c>
      <c r="AC1" t="s">
        <v>138</v>
      </c>
      <c r="AD1" t="s">
        <v>139</v>
      </c>
      <c r="AE1" t="s">
        <v>147</v>
      </c>
      <c r="AF1" t="s">
        <v>167</v>
      </c>
    </row>
    <row r="2" spans="1:32">
      <c r="A2">
        <v>101</v>
      </c>
      <c r="B2">
        <v>951</v>
      </c>
      <c r="C2" t="s">
        <v>2164</v>
      </c>
      <c r="D2" t="s">
        <v>169</v>
      </c>
      <c r="E2" t="s">
        <v>2165</v>
      </c>
      <c r="F2" t="s">
        <v>8</v>
      </c>
      <c r="G2" t="s">
        <v>184</v>
      </c>
      <c r="H2" t="s">
        <v>173</v>
      </c>
      <c r="I2" t="s">
        <v>376</v>
      </c>
      <c r="J2" t="s">
        <v>191</v>
      </c>
      <c r="K2" t="s">
        <v>2166</v>
      </c>
      <c r="L2" s="84">
        <v>43064</v>
      </c>
      <c r="M2" t="s">
        <v>381</v>
      </c>
      <c r="N2" t="s">
        <v>2167</v>
      </c>
      <c r="O2">
        <v>2</v>
      </c>
      <c r="P2" t="s">
        <v>409</v>
      </c>
      <c r="Q2" t="s">
        <v>410</v>
      </c>
      <c r="R2" t="s">
        <v>2168</v>
      </c>
      <c r="S2" t="s">
        <v>2169</v>
      </c>
      <c r="T2" t="s">
        <v>31</v>
      </c>
      <c r="U2" t="s">
        <v>79</v>
      </c>
      <c r="V2">
        <v>63</v>
      </c>
      <c r="W2">
        <v>82</v>
      </c>
      <c r="X2">
        <v>120</v>
      </c>
      <c r="Y2">
        <v>92</v>
      </c>
      <c r="Z2">
        <v>175</v>
      </c>
      <c r="AA2">
        <v>135</v>
      </c>
      <c r="AB2" t="s">
        <v>398</v>
      </c>
      <c r="AC2" t="s">
        <v>228</v>
      </c>
      <c r="AD2" t="s">
        <v>210</v>
      </c>
      <c r="AE2" t="s">
        <v>183</v>
      </c>
      <c r="AF2">
        <v>0</v>
      </c>
    </row>
    <row r="3" spans="1:32">
      <c r="A3">
        <v>101</v>
      </c>
      <c r="B3">
        <v>951</v>
      </c>
      <c r="C3" t="s">
        <v>2164</v>
      </c>
      <c r="D3" t="s">
        <v>169</v>
      </c>
      <c r="E3" t="s">
        <v>2165</v>
      </c>
      <c r="F3" t="s">
        <v>7</v>
      </c>
      <c r="G3" t="s">
        <v>170</v>
      </c>
      <c r="H3" t="s">
        <v>173</v>
      </c>
      <c r="I3" t="s">
        <v>376</v>
      </c>
      <c r="J3" t="s">
        <v>236</v>
      </c>
      <c r="K3" t="s">
        <v>2166</v>
      </c>
      <c r="L3" s="84">
        <v>43064</v>
      </c>
      <c r="M3" t="s">
        <v>381</v>
      </c>
      <c r="N3" t="s">
        <v>2167</v>
      </c>
      <c r="O3">
        <v>2</v>
      </c>
      <c r="P3" t="s">
        <v>409</v>
      </c>
      <c r="Q3" t="s">
        <v>410</v>
      </c>
      <c r="R3" t="s">
        <v>2168</v>
      </c>
      <c r="S3" t="s">
        <v>2169</v>
      </c>
      <c r="T3" t="s">
        <v>32</v>
      </c>
      <c r="U3" t="s">
        <v>79</v>
      </c>
      <c r="V3">
        <v>63</v>
      </c>
      <c r="W3">
        <v>82</v>
      </c>
      <c r="X3">
        <v>120</v>
      </c>
      <c r="Y3">
        <v>92</v>
      </c>
      <c r="Z3">
        <v>175</v>
      </c>
      <c r="AA3">
        <v>135</v>
      </c>
      <c r="AB3" t="s">
        <v>398</v>
      </c>
      <c r="AC3" t="s">
        <v>228</v>
      </c>
      <c r="AD3" t="s">
        <v>210</v>
      </c>
      <c r="AE3" t="s">
        <v>183</v>
      </c>
      <c r="AF3">
        <v>0</v>
      </c>
    </row>
    <row r="4" spans="1:32">
      <c r="A4">
        <v>101</v>
      </c>
      <c r="B4">
        <v>951</v>
      </c>
      <c r="C4" t="s">
        <v>2164</v>
      </c>
      <c r="D4" t="s">
        <v>169</v>
      </c>
      <c r="E4" t="s">
        <v>2165</v>
      </c>
      <c r="F4" t="s">
        <v>6</v>
      </c>
      <c r="G4" t="s">
        <v>190</v>
      </c>
      <c r="H4" t="s">
        <v>243</v>
      </c>
      <c r="I4" t="s">
        <v>191</v>
      </c>
      <c r="J4" t="s">
        <v>226</v>
      </c>
      <c r="K4" t="s">
        <v>2166</v>
      </c>
      <c r="L4" s="84">
        <v>43064</v>
      </c>
      <c r="M4" t="s">
        <v>381</v>
      </c>
      <c r="N4" t="s">
        <v>2167</v>
      </c>
      <c r="O4">
        <v>2</v>
      </c>
      <c r="P4" t="s">
        <v>409</v>
      </c>
      <c r="Q4" t="s">
        <v>410</v>
      </c>
      <c r="R4" t="s">
        <v>2168</v>
      </c>
      <c r="S4" t="s">
        <v>2169</v>
      </c>
      <c r="T4" t="s">
        <v>34</v>
      </c>
      <c r="U4" t="s">
        <v>79</v>
      </c>
      <c r="V4">
        <v>63</v>
      </c>
      <c r="W4">
        <v>82</v>
      </c>
      <c r="X4">
        <v>120</v>
      </c>
      <c r="Y4">
        <v>92</v>
      </c>
      <c r="Z4">
        <v>175</v>
      </c>
      <c r="AA4">
        <v>135</v>
      </c>
      <c r="AB4" t="s">
        <v>398</v>
      </c>
      <c r="AC4" t="s">
        <v>228</v>
      </c>
      <c r="AD4" t="s">
        <v>210</v>
      </c>
      <c r="AE4" t="s">
        <v>183</v>
      </c>
      <c r="AF4">
        <v>0</v>
      </c>
    </row>
    <row r="5" spans="1:32">
      <c r="A5">
        <v>101</v>
      </c>
      <c r="B5">
        <v>951</v>
      </c>
      <c r="C5" t="s">
        <v>2164</v>
      </c>
      <c r="D5" t="s">
        <v>169</v>
      </c>
      <c r="E5" t="s">
        <v>2165</v>
      </c>
      <c r="F5" t="s">
        <v>197</v>
      </c>
      <c r="G5" t="s">
        <v>198</v>
      </c>
      <c r="H5" t="s">
        <v>192</v>
      </c>
      <c r="I5" t="s">
        <v>188</v>
      </c>
      <c r="J5" t="s">
        <v>212</v>
      </c>
      <c r="K5" t="s">
        <v>2166</v>
      </c>
      <c r="L5" s="84">
        <v>43064</v>
      </c>
      <c r="M5" t="s">
        <v>381</v>
      </c>
      <c r="N5" t="s">
        <v>2167</v>
      </c>
      <c r="O5">
        <v>2</v>
      </c>
      <c r="P5" t="s">
        <v>409</v>
      </c>
      <c r="Q5" t="s">
        <v>410</v>
      </c>
      <c r="R5" t="s">
        <v>2168</v>
      </c>
      <c r="S5" t="s">
        <v>2169</v>
      </c>
      <c r="T5" t="s">
        <v>38</v>
      </c>
      <c r="U5" t="s">
        <v>79</v>
      </c>
      <c r="V5">
        <v>63</v>
      </c>
      <c r="W5">
        <v>82</v>
      </c>
      <c r="X5">
        <v>120</v>
      </c>
      <c r="Y5">
        <v>92</v>
      </c>
      <c r="Z5">
        <v>175</v>
      </c>
      <c r="AA5">
        <v>135</v>
      </c>
      <c r="AB5" t="s">
        <v>398</v>
      </c>
      <c r="AC5" t="s">
        <v>228</v>
      </c>
      <c r="AD5" t="s">
        <v>210</v>
      </c>
      <c r="AE5" t="s">
        <v>183</v>
      </c>
      <c r="AF5">
        <v>0</v>
      </c>
    </row>
    <row r="6" spans="1:32">
      <c r="A6">
        <v>101</v>
      </c>
      <c r="B6">
        <v>951</v>
      </c>
      <c r="C6" t="s">
        <v>2164</v>
      </c>
      <c r="D6" t="s">
        <v>169</v>
      </c>
      <c r="E6" t="s">
        <v>2165</v>
      </c>
      <c r="F6" t="s">
        <v>193</v>
      </c>
      <c r="G6" t="s">
        <v>194</v>
      </c>
      <c r="H6" t="s">
        <v>192</v>
      </c>
      <c r="I6" t="s">
        <v>181</v>
      </c>
      <c r="J6" t="s">
        <v>223</v>
      </c>
      <c r="K6" t="s">
        <v>2166</v>
      </c>
      <c r="L6" s="84">
        <v>43064</v>
      </c>
      <c r="M6" t="s">
        <v>381</v>
      </c>
      <c r="N6" t="s">
        <v>2167</v>
      </c>
      <c r="O6">
        <v>2</v>
      </c>
      <c r="P6" t="s">
        <v>409</v>
      </c>
      <c r="Q6" t="s">
        <v>410</v>
      </c>
      <c r="R6" t="s">
        <v>2168</v>
      </c>
      <c r="S6" t="s">
        <v>2169</v>
      </c>
      <c r="T6" t="s">
        <v>36</v>
      </c>
      <c r="U6" t="s">
        <v>79</v>
      </c>
      <c r="V6">
        <v>63</v>
      </c>
      <c r="W6">
        <v>82</v>
      </c>
      <c r="X6">
        <v>120</v>
      </c>
      <c r="Y6">
        <v>92</v>
      </c>
      <c r="Z6">
        <v>175</v>
      </c>
      <c r="AA6">
        <v>135</v>
      </c>
      <c r="AB6" t="s">
        <v>398</v>
      </c>
      <c r="AC6" t="s">
        <v>228</v>
      </c>
      <c r="AD6" t="s">
        <v>210</v>
      </c>
      <c r="AE6" t="s">
        <v>183</v>
      </c>
      <c r="AF6">
        <v>0</v>
      </c>
    </row>
    <row r="7" spans="1:32">
      <c r="A7">
        <v>101</v>
      </c>
      <c r="B7">
        <v>951</v>
      </c>
      <c r="C7" t="s">
        <v>2164</v>
      </c>
      <c r="D7" t="s">
        <v>169</v>
      </c>
      <c r="E7" t="s">
        <v>2165</v>
      </c>
      <c r="F7" t="s">
        <v>37</v>
      </c>
      <c r="G7" t="s">
        <v>195</v>
      </c>
      <c r="H7" t="s">
        <v>192</v>
      </c>
      <c r="I7" t="s">
        <v>181</v>
      </c>
      <c r="J7" t="s">
        <v>223</v>
      </c>
      <c r="K7" t="s">
        <v>2166</v>
      </c>
      <c r="L7" s="84">
        <v>43064</v>
      </c>
      <c r="M7" t="s">
        <v>381</v>
      </c>
      <c r="N7" t="s">
        <v>2167</v>
      </c>
      <c r="O7">
        <v>2</v>
      </c>
      <c r="P7" t="s">
        <v>409</v>
      </c>
      <c r="Q7" t="s">
        <v>410</v>
      </c>
      <c r="R7" t="s">
        <v>2168</v>
      </c>
      <c r="S7" t="s">
        <v>2169</v>
      </c>
      <c r="T7" t="s">
        <v>37</v>
      </c>
      <c r="U7" t="s">
        <v>79</v>
      </c>
      <c r="V7">
        <v>63</v>
      </c>
      <c r="W7">
        <v>82</v>
      </c>
      <c r="X7">
        <v>120</v>
      </c>
      <c r="Y7">
        <v>92</v>
      </c>
      <c r="Z7">
        <v>175</v>
      </c>
      <c r="AA7">
        <v>135</v>
      </c>
      <c r="AB7" t="s">
        <v>398</v>
      </c>
      <c r="AC7" t="s">
        <v>228</v>
      </c>
      <c r="AD7" t="s">
        <v>210</v>
      </c>
      <c r="AE7" t="s">
        <v>183</v>
      </c>
      <c r="AF7">
        <v>0</v>
      </c>
    </row>
    <row r="8" spans="1:32">
      <c r="A8">
        <v>101</v>
      </c>
      <c r="B8">
        <v>951</v>
      </c>
      <c r="C8" t="s">
        <v>2164</v>
      </c>
      <c r="D8" t="s">
        <v>169</v>
      </c>
      <c r="E8" t="s">
        <v>2165</v>
      </c>
      <c r="F8" t="s">
        <v>5</v>
      </c>
      <c r="G8" t="s">
        <v>2802</v>
      </c>
      <c r="H8" t="s">
        <v>216</v>
      </c>
      <c r="I8" t="s">
        <v>297</v>
      </c>
      <c r="J8" t="s">
        <v>497</v>
      </c>
      <c r="K8" t="s">
        <v>2166</v>
      </c>
      <c r="L8" s="84">
        <v>43064</v>
      </c>
      <c r="M8" t="s">
        <v>381</v>
      </c>
      <c r="N8" t="s">
        <v>2167</v>
      </c>
      <c r="O8">
        <v>2</v>
      </c>
      <c r="P8" t="s">
        <v>409</v>
      </c>
      <c r="Q8" t="s">
        <v>410</v>
      </c>
      <c r="R8" t="s">
        <v>2168</v>
      </c>
      <c r="S8" t="s">
        <v>2169</v>
      </c>
      <c r="T8" t="s">
        <v>33</v>
      </c>
      <c r="U8" t="s">
        <v>79</v>
      </c>
      <c r="V8">
        <v>63</v>
      </c>
      <c r="W8">
        <v>82</v>
      </c>
      <c r="X8">
        <v>120</v>
      </c>
      <c r="Y8">
        <v>92</v>
      </c>
      <c r="Z8">
        <v>175</v>
      </c>
      <c r="AA8">
        <v>135</v>
      </c>
      <c r="AB8" t="s">
        <v>398</v>
      </c>
      <c r="AC8" t="s">
        <v>228</v>
      </c>
      <c r="AD8" t="s">
        <v>210</v>
      </c>
      <c r="AE8" t="s">
        <v>183</v>
      </c>
      <c r="AF8">
        <v>0</v>
      </c>
    </row>
    <row r="9" spans="1:32">
      <c r="A9">
        <v>102</v>
      </c>
      <c r="B9">
        <v>891</v>
      </c>
      <c r="C9" t="s">
        <v>2170</v>
      </c>
      <c r="D9" t="s">
        <v>169</v>
      </c>
      <c r="E9" t="s">
        <v>2165</v>
      </c>
      <c r="F9" t="s">
        <v>5</v>
      </c>
      <c r="G9" t="s">
        <v>2803</v>
      </c>
      <c r="H9" t="s">
        <v>497</v>
      </c>
      <c r="I9" t="s">
        <v>305</v>
      </c>
      <c r="J9" t="s">
        <v>218</v>
      </c>
      <c r="K9" t="s">
        <v>2171</v>
      </c>
      <c r="L9" s="84">
        <v>43208</v>
      </c>
      <c r="M9" t="s">
        <v>381</v>
      </c>
      <c r="N9" t="s">
        <v>1311</v>
      </c>
      <c r="O9">
        <v>3</v>
      </c>
      <c r="P9" t="s">
        <v>2172</v>
      </c>
      <c r="Q9" t="s">
        <v>2173</v>
      </c>
      <c r="R9" t="s">
        <v>2174</v>
      </c>
      <c r="S9" t="s">
        <v>2175</v>
      </c>
      <c r="T9" t="s">
        <v>33</v>
      </c>
      <c r="U9" t="s">
        <v>80</v>
      </c>
      <c r="V9">
        <v>63</v>
      </c>
      <c r="W9">
        <v>82</v>
      </c>
      <c r="X9">
        <v>120</v>
      </c>
      <c r="Y9">
        <v>98</v>
      </c>
      <c r="Z9">
        <v>175</v>
      </c>
      <c r="AA9">
        <v>146</v>
      </c>
      <c r="AB9" t="s">
        <v>413</v>
      </c>
      <c r="AC9" t="s">
        <v>212</v>
      </c>
      <c r="AD9" t="s">
        <v>210</v>
      </c>
      <c r="AE9" t="s">
        <v>183</v>
      </c>
      <c r="AF9">
        <v>0</v>
      </c>
    </row>
    <row r="10" spans="1:32">
      <c r="A10">
        <v>102</v>
      </c>
      <c r="B10">
        <v>891</v>
      </c>
      <c r="C10" t="s">
        <v>2170</v>
      </c>
      <c r="D10" t="s">
        <v>169</v>
      </c>
      <c r="E10" t="s">
        <v>2165</v>
      </c>
      <c r="F10" t="s">
        <v>37</v>
      </c>
      <c r="G10" t="s">
        <v>211</v>
      </c>
      <c r="H10" t="s">
        <v>192</v>
      </c>
      <c r="I10" t="s">
        <v>243</v>
      </c>
      <c r="J10" t="s">
        <v>192</v>
      </c>
      <c r="K10" t="s">
        <v>2171</v>
      </c>
      <c r="L10" s="84">
        <v>43208</v>
      </c>
      <c r="M10" t="s">
        <v>381</v>
      </c>
      <c r="N10" t="s">
        <v>1311</v>
      </c>
      <c r="O10">
        <v>3</v>
      </c>
      <c r="P10" t="s">
        <v>2172</v>
      </c>
      <c r="Q10" t="s">
        <v>2173</v>
      </c>
      <c r="R10" t="s">
        <v>2174</v>
      </c>
      <c r="S10" t="s">
        <v>2175</v>
      </c>
      <c r="T10" t="s">
        <v>37</v>
      </c>
      <c r="U10" t="s">
        <v>80</v>
      </c>
      <c r="V10">
        <v>63</v>
      </c>
      <c r="W10">
        <v>82</v>
      </c>
      <c r="X10">
        <v>120</v>
      </c>
      <c r="Y10">
        <v>98</v>
      </c>
      <c r="Z10">
        <v>175</v>
      </c>
      <c r="AA10">
        <v>146</v>
      </c>
      <c r="AB10" t="s">
        <v>413</v>
      </c>
      <c r="AC10" t="s">
        <v>212</v>
      </c>
      <c r="AD10" t="s">
        <v>210</v>
      </c>
      <c r="AE10" t="s">
        <v>183</v>
      </c>
      <c r="AF10">
        <v>0</v>
      </c>
    </row>
    <row r="11" spans="1:32">
      <c r="A11">
        <v>102</v>
      </c>
      <c r="B11">
        <v>891</v>
      </c>
      <c r="C11" t="s">
        <v>2170</v>
      </c>
      <c r="D11" t="s">
        <v>169</v>
      </c>
      <c r="E11" t="s">
        <v>2165</v>
      </c>
      <c r="F11" t="s">
        <v>193</v>
      </c>
      <c r="G11" t="s">
        <v>213</v>
      </c>
      <c r="H11" t="s">
        <v>192</v>
      </c>
      <c r="I11" t="s">
        <v>196</v>
      </c>
      <c r="J11" t="s">
        <v>192</v>
      </c>
      <c r="K11" t="s">
        <v>2171</v>
      </c>
      <c r="L11" s="84">
        <v>43208</v>
      </c>
      <c r="M11" t="s">
        <v>381</v>
      </c>
      <c r="N11" t="s">
        <v>1311</v>
      </c>
      <c r="O11">
        <v>3</v>
      </c>
      <c r="P11" t="s">
        <v>2172</v>
      </c>
      <c r="Q11" t="s">
        <v>2173</v>
      </c>
      <c r="R11" t="s">
        <v>2174</v>
      </c>
      <c r="S11" t="s">
        <v>2175</v>
      </c>
      <c r="T11" t="s">
        <v>36</v>
      </c>
      <c r="U11" t="s">
        <v>80</v>
      </c>
      <c r="V11">
        <v>63</v>
      </c>
      <c r="W11">
        <v>82</v>
      </c>
      <c r="X11">
        <v>120</v>
      </c>
      <c r="Y11">
        <v>98</v>
      </c>
      <c r="Z11">
        <v>175</v>
      </c>
      <c r="AA11">
        <v>146</v>
      </c>
      <c r="AB11" t="s">
        <v>413</v>
      </c>
      <c r="AC11" t="s">
        <v>212</v>
      </c>
      <c r="AD11" t="s">
        <v>210</v>
      </c>
      <c r="AE11" t="s">
        <v>183</v>
      </c>
      <c r="AF11">
        <v>0</v>
      </c>
    </row>
    <row r="12" spans="1:32">
      <c r="A12">
        <v>102</v>
      </c>
      <c r="B12">
        <v>891</v>
      </c>
      <c r="C12" t="s">
        <v>2170</v>
      </c>
      <c r="D12" t="s">
        <v>169</v>
      </c>
      <c r="E12" t="s">
        <v>2165</v>
      </c>
      <c r="F12" t="s">
        <v>197</v>
      </c>
      <c r="G12" t="s">
        <v>200</v>
      </c>
      <c r="H12" t="s">
        <v>192</v>
      </c>
      <c r="I12" t="s">
        <v>212</v>
      </c>
      <c r="J12" t="s">
        <v>192</v>
      </c>
      <c r="K12" t="s">
        <v>2171</v>
      </c>
      <c r="L12" s="84">
        <v>43208</v>
      </c>
      <c r="M12" t="s">
        <v>381</v>
      </c>
      <c r="N12" t="s">
        <v>1311</v>
      </c>
      <c r="O12">
        <v>3</v>
      </c>
      <c r="P12" t="s">
        <v>2172</v>
      </c>
      <c r="Q12" t="s">
        <v>2173</v>
      </c>
      <c r="R12" t="s">
        <v>2174</v>
      </c>
      <c r="S12" t="s">
        <v>2175</v>
      </c>
      <c r="T12" t="s">
        <v>38</v>
      </c>
      <c r="U12" t="s">
        <v>80</v>
      </c>
      <c r="V12">
        <v>63</v>
      </c>
      <c r="W12">
        <v>82</v>
      </c>
      <c r="X12">
        <v>120</v>
      </c>
      <c r="Y12">
        <v>98</v>
      </c>
      <c r="Z12">
        <v>175</v>
      </c>
      <c r="AA12">
        <v>146</v>
      </c>
      <c r="AB12" t="s">
        <v>413</v>
      </c>
      <c r="AC12" t="s">
        <v>212</v>
      </c>
      <c r="AD12" t="s">
        <v>210</v>
      </c>
      <c r="AE12" t="s">
        <v>183</v>
      </c>
      <c r="AF12">
        <v>0</v>
      </c>
    </row>
    <row r="13" spans="1:32">
      <c r="A13">
        <v>102</v>
      </c>
      <c r="B13">
        <v>891</v>
      </c>
      <c r="C13" t="s">
        <v>2170</v>
      </c>
      <c r="D13" t="s">
        <v>169</v>
      </c>
      <c r="E13" t="s">
        <v>2165</v>
      </c>
      <c r="F13" t="s">
        <v>6</v>
      </c>
      <c r="G13" t="s">
        <v>214</v>
      </c>
      <c r="H13" t="s">
        <v>218</v>
      </c>
      <c r="I13" t="s">
        <v>217</v>
      </c>
      <c r="J13" t="s">
        <v>215</v>
      </c>
      <c r="K13" t="s">
        <v>2171</v>
      </c>
      <c r="L13" s="84">
        <v>43208</v>
      </c>
      <c r="M13" t="s">
        <v>381</v>
      </c>
      <c r="N13" t="s">
        <v>1311</v>
      </c>
      <c r="O13">
        <v>3</v>
      </c>
      <c r="P13" t="s">
        <v>2172</v>
      </c>
      <c r="Q13" t="s">
        <v>2173</v>
      </c>
      <c r="R13" t="s">
        <v>2174</v>
      </c>
      <c r="S13" t="s">
        <v>2175</v>
      </c>
      <c r="T13" t="s">
        <v>34</v>
      </c>
      <c r="U13" t="s">
        <v>80</v>
      </c>
      <c r="V13">
        <v>63</v>
      </c>
      <c r="W13">
        <v>82</v>
      </c>
      <c r="X13">
        <v>120</v>
      </c>
      <c r="Y13">
        <v>98</v>
      </c>
      <c r="Z13">
        <v>175</v>
      </c>
      <c r="AA13">
        <v>146</v>
      </c>
      <c r="AB13" t="s">
        <v>413</v>
      </c>
      <c r="AC13" t="s">
        <v>212</v>
      </c>
      <c r="AD13" t="s">
        <v>210</v>
      </c>
      <c r="AE13" t="s">
        <v>183</v>
      </c>
      <c r="AF13">
        <v>0</v>
      </c>
    </row>
    <row r="14" spans="1:32">
      <c r="A14">
        <v>102</v>
      </c>
      <c r="B14">
        <v>891</v>
      </c>
      <c r="C14" t="s">
        <v>2170</v>
      </c>
      <c r="D14" t="s">
        <v>169</v>
      </c>
      <c r="E14" t="s">
        <v>2165</v>
      </c>
      <c r="F14" t="s">
        <v>7</v>
      </c>
      <c r="G14" t="s">
        <v>222</v>
      </c>
      <c r="H14" t="s">
        <v>257</v>
      </c>
      <c r="I14" t="s">
        <v>257</v>
      </c>
      <c r="J14" t="s">
        <v>191</v>
      </c>
      <c r="K14" t="s">
        <v>2171</v>
      </c>
      <c r="L14" s="84">
        <v>43208</v>
      </c>
      <c r="M14" t="s">
        <v>381</v>
      </c>
      <c r="N14" t="s">
        <v>1311</v>
      </c>
      <c r="O14">
        <v>3</v>
      </c>
      <c r="P14" t="s">
        <v>2172</v>
      </c>
      <c r="Q14" t="s">
        <v>2173</v>
      </c>
      <c r="R14" t="s">
        <v>2174</v>
      </c>
      <c r="S14" t="s">
        <v>2175</v>
      </c>
      <c r="T14" t="s">
        <v>32</v>
      </c>
      <c r="U14" t="s">
        <v>80</v>
      </c>
      <c r="V14">
        <v>63</v>
      </c>
      <c r="W14">
        <v>82</v>
      </c>
      <c r="X14">
        <v>120</v>
      </c>
      <c r="Y14">
        <v>98</v>
      </c>
      <c r="Z14">
        <v>175</v>
      </c>
      <c r="AA14">
        <v>146</v>
      </c>
      <c r="AB14" t="s">
        <v>413</v>
      </c>
      <c r="AC14" t="s">
        <v>212</v>
      </c>
      <c r="AD14" t="s">
        <v>210</v>
      </c>
      <c r="AE14" t="s">
        <v>183</v>
      </c>
      <c r="AF14">
        <v>0</v>
      </c>
    </row>
    <row r="15" spans="1:32">
      <c r="A15">
        <v>102</v>
      </c>
      <c r="B15">
        <v>891</v>
      </c>
      <c r="C15" t="s">
        <v>2170</v>
      </c>
      <c r="D15" t="s">
        <v>169</v>
      </c>
      <c r="E15" t="s">
        <v>2165</v>
      </c>
      <c r="F15" t="s">
        <v>8</v>
      </c>
      <c r="G15" t="s">
        <v>219</v>
      </c>
      <c r="H15" t="s">
        <v>217</v>
      </c>
      <c r="I15" t="s">
        <v>218</v>
      </c>
      <c r="J15" t="s">
        <v>218</v>
      </c>
      <c r="K15" t="s">
        <v>2171</v>
      </c>
      <c r="L15" s="84">
        <v>43208</v>
      </c>
      <c r="M15" t="s">
        <v>381</v>
      </c>
      <c r="N15" t="s">
        <v>1311</v>
      </c>
      <c r="O15">
        <v>3</v>
      </c>
      <c r="P15" t="s">
        <v>2172</v>
      </c>
      <c r="Q15" t="s">
        <v>2173</v>
      </c>
      <c r="R15" t="s">
        <v>2174</v>
      </c>
      <c r="S15" t="s">
        <v>2175</v>
      </c>
      <c r="T15" t="s">
        <v>31</v>
      </c>
      <c r="U15" t="s">
        <v>80</v>
      </c>
      <c r="V15">
        <v>63</v>
      </c>
      <c r="W15">
        <v>82</v>
      </c>
      <c r="X15">
        <v>120</v>
      </c>
      <c r="Y15">
        <v>98</v>
      </c>
      <c r="Z15">
        <v>175</v>
      </c>
      <c r="AA15">
        <v>146</v>
      </c>
      <c r="AB15" t="s">
        <v>413</v>
      </c>
      <c r="AC15" t="s">
        <v>212</v>
      </c>
      <c r="AD15" t="s">
        <v>210</v>
      </c>
      <c r="AE15" t="s">
        <v>183</v>
      </c>
      <c r="AF15">
        <v>0</v>
      </c>
    </row>
    <row r="16" spans="1:32">
      <c r="A16">
        <v>103</v>
      </c>
      <c r="B16">
        <v>892</v>
      </c>
      <c r="C16" t="s">
        <v>2176</v>
      </c>
      <c r="D16" t="s">
        <v>169</v>
      </c>
      <c r="E16" t="s">
        <v>2165</v>
      </c>
      <c r="F16" t="s">
        <v>8</v>
      </c>
      <c r="G16" t="s">
        <v>235</v>
      </c>
      <c r="H16" t="s">
        <v>275</v>
      </c>
      <c r="I16" t="s">
        <v>236</v>
      </c>
      <c r="J16" t="s">
        <v>218</v>
      </c>
      <c r="K16" t="s">
        <v>2177</v>
      </c>
      <c r="L16" s="84">
        <v>43330</v>
      </c>
      <c r="M16" t="s">
        <v>381</v>
      </c>
      <c r="N16" t="s">
        <v>1413</v>
      </c>
      <c r="O16">
        <v>3</v>
      </c>
      <c r="P16" t="s">
        <v>249</v>
      </c>
      <c r="Q16" t="s">
        <v>2178</v>
      </c>
      <c r="R16" t="s">
        <v>2179</v>
      </c>
      <c r="S16" t="s">
        <v>2180</v>
      </c>
      <c r="T16" t="s">
        <v>31</v>
      </c>
      <c r="U16" t="s">
        <v>80</v>
      </c>
      <c r="V16">
        <v>70</v>
      </c>
      <c r="W16">
        <v>82</v>
      </c>
      <c r="X16">
        <v>120</v>
      </c>
      <c r="Y16">
        <v>100</v>
      </c>
      <c r="Z16">
        <v>175</v>
      </c>
      <c r="AA16">
        <v>147</v>
      </c>
      <c r="AB16" t="s">
        <v>180</v>
      </c>
      <c r="AC16" t="s">
        <v>181</v>
      </c>
      <c r="AD16" t="s">
        <v>210</v>
      </c>
      <c r="AE16" t="s">
        <v>183</v>
      </c>
      <c r="AF16">
        <v>0</v>
      </c>
    </row>
    <row r="17" spans="1:32">
      <c r="A17">
        <v>103</v>
      </c>
      <c r="B17">
        <v>892</v>
      </c>
      <c r="C17" t="s">
        <v>2176</v>
      </c>
      <c r="D17" t="s">
        <v>169</v>
      </c>
      <c r="E17" t="s">
        <v>2165</v>
      </c>
      <c r="F17" t="s">
        <v>7</v>
      </c>
      <c r="G17" t="s">
        <v>225</v>
      </c>
      <c r="H17" t="s">
        <v>274</v>
      </c>
      <c r="I17" t="s">
        <v>260</v>
      </c>
      <c r="J17" t="s">
        <v>257</v>
      </c>
      <c r="K17" t="s">
        <v>2177</v>
      </c>
      <c r="L17" s="84">
        <v>43330</v>
      </c>
      <c r="M17" t="s">
        <v>381</v>
      </c>
      <c r="N17" t="s">
        <v>1413</v>
      </c>
      <c r="O17">
        <v>3</v>
      </c>
      <c r="P17" t="s">
        <v>249</v>
      </c>
      <c r="Q17" t="s">
        <v>2178</v>
      </c>
      <c r="R17" t="s">
        <v>2179</v>
      </c>
      <c r="S17" t="s">
        <v>2180</v>
      </c>
      <c r="T17" t="s">
        <v>32</v>
      </c>
      <c r="U17" t="s">
        <v>80</v>
      </c>
      <c r="V17">
        <v>70</v>
      </c>
      <c r="W17">
        <v>82</v>
      </c>
      <c r="X17">
        <v>120</v>
      </c>
      <c r="Y17">
        <v>100</v>
      </c>
      <c r="Z17">
        <v>175</v>
      </c>
      <c r="AA17">
        <v>147</v>
      </c>
      <c r="AB17" t="s">
        <v>180</v>
      </c>
      <c r="AC17" t="s">
        <v>181</v>
      </c>
      <c r="AD17" t="s">
        <v>210</v>
      </c>
      <c r="AE17" t="s">
        <v>183</v>
      </c>
      <c r="AF17">
        <v>0</v>
      </c>
    </row>
    <row r="18" spans="1:32">
      <c r="A18">
        <v>103</v>
      </c>
      <c r="B18">
        <v>892</v>
      </c>
      <c r="C18" t="s">
        <v>2176</v>
      </c>
      <c r="D18" t="s">
        <v>169</v>
      </c>
      <c r="E18" t="s">
        <v>2165</v>
      </c>
      <c r="F18" t="s">
        <v>6</v>
      </c>
      <c r="G18" t="s">
        <v>240</v>
      </c>
      <c r="H18" t="s">
        <v>226</v>
      </c>
      <c r="I18" t="s">
        <v>497</v>
      </c>
      <c r="J18" t="s">
        <v>215</v>
      </c>
      <c r="K18" t="s">
        <v>2177</v>
      </c>
      <c r="L18" s="84">
        <v>43330</v>
      </c>
      <c r="M18" t="s">
        <v>381</v>
      </c>
      <c r="N18" t="s">
        <v>1413</v>
      </c>
      <c r="O18">
        <v>3</v>
      </c>
      <c r="P18" t="s">
        <v>249</v>
      </c>
      <c r="Q18" t="s">
        <v>2178</v>
      </c>
      <c r="R18" t="s">
        <v>2179</v>
      </c>
      <c r="S18" t="s">
        <v>2180</v>
      </c>
      <c r="T18" t="s">
        <v>34</v>
      </c>
      <c r="U18" t="s">
        <v>80</v>
      </c>
      <c r="V18">
        <v>70</v>
      </c>
      <c r="W18">
        <v>82</v>
      </c>
      <c r="X18">
        <v>120</v>
      </c>
      <c r="Y18">
        <v>100</v>
      </c>
      <c r="Z18">
        <v>175</v>
      </c>
      <c r="AA18">
        <v>147</v>
      </c>
      <c r="AB18" t="s">
        <v>180</v>
      </c>
      <c r="AC18" t="s">
        <v>181</v>
      </c>
      <c r="AD18" t="s">
        <v>210</v>
      </c>
      <c r="AE18" t="s">
        <v>183</v>
      </c>
      <c r="AF18">
        <v>0</v>
      </c>
    </row>
    <row r="19" spans="1:32">
      <c r="A19">
        <v>103</v>
      </c>
      <c r="B19">
        <v>892</v>
      </c>
      <c r="C19" t="s">
        <v>2176</v>
      </c>
      <c r="D19" t="s">
        <v>169</v>
      </c>
      <c r="E19" t="s">
        <v>2165</v>
      </c>
      <c r="F19" t="s">
        <v>197</v>
      </c>
      <c r="G19" t="s">
        <v>244</v>
      </c>
      <c r="H19" t="s">
        <v>192</v>
      </c>
      <c r="I19" t="s">
        <v>192</v>
      </c>
      <c r="J19" t="s">
        <v>212</v>
      </c>
      <c r="K19" t="s">
        <v>2177</v>
      </c>
      <c r="L19" s="84">
        <v>43330</v>
      </c>
      <c r="M19" t="s">
        <v>381</v>
      </c>
      <c r="N19" t="s">
        <v>1413</v>
      </c>
      <c r="O19">
        <v>3</v>
      </c>
      <c r="P19" t="s">
        <v>249</v>
      </c>
      <c r="Q19" t="s">
        <v>2178</v>
      </c>
      <c r="R19" t="s">
        <v>2179</v>
      </c>
      <c r="S19" t="s">
        <v>2180</v>
      </c>
      <c r="T19" t="s">
        <v>38</v>
      </c>
      <c r="U19" t="s">
        <v>80</v>
      </c>
      <c r="V19">
        <v>70</v>
      </c>
      <c r="W19">
        <v>82</v>
      </c>
      <c r="X19">
        <v>120</v>
      </c>
      <c r="Y19">
        <v>100</v>
      </c>
      <c r="Z19">
        <v>175</v>
      </c>
      <c r="AA19">
        <v>147</v>
      </c>
      <c r="AB19" t="s">
        <v>180</v>
      </c>
      <c r="AC19" t="s">
        <v>181</v>
      </c>
      <c r="AD19" t="s">
        <v>210</v>
      </c>
      <c r="AE19" t="s">
        <v>183</v>
      </c>
      <c r="AF19">
        <v>0</v>
      </c>
    </row>
    <row r="20" spans="1:32">
      <c r="A20">
        <v>103</v>
      </c>
      <c r="B20">
        <v>892</v>
      </c>
      <c r="C20" t="s">
        <v>2176</v>
      </c>
      <c r="D20" t="s">
        <v>169</v>
      </c>
      <c r="E20" t="s">
        <v>2165</v>
      </c>
      <c r="F20" t="s">
        <v>193</v>
      </c>
      <c r="G20" t="s">
        <v>241</v>
      </c>
      <c r="H20" t="s">
        <v>192</v>
      </c>
      <c r="I20" t="s">
        <v>181</v>
      </c>
      <c r="J20" t="s">
        <v>212</v>
      </c>
      <c r="K20" t="s">
        <v>2177</v>
      </c>
      <c r="L20" s="84">
        <v>43330</v>
      </c>
      <c r="M20" t="s">
        <v>381</v>
      </c>
      <c r="N20" t="s">
        <v>1413</v>
      </c>
      <c r="O20">
        <v>3</v>
      </c>
      <c r="P20" t="s">
        <v>249</v>
      </c>
      <c r="Q20" t="s">
        <v>2178</v>
      </c>
      <c r="R20" t="s">
        <v>2179</v>
      </c>
      <c r="S20" t="s">
        <v>2180</v>
      </c>
      <c r="T20" t="s">
        <v>36</v>
      </c>
      <c r="U20" t="s">
        <v>80</v>
      </c>
      <c r="V20">
        <v>70</v>
      </c>
      <c r="W20">
        <v>82</v>
      </c>
      <c r="X20">
        <v>120</v>
      </c>
      <c r="Y20">
        <v>100</v>
      </c>
      <c r="Z20">
        <v>175</v>
      </c>
      <c r="AA20">
        <v>147</v>
      </c>
      <c r="AB20" t="s">
        <v>180</v>
      </c>
      <c r="AC20" t="s">
        <v>181</v>
      </c>
      <c r="AD20" t="s">
        <v>210</v>
      </c>
      <c r="AE20" t="s">
        <v>183</v>
      </c>
      <c r="AF20">
        <v>0</v>
      </c>
    </row>
    <row r="21" spans="1:32">
      <c r="A21">
        <v>103</v>
      </c>
      <c r="B21">
        <v>892</v>
      </c>
      <c r="C21" t="s">
        <v>2176</v>
      </c>
      <c r="D21" t="s">
        <v>169</v>
      </c>
      <c r="E21" t="s">
        <v>2165</v>
      </c>
      <c r="F21" t="s">
        <v>37</v>
      </c>
      <c r="G21" t="s">
        <v>242</v>
      </c>
      <c r="H21" t="s">
        <v>192</v>
      </c>
      <c r="I21" t="s">
        <v>181</v>
      </c>
      <c r="J21" t="s">
        <v>223</v>
      </c>
      <c r="K21" t="s">
        <v>2177</v>
      </c>
      <c r="L21" s="84">
        <v>43330</v>
      </c>
      <c r="M21" t="s">
        <v>381</v>
      </c>
      <c r="N21" t="s">
        <v>1413</v>
      </c>
      <c r="O21">
        <v>3</v>
      </c>
      <c r="P21" t="s">
        <v>249</v>
      </c>
      <c r="Q21" t="s">
        <v>2178</v>
      </c>
      <c r="R21" t="s">
        <v>2179</v>
      </c>
      <c r="S21" t="s">
        <v>2180</v>
      </c>
      <c r="T21" t="s">
        <v>37</v>
      </c>
      <c r="U21" t="s">
        <v>80</v>
      </c>
      <c r="V21">
        <v>70</v>
      </c>
      <c r="W21">
        <v>82</v>
      </c>
      <c r="X21">
        <v>120</v>
      </c>
      <c r="Y21">
        <v>100</v>
      </c>
      <c r="Z21">
        <v>175</v>
      </c>
      <c r="AA21">
        <v>147</v>
      </c>
      <c r="AB21" t="s">
        <v>180</v>
      </c>
      <c r="AC21" t="s">
        <v>181</v>
      </c>
      <c r="AD21" t="s">
        <v>210</v>
      </c>
      <c r="AE21" t="s">
        <v>183</v>
      </c>
      <c r="AF21">
        <v>0</v>
      </c>
    </row>
    <row r="22" spans="1:32">
      <c r="A22">
        <v>103</v>
      </c>
      <c r="B22">
        <v>892</v>
      </c>
      <c r="C22" t="s">
        <v>2176</v>
      </c>
      <c r="D22" t="s">
        <v>169</v>
      </c>
      <c r="E22" t="s">
        <v>2165</v>
      </c>
      <c r="F22" t="s">
        <v>5</v>
      </c>
      <c r="G22" t="s">
        <v>2804</v>
      </c>
      <c r="H22" t="s">
        <v>189</v>
      </c>
      <c r="I22" t="s">
        <v>217</v>
      </c>
      <c r="J22" t="s">
        <v>497</v>
      </c>
      <c r="K22" t="s">
        <v>2177</v>
      </c>
      <c r="L22" s="84">
        <v>43330</v>
      </c>
      <c r="M22" t="s">
        <v>381</v>
      </c>
      <c r="N22" t="s">
        <v>1413</v>
      </c>
      <c r="O22">
        <v>3</v>
      </c>
      <c r="P22" t="s">
        <v>249</v>
      </c>
      <c r="Q22" t="s">
        <v>2178</v>
      </c>
      <c r="R22" t="s">
        <v>2179</v>
      </c>
      <c r="S22" t="s">
        <v>2180</v>
      </c>
      <c r="T22" t="s">
        <v>33</v>
      </c>
      <c r="U22" t="s">
        <v>80</v>
      </c>
      <c r="V22">
        <v>70</v>
      </c>
      <c r="W22">
        <v>82</v>
      </c>
      <c r="X22">
        <v>120</v>
      </c>
      <c r="Y22">
        <v>100</v>
      </c>
      <c r="Z22">
        <v>175</v>
      </c>
      <c r="AA22">
        <v>147</v>
      </c>
      <c r="AB22" t="s">
        <v>180</v>
      </c>
      <c r="AC22" t="s">
        <v>181</v>
      </c>
      <c r="AD22" t="s">
        <v>210</v>
      </c>
      <c r="AE22" t="s">
        <v>183</v>
      </c>
      <c r="AF22">
        <v>0</v>
      </c>
    </row>
    <row r="23" spans="1:32">
      <c r="A23">
        <v>104</v>
      </c>
      <c r="B23">
        <v>893</v>
      </c>
      <c r="C23" t="s">
        <v>2181</v>
      </c>
      <c r="D23" t="s">
        <v>169</v>
      </c>
      <c r="E23" t="s">
        <v>2165</v>
      </c>
      <c r="F23" t="s">
        <v>5</v>
      </c>
      <c r="G23" t="s">
        <v>2805</v>
      </c>
      <c r="H23" t="s">
        <v>256</v>
      </c>
      <c r="I23" t="s">
        <v>238</v>
      </c>
      <c r="J23" t="s">
        <v>259</v>
      </c>
      <c r="K23" t="s">
        <v>2182</v>
      </c>
      <c r="L23" s="84">
        <v>42911</v>
      </c>
      <c r="M23" t="s">
        <v>381</v>
      </c>
      <c r="N23" t="s">
        <v>326</v>
      </c>
      <c r="O23">
        <v>3</v>
      </c>
      <c r="P23" t="s">
        <v>2183</v>
      </c>
      <c r="Q23" t="s">
        <v>1068</v>
      </c>
      <c r="R23" t="s">
        <v>2184</v>
      </c>
      <c r="S23" t="s">
        <v>2185</v>
      </c>
      <c r="T23" t="s">
        <v>33</v>
      </c>
      <c r="U23" t="s">
        <v>80</v>
      </c>
      <c r="V23">
        <v>68</v>
      </c>
      <c r="W23">
        <v>82</v>
      </c>
      <c r="X23">
        <v>120</v>
      </c>
      <c r="Y23">
        <v>104</v>
      </c>
      <c r="Z23">
        <v>175</v>
      </c>
      <c r="AA23">
        <v>158</v>
      </c>
      <c r="AB23" t="s">
        <v>670</v>
      </c>
      <c r="AC23" t="s">
        <v>173</v>
      </c>
      <c r="AD23" t="s">
        <v>210</v>
      </c>
      <c r="AE23" t="s">
        <v>183</v>
      </c>
      <c r="AF23">
        <v>2</v>
      </c>
    </row>
    <row r="24" spans="1:32">
      <c r="A24">
        <v>104</v>
      </c>
      <c r="B24">
        <v>893</v>
      </c>
      <c r="C24" t="s">
        <v>2181</v>
      </c>
      <c r="D24" t="s">
        <v>169</v>
      </c>
      <c r="E24" t="s">
        <v>2165</v>
      </c>
      <c r="F24" t="s">
        <v>37</v>
      </c>
      <c r="G24" t="s">
        <v>253</v>
      </c>
      <c r="H24" t="s">
        <v>192</v>
      </c>
      <c r="I24" t="s">
        <v>196</v>
      </c>
      <c r="J24" t="s">
        <v>223</v>
      </c>
      <c r="K24" t="s">
        <v>2182</v>
      </c>
      <c r="L24" s="84">
        <v>42911</v>
      </c>
      <c r="M24" t="s">
        <v>381</v>
      </c>
      <c r="N24" t="s">
        <v>326</v>
      </c>
      <c r="O24">
        <v>3</v>
      </c>
      <c r="P24" t="s">
        <v>2183</v>
      </c>
      <c r="Q24" t="s">
        <v>1068</v>
      </c>
      <c r="R24" t="s">
        <v>2184</v>
      </c>
      <c r="S24" t="s">
        <v>2185</v>
      </c>
      <c r="T24" t="s">
        <v>37</v>
      </c>
      <c r="U24" t="s">
        <v>80</v>
      </c>
      <c r="V24">
        <v>68</v>
      </c>
      <c r="W24">
        <v>82</v>
      </c>
      <c r="X24">
        <v>120</v>
      </c>
      <c r="Y24">
        <v>104</v>
      </c>
      <c r="Z24">
        <v>175</v>
      </c>
      <c r="AA24">
        <v>158</v>
      </c>
      <c r="AB24" t="s">
        <v>670</v>
      </c>
      <c r="AC24" t="s">
        <v>173</v>
      </c>
      <c r="AD24" t="s">
        <v>210</v>
      </c>
      <c r="AE24" t="s">
        <v>183</v>
      </c>
      <c r="AF24">
        <v>2</v>
      </c>
    </row>
    <row r="25" spans="1:32">
      <c r="A25">
        <v>104</v>
      </c>
      <c r="B25">
        <v>893</v>
      </c>
      <c r="C25" t="s">
        <v>2181</v>
      </c>
      <c r="D25" t="s">
        <v>169</v>
      </c>
      <c r="E25" t="s">
        <v>2165</v>
      </c>
      <c r="F25" t="s">
        <v>193</v>
      </c>
      <c r="G25" t="s">
        <v>254</v>
      </c>
      <c r="H25" t="s">
        <v>192</v>
      </c>
      <c r="I25" t="s">
        <v>243</v>
      </c>
      <c r="J25" t="s">
        <v>192</v>
      </c>
      <c r="K25" t="s">
        <v>2182</v>
      </c>
      <c r="L25" s="84">
        <v>42911</v>
      </c>
      <c r="M25" t="s">
        <v>381</v>
      </c>
      <c r="N25" t="s">
        <v>326</v>
      </c>
      <c r="O25">
        <v>3</v>
      </c>
      <c r="P25" t="s">
        <v>2183</v>
      </c>
      <c r="Q25" t="s">
        <v>1068</v>
      </c>
      <c r="R25" t="s">
        <v>2184</v>
      </c>
      <c r="S25" t="s">
        <v>2185</v>
      </c>
      <c r="T25" t="s">
        <v>36</v>
      </c>
      <c r="U25" t="s">
        <v>80</v>
      </c>
      <c r="V25">
        <v>68</v>
      </c>
      <c r="W25">
        <v>82</v>
      </c>
      <c r="X25">
        <v>120</v>
      </c>
      <c r="Y25">
        <v>104</v>
      </c>
      <c r="Z25">
        <v>175</v>
      </c>
      <c r="AA25">
        <v>158</v>
      </c>
      <c r="AB25" t="s">
        <v>670</v>
      </c>
      <c r="AC25" t="s">
        <v>173</v>
      </c>
      <c r="AD25" t="s">
        <v>210</v>
      </c>
      <c r="AE25" t="s">
        <v>183</v>
      </c>
      <c r="AF25">
        <v>2</v>
      </c>
    </row>
    <row r="26" spans="1:32">
      <c r="A26">
        <v>104</v>
      </c>
      <c r="B26">
        <v>893</v>
      </c>
      <c r="C26" t="s">
        <v>2181</v>
      </c>
      <c r="D26" t="s">
        <v>169</v>
      </c>
      <c r="E26" t="s">
        <v>2165</v>
      </c>
      <c r="F26" t="s">
        <v>197</v>
      </c>
      <c r="G26" t="s">
        <v>247</v>
      </c>
      <c r="H26" t="s">
        <v>192</v>
      </c>
      <c r="I26" t="s">
        <v>212</v>
      </c>
      <c r="J26" t="s">
        <v>192</v>
      </c>
      <c r="K26" t="s">
        <v>2182</v>
      </c>
      <c r="L26" s="84">
        <v>42911</v>
      </c>
      <c r="M26" t="s">
        <v>381</v>
      </c>
      <c r="N26" t="s">
        <v>326</v>
      </c>
      <c r="O26">
        <v>3</v>
      </c>
      <c r="P26" t="s">
        <v>2183</v>
      </c>
      <c r="Q26" t="s">
        <v>1068</v>
      </c>
      <c r="R26" t="s">
        <v>2184</v>
      </c>
      <c r="S26" t="s">
        <v>2185</v>
      </c>
      <c r="T26" t="s">
        <v>38</v>
      </c>
      <c r="U26" t="s">
        <v>80</v>
      </c>
      <c r="V26">
        <v>68</v>
      </c>
      <c r="W26">
        <v>82</v>
      </c>
      <c r="X26">
        <v>120</v>
      </c>
      <c r="Y26">
        <v>104</v>
      </c>
      <c r="Z26">
        <v>175</v>
      </c>
      <c r="AA26">
        <v>158</v>
      </c>
      <c r="AB26" t="s">
        <v>670</v>
      </c>
      <c r="AC26" t="s">
        <v>173</v>
      </c>
      <c r="AD26" t="s">
        <v>210</v>
      </c>
      <c r="AE26" t="s">
        <v>183</v>
      </c>
      <c r="AF26">
        <v>2</v>
      </c>
    </row>
    <row r="27" spans="1:32">
      <c r="A27">
        <v>104</v>
      </c>
      <c r="B27">
        <v>893</v>
      </c>
      <c r="C27" t="s">
        <v>2181</v>
      </c>
      <c r="D27" t="s">
        <v>169</v>
      </c>
      <c r="E27" t="s">
        <v>2165</v>
      </c>
      <c r="F27" t="s">
        <v>6</v>
      </c>
      <c r="G27" t="s">
        <v>255</v>
      </c>
      <c r="H27" t="s">
        <v>415</v>
      </c>
      <c r="I27" t="s">
        <v>191</v>
      </c>
      <c r="J27" t="s">
        <v>181</v>
      </c>
      <c r="K27" t="s">
        <v>2182</v>
      </c>
      <c r="L27" s="84">
        <v>42911</v>
      </c>
      <c r="M27" t="s">
        <v>381</v>
      </c>
      <c r="N27" t="s">
        <v>326</v>
      </c>
      <c r="O27">
        <v>3</v>
      </c>
      <c r="P27" t="s">
        <v>2183</v>
      </c>
      <c r="Q27" t="s">
        <v>1068</v>
      </c>
      <c r="R27" t="s">
        <v>2184</v>
      </c>
      <c r="S27" t="s">
        <v>2185</v>
      </c>
      <c r="T27" t="s">
        <v>34</v>
      </c>
      <c r="U27" t="s">
        <v>80</v>
      </c>
      <c r="V27">
        <v>68</v>
      </c>
      <c r="W27">
        <v>82</v>
      </c>
      <c r="X27">
        <v>120</v>
      </c>
      <c r="Y27">
        <v>104</v>
      </c>
      <c r="Z27">
        <v>175</v>
      </c>
      <c r="AA27">
        <v>158</v>
      </c>
      <c r="AB27" t="s">
        <v>670</v>
      </c>
      <c r="AC27" t="s">
        <v>173</v>
      </c>
      <c r="AD27" t="s">
        <v>210</v>
      </c>
      <c r="AE27" t="s">
        <v>183</v>
      </c>
      <c r="AF27">
        <v>2</v>
      </c>
    </row>
    <row r="28" spans="1:32">
      <c r="A28">
        <v>104</v>
      </c>
      <c r="B28">
        <v>893</v>
      </c>
      <c r="C28" t="s">
        <v>2181</v>
      </c>
      <c r="D28" t="s">
        <v>169</v>
      </c>
      <c r="E28" t="s">
        <v>2165</v>
      </c>
      <c r="F28" t="s">
        <v>7</v>
      </c>
      <c r="G28" t="s">
        <v>261</v>
      </c>
      <c r="H28" t="s">
        <v>173</v>
      </c>
      <c r="I28" t="s">
        <v>415</v>
      </c>
      <c r="J28" t="s">
        <v>212</v>
      </c>
      <c r="K28" t="s">
        <v>2182</v>
      </c>
      <c r="L28" s="84">
        <v>42911</v>
      </c>
      <c r="M28" t="s">
        <v>381</v>
      </c>
      <c r="N28" t="s">
        <v>326</v>
      </c>
      <c r="O28">
        <v>3</v>
      </c>
      <c r="P28" t="s">
        <v>2183</v>
      </c>
      <c r="Q28" t="s">
        <v>1068</v>
      </c>
      <c r="R28" t="s">
        <v>2184</v>
      </c>
      <c r="S28" t="s">
        <v>2185</v>
      </c>
      <c r="T28" t="s">
        <v>32</v>
      </c>
      <c r="U28" t="s">
        <v>80</v>
      </c>
      <c r="V28">
        <v>68</v>
      </c>
      <c r="W28">
        <v>82</v>
      </c>
      <c r="X28">
        <v>120</v>
      </c>
      <c r="Y28">
        <v>104</v>
      </c>
      <c r="Z28">
        <v>175</v>
      </c>
      <c r="AA28">
        <v>158</v>
      </c>
      <c r="AB28" t="s">
        <v>670</v>
      </c>
      <c r="AC28" t="s">
        <v>173</v>
      </c>
      <c r="AD28" t="s">
        <v>210</v>
      </c>
      <c r="AE28" t="s">
        <v>183</v>
      </c>
      <c r="AF28">
        <v>2</v>
      </c>
    </row>
    <row r="29" spans="1:32">
      <c r="A29">
        <v>104</v>
      </c>
      <c r="B29">
        <v>893</v>
      </c>
      <c r="C29" t="s">
        <v>2181</v>
      </c>
      <c r="D29" t="s">
        <v>169</v>
      </c>
      <c r="E29" t="s">
        <v>2165</v>
      </c>
      <c r="F29" t="s">
        <v>8</v>
      </c>
      <c r="G29" t="s">
        <v>258</v>
      </c>
      <c r="H29" t="s">
        <v>462</v>
      </c>
      <c r="I29" t="s">
        <v>188</v>
      </c>
      <c r="J29" t="s">
        <v>236</v>
      </c>
      <c r="K29" t="s">
        <v>2182</v>
      </c>
      <c r="L29" s="84">
        <v>42911</v>
      </c>
      <c r="M29" t="s">
        <v>381</v>
      </c>
      <c r="N29" t="s">
        <v>326</v>
      </c>
      <c r="O29">
        <v>3</v>
      </c>
      <c r="P29" t="s">
        <v>2183</v>
      </c>
      <c r="Q29" t="s">
        <v>1068</v>
      </c>
      <c r="R29" t="s">
        <v>2184</v>
      </c>
      <c r="S29" t="s">
        <v>2185</v>
      </c>
      <c r="T29" t="s">
        <v>31</v>
      </c>
      <c r="U29" t="s">
        <v>80</v>
      </c>
      <c r="V29">
        <v>68</v>
      </c>
      <c r="W29">
        <v>82</v>
      </c>
      <c r="X29">
        <v>120</v>
      </c>
      <c r="Y29">
        <v>104</v>
      </c>
      <c r="Z29">
        <v>175</v>
      </c>
      <c r="AA29">
        <v>158</v>
      </c>
      <c r="AB29" t="s">
        <v>670</v>
      </c>
      <c r="AC29" t="s">
        <v>173</v>
      </c>
      <c r="AD29" t="s">
        <v>210</v>
      </c>
      <c r="AE29" t="s">
        <v>183</v>
      </c>
      <c r="AF29">
        <v>2</v>
      </c>
    </row>
    <row r="30" spans="1:32">
      <c r="A30">
        <v>105</v>
      </c>
      <c r="B30">
        <v>1067</v>
      </c>
      <c r="C30" t="s">
        <v>2186</v>
      </c>
      <c r="D30" t="s">
        <v>169</v>
      </c>
      <c r="E30" t="s">
        <v>2165</v>
      </c>
      <c r="F30" t="s">
        <v>8</v>
      </c>
      <c r="G30" t="s">
        <v>273</v>
      </c>
      <c r="H30" t="s">
        <v>191</v>
      </c>
      <c r="I30" t="s">
        <v>226</v>
      </c>
      <c r="J30" t="s">
        <v>324</v>
      </c>
      <c r="K30" t="s">
        <v>2187</v>
      </c>
      <c r="L30" s="84">
        <v>43342</v>
      </c>
      <c r="M30" t="s">
        <v>381</v>
      </c>
      <c r="N30" t="s">
        <v>2188</v>
      </c>
      <c r="O30">
        <v>3</v>
      </c>
      <c r="P30" t="s">
        <v>2189</v>
      </c>
      <c r="Q30" t="s">
        <v>803</v>
      </c>
      <c r="R30" t="s">
        <v>2190</v>
      </c>
      <c r="S30" t="s">
        <v>2191</v>
      </c>
      <c r="T30" t="s">
        <v>31</v>
      </c>
      <c r="U30" t="s">
        <v>80</v>
      </c>
      <c r="V30">
        <v>47</v>
      </c>
      <c r="W30">
        <v>82</v>
      </c>
      <c r="X30">
        <v>120</v>
      </c>
      <c r="Y30">
        <v>84</v>
      </c>
      <c r="Z30">
        <v>175</v>
      </c>
      <c r="AA30">
        <v>133</v>
      </c>
      <c r="AB30" t="s">
        <v>644</v>
      </c>
      <c r="AC30" t="s">
        <v>188</v>
      </c>
      <c r="AD30" t="s">
        <v>609</v>
      </c>
      <c r="AE30" t="s">
        <v>183</v>
      </c>
      <c r="AF30">
        <v>0</v>
      </c>
    </row>
    <row r="31" spans="1:32">
      <c r="A31">
        <v>105</v>
      </c>
      <c r="B31">
        <v>1067</v>
      </c>
      <c r="C31" t="s">
        <v>2186</v>
      </c>
      <c r="D31" t="s">
        <v>169</v>
      </c>
      <c r="E31" t="s">
        <v>2165</v>
      </c>
      <c r="F31" t="s">
        <v>7</v>
      </c>
      <c r="G31" t="s">
        <v>264</v>
      </c>
      <c r="H31" t="s">
        <v>274</v>
      </c>
      <c r="I31" t="s">
        <v>376</v>
      </c>
      <c r="J31" t="s">
        <v>192</v>
      </c>
      <c r="K31" t="s">
        <v>2187</v>
      </c>
      <c r="L31" s="84">
        <v>43342</v>
      </c>
      <c r="M31" t="s">
        <v>381</v>
      </c>
      <c r="N31" t="s">
        <v>2188</v>
      </c>
      <c r="O31">
        <v>3</v>
      </c>
      <c r="P31" t="s">
        <v>2189</v>
      </c>
      <c r="Q31" t="s">
        <v>803</v>
      </c>
      <c r="R31" t="s">
        <v>2190</v>
      </c>
      <c r="S31" t="s">
        <v>2191</v>
      </c>
      <c r="T31" t="s">
        <v>32</v>
      </c>
      <c r="U31" t="s">
        <v>80</v>
      </c>
      <c r="V31">
        <v>47</v>
      </c>
      <c r="W31">
        <v>82</v>
      </c>
      <c r="X31">
        <v>120</v>
      </c>
      <c r="Y31">
        <v>84</v>
      </c>
      <c r="Z31">
        <v>175</v>
      </c>
      <c r="AA31">
        <v>133</v>
      </c>
      <c r="AB31" t="s">
        <v>644</v>
      </c>
      <c r="AC31" t="s">
        <v>188</v>
      </c>
      <c r="AD31" t="s">
        <v>609</v>
      </c>
      <c r="AE31" t="s">
        <v>183</v>
      </c>
      <c r="AF31">
        <v>0</v>
      </c>
    </row>
    <row r="32" spans="1:32">
      <c r="A32">
        <v>105</v>
      </c>
      <c r="B32">
        <v>1067</v>
      </c>
      <c r="C32" t="s">
        <v>2186</v>
      </c>
      <c r="D32" t="s">
        <v>169</v>
      </c>
      <c r="E32" t="s">
        <v>2165</v>
      </c>
      <c r="F32" t="s">
        <v>6</v>
      </c>
      <c r="G32" t="s">
        <v>276</v>
      </c>
      <c r="H32" t="s">
        <v>171</v>
      </c>
      <c r="I32" t="s">
        <v>260</v>
      </c>
      <c r="J32" t="s">
        <v>227</v>
      </c>
      <c r="K32" t="s">
        <v>2187</v>
      </c>
      <c r="L32" s="84">
        <v>43342</v>
      </c>
      <c r="M32" t="s">
        <v>381</v>
      </c>
      <c r="N32" t="s">
        <v>2188</v>
      </c>
      <c r="O32">
        <v>3</v>
      </c>
      <c r="P32" t="s">
        <v>2189</v>
      </c>
      <c r="Q32" t="s">
        <v>803</v>
      </c>
      <c r="R32" t="s">
        <v>2190</v>
      </c>
      <c r="S32" t="s">
        <v>2191</v>
      </c>
      <c r="T32" t="s">
        <v>34</v>
      </c>
      <c r="U32" t="s">
        <v>80</v>
      </c>
      <c r="V32">
        <v>47</v>
      </c>
      <c r="W32">
        <v>82</v>
      </c>
      <c r="X32">
        <v>120</v>
      </c>
      <c r="Y32">
        <v>84</v>
      </c>
      <c r="Z32">
        <v>175</v>
      </c>
      <c r="AA32">
        <v>133</v>
      </c>
      <c r="AB32" t="s">
        <v>644</v>
      </c>
      <c r="AC32" t="s">
        <v>188</v>
      </c>
      <c r="AD32" t="s">
        <v>609</v>
      </c>
      <c r="AE32" t="s">
        <v>183</v>
      </c>
      <c r="AF32">
        <v>0</v>
      </c>
    </row>
    <row r="33" spans="1:32">
      <c r="A33">
        <v>105</v>
      </c>
      <c r="B33">
        <v>1067</v>
      </c>
      <c r="C33" t="s">
        <v>2186</v>
      </c>
      <c r="D33" t="s">
        <v>169</v>
      </c>
      <c r="E33" t="s">
        <v>2165</v>
      </c>
      <c r="F33" t="s">
        <v>197</v>
      </c>
      <c r="G33" t="s">
        <v>279</v>
      </c>
      <c r="H33" t="s">
        <v>192</v>
      </c>
      <c r="I33" t="s">
        <v>188</v>
      </c>
      <c r="J33" t="s">
        <v>212</v>
      </c>
      <c r="K33" t="s">
        <v>2187</v>
      </c>
      <c r="L33" s="84">
        <v>43342</v>
      </c>
      <c r="M33" t="s">
        <v>381</v>
      </c>
      <c r="N33" t="s">
        <v>2188</v>
      </c>
      <c r="O33">
        <v>3</v>
      </c>
      <c r="P33" t="s">
        <v>2189</v>
      </c>
      <c r="Q33" t="s">
        <v>803</v>
      </c>
      <c r="R33" t="s">
        <v>2190</v>
      </c>
      <c r="S33" t="s">
        <v>2191</v>
      </c>
      <c r="T33" t="s">
        <v>38</v>
      </c>
      <c r="U33" t="s">
        <v>80</v>
      </c>
      <c r="V33">
        <v>47</v>
      </c>
      <c r="W33">
        <v>82</v>
      </c>
      <c r="X33">
        <v>120</v>
      </c>
      <c r="Y33">
        <v>84</v>
      </c>
      <c r="Z33">
        <v>175</v>
      </c>
      <c r="AA33">
        <v>133</v>
      </c>
      <c r="AB33" t="s">
        <v>644</v>
      </c>
      <c r="AC33" t="s">
        <v>188</v>
      </c>
      <c r="AD33" t="s">
        <v>609</v>
      </c>
      <c r="AE33" t="s">
        <v>183</v>
      </c>
      <c r="AF33">
        <v>0</v>
      </c>
    </row>
    <row r="34" spans="1:32">
      <c r="A34">
        <v>105</v>
      </c>
      <c r="B34">
        <v>1067</v>
      </c>
      <c r="C34" t="s">
        <v>2186</v>
      </c>
      <c r="D34" t="s">
        <v>169</v>
      </c>
      <c r="E34" t="s">
        <v>2165</v>
      </c>
      <c r="F34" t="s">
        <v>193</v>
      </c>
      <c r="G34" t="s">
        <v>277</v>
      </c>
      <c r="H34" t="s">
        <v>192</v>
      </c>
      <c r="I34" t="s">
        <v>243</v>
      </c>
      <c r="J34" t="s">
        <v>223</v>
      </c>
      <c r="K34" t="s">
        <v>2187</v>
      </c>
      <c r="L34" s="84">
        <v>43342</v>
      </c>
      <c r="M34" t="s">
        <v>381</v>
      </c>
      <c r="N34" t="s">
        <v>2188</v>
      </c>
      <c r="O34">
        <v>3</v>
      </c>
      <c r="P34" t="s">
        <v>2189</v>
      </c>
      <c r="Q34" t="s">
        <v>803</v>
      </c>
      <c r="R34" t="s">
        <v>2190</v>
      </c>
      <c r="S34" t="s">
        <v>2191</v>
      </c>
      <c r="T34" t="s">
        <v>36</v>
      </c>
      <c r="U34" t="s">
        <v>80</v>
      </c>
      <c r="V34">
        <v>47</v>
      </c>
      <c r="W34">
        <v>82</v>
      </c>
      <c r="X34">
        <v>120</v>
      </c>
      <c r="Y34">
        <v>84</v>
      </c>
      <c r="Z34">
        <v>175</v>
      </c>
      <c r="AA34">
        <v>133</v>
      </c>
      <c r="AB34" t="s">
        <v>644</v>
      </c>
      <c r="AC34" t="s">
        <v>188</v>
      </c>
      <c r="AD34" t="s">
        <v>609</v>
      </c>
      <c r="AE34" t="s">
        <v>183</v>
      </c>
      <c r="AF34">
        <v>0</v>
      </c>
    </row>
    <row r="35" spans="1:32">
      <c r="A35">
        <v>105</v>
      </c>
      <c r="B35">
        <v>1067</v>
      </c>
      <c r="C35" t="s">
        <v>2186</v>
      </c>
      <c r="D35" t="s">
        <v>169</v>
      </c>
      <c r="E35" t="s">
        <v>2165</v>
      </c>
      <c r="F35" t="s">
        <v>37</v>
      </c>
      <c r="G35" t="s">
        <v>278</v>
      </c>
      <c r="H35" t="s">
        <v>192</v>
      </c>
      <c r="I35" t="s">
        <v>181</v>
      </c>
      <c r="J35" t="s">
        <v>212</v>
      </c>
      <c r="K35" t="s">
        <v>2187</v>
      </c>
      <c r="L35" s="84">
        <v>43342</v>
      </c>
      <c r="M35" t="s">
        <v>381</v>
      </c>
      <c r="N35" t="s">
        <v>2188</v>
      </c>
      <c r="O35">
        <v>3</v>
      </c>
      <c r="P35" t="s">
        <v>2189</v>
      </c>
      <c r="Q35" t="s">
        <v>803</v>
      </c>
      <c r="R35" t="s">
        <v>2190</v>
      </c>
      <c r="S35" t="s">
        <v>2191</v>
      </c>
      <c r="T35" t="s">
        <v>37</v>
      </c>
      <c r="U35" t="s">
        <v>80</v>
      </c>
      <c r="V35">
        <v>47</v>
      </c>
      <c r="W35">
        <v>82</v>
      </c>
      <c r="X35">
        <v>120</v>
      </c>
      <c r="Y35">
        <v>84</v>
      </c>
      <c r="Z35">
        <v>175</v>
      </c>
      <c r="AA35">
        <v>133</v>
      </c>
      <c r="AB35" t="s">
        <v>644</v>
      </c>
      <c r="AC35" t="s">
        <v>188</v>
      </c>
      <c r="AD35" t="s">
        <v>609</v>
      </c>
      <c r="AE35" t="s">
        <v>183</v>
      </c>
      <c r="AF35">
        <v>0</v>
      </c>
    </row>
    <row r="36" spans="1:32">
      <c r="A36">
        <v>105</v>
      </c>
      <c r="B36">
        <v>1067</v>
      </c>
      <c r="C36" t="s">
        <v>2186</v>
      </c>
      <c r="D36" t="s">
        <v>169</v>
      </c>
      <c r="E36" t="s">
        <v>2165</v>
      </c>
      <c r="F36" t="s">
        <v>5</v>
      </c>
      <c r="G36" t="s">
        <v>2806</v>
      </c>
      <c r="H36" t="s">
        <v>274</v>
      </c>
      <c r="I36" t="s">
        <v>221</v>
      </c>
      <c r="J36" t="s">
        <v>220</v>
      </c>
      <c r="K36" t="s">
        <v>2187</v>
      </c>
      <c r="L36" s="84">
        <v>43342</v>
      </c>
      <c r="M36" t="s">
        <v>381</v>
      </c>
      <c r="N36" t="s">
        <v>2188</v>
      </c>
      <c r="O36">
        <v>3</v>
      </c>
      <c r="P36" t="s">
        <v>2189</v>
      </c>
      <c r="Q36" t="s">
        <v>803</v>
      </c>
      <c r="R36" t="s">
        <v>2190</v>
      </c>
      <c r="S36" t="s">
        <v>2191</v>
      </c>
      <c r="T36" t="s">
        <v>33</v>
      </c>
      <c r="U36" t="s">
        <v>80</v>
      </c>
      <c r="V36">
        <v>47</v>
      </c>
      <c r="W36">
        <v>82</v>
      </c>
      <c r="X36">
        <v>120</v>
      </c>
      <c r="Y36">
        <v>84</v>
      </c>
      <c r="Z36">
        <v>175</v>
      </c>
      <c r="AA36">
        <v>133</v>
      </c>
      <c r="AB36" t="s">
        <v>644</v>
      </c>
      <c r="AC36" t="s">
        <v>188</v>
      </c>
      <c r="AD36" t="s">
        <v>609</v>
      </c>
      <c r="AE36" t="s">
        <v>183</v>
      </c>
      <c r="AF36">
        <v>0</v>
      </c>
    </row>
    <row r="37" spans="1:32">
      <c r="A37">
        <v>106</v>
      </c>
      <c r="B37">
        <v>1227</v>
      </c>
      <c r="C37" t="s">
        <v>2192</v>
      </c>
      <c r="D37" t="s">
        <v>169</v>
      </c>
      <c r="E37" t="s">
        <v>2165</v>
      </c>
      <c r="F37" t="s">
        <v>5</v>
      </c>
      <c r="G37" t="s">
        <v>2807</v>
      </c>
      <c r="H37" t="s">
        <v>221</v>
      </c>
      <c r="I37" t="s">
        <v>329</v>
      </c>
      <c r="J37" t="s">
        <v>171</v>
      </c>
      <c r="K37" t="s">
        <v>2193</v>
      </c>
      <c r="L37" s="84">
        <v>42991</v>
      </c>
      <c r="M37" t="s">
        <v>381</v>
      </c>
      <c r="N37" t="s">
        <v>2194</v>
      </c>
      <c r="O37">
        <v>9</v>
      </c>
      <c r="P37" t="s">
        <v>2195</v>
      </c>
      <c r="Q37" t="s">
        <v>2196</v>
      </c>
      <c r="R37" t="s">
        <v>2197</v>
      </c>
      <c r="S37" t="s">
        <v>2198</v>
      </c>
      <c r="T37" t="s">
        <v>33</v>
      </c>
      <c r="U37" t="s">
        <v>85</v>
      </c>
      <c r="V37">
        <v>61</v>
      </c>
      <c r="W37">
        <v>82</v>
      </c>
      <c r="X37">
        <v>120</v>
      </c>
      <c r="Y37">
        <v>88</v>
      </c>
      <c r="Z37">
        <v>175</v>
      </c>
      <c r="AA37">
        <v>127</v>
      </c>
      <c r="AB37" t="s">
        <v>2106</v>
      </c>
      <c r="AC37" t="s">
        <v>188</v>
      </c>
      <c r="AD37" t="s">
        <v>210</v>
      </c>
      <c r="AE37" t="s">
        <v>183</v>
      </c>
      <c r="AF37">
        <v>2</v>
      </c>
    </row>
    <row r="38" spans="1:32">
      <c r="A38">
        <v>106</v>
      </c>
      <c r="B38">
        <v>1227</v>
      </c>
      <c r="C38" t="s">
        <v>2192</v>
      </c>
      <c r="D38" t="s">
        <v>169</v>
      </c>
      <c r="E38" t="s">
        <v>2165</v>
      </c>
      <c r="F38" t="s">
        <v>37</v>
      </c>
      <c r="G38" t="s">
        <v>290</v>
      </c>
      <c r="H38" t="s">
        <v>192</v>
      </c>
      <c r="I38" t="s">
        <v>173</v>
      </c>
      <c r="J38" t="s">
        <v>192</v>
      </c>
      <c r="K38" t="s">
        <v>2193</v>
      </c>
      <c r="L38" s="84">
        <v>42991</v>
      </c>
      <c r="M38" t="s">
        <v>381</v>
      </c>
      <c r="N38" t="s">
        <v>2194</v>
      </c>
      <c r="O38">
        <v>9</v>
      </c>
      <c r="P38" t="s">
        <v>2195</v>
      </c>
      <c r="Q38" t="s">
        <v>2196</v>
      </c>
      <c r="R38" t="s">
        <v>2197</v>
      </c>
      <c r="S38" t="s">
        <v>2198</v>
      </c>
      <c r="T38" t="s">
        <v>37</v>
      </c>
      <c r="U38" t="s">
        <v>85</v>
      </c>
      <c r="V38">
        <v>61</v>
      </c>
      <c r="W38">
        <v>82</v>
      </c>
      <c r="X38">
        <v>120</v>
      </c>
      <c r="Y38">
        <v>88</v>
      </c>
      <c r="Z38">
        <v>175</v>
      </c>
      <c r="AA38">
        <v>127</v>
      </c>
      <c r="AB38" t="s">
        <v>2106</v>
      </c>
      <c r="AC38" t="s">
        <v>188</v>
      </c>
      <c r="AD38" t="s">
        <v>210</v>
      </c>
      <c r="AE38" t="s">
        <v>183</v>
      </c>
      <c r="AF38">
        <v>2</v>
      </c>
    </row>
    <row r="39" spans="1:32">
      <c r="A39">
        <v>106</v>
      </c>
      <c r="B39">
        <v>1227</v>
      </c>
      <c r="C39" t="s">
        <v>2192</v>
      </c>
      <c r="D39" t="s">
        <v>169</v>
      </c>
      <c r="E39" t="s">
        <v>2165</v>
      </c>
      <c r="F39" t="s">
        <v>193</v>
      </c>
      <c r="G39" t="s">
        <v>291</v>
      </c>
      <c r="H39" t="s">
        <v>192</v>
      </c>
      <c r="I39" t="s">
        <v>243</v>
      </c>
      <c r="J39" t="s">
        <v>212</v>
      </c>
      <c r="K39" t="s">
        <v>2193</v>
      </c>
      <c r="L39" s="84">
        <v>42991</v>
      </c>
      <c r="M39" t="s">
        <v>381</v>
      </c>
      <c r="N39" t="s">
        <v>2194</v>
      </c>
      <c r="O39">
        <v>9</v>
      </c>
      <c r="P39" t="s">
        <v>2195</v>
      </c>
      <c r="Q39" t="s">
        <v>2196</v>
      </c>
      <c r="R39" t="s">
        <v>2197</v>
      </c>
      <c r="S39" t="s">
        <v>2198</v>
      </c>
      <c r="T39" t="s">
        <v>36</v>
      </c>
      <c r="U39" t="s">
        <v>85</v>
      </c>
      <c r="V39">
        <v>61</v>
      </c>
      <c r="W39">
        <v>82</v>
      </c>
      <c r="X39">
        <v>120</v>
      </c>
      <c r="Y39">
        <v>88</v>
      </c>
      <c r="Z39">
        <v>175</v>
      </c>
      <c r="AA39">
        <v>127</v>
      </c>
      <c r="AB39" t="s">
        <v>2106</v>
      </c>
      <c r="AC39" t="s">
        <v>188</v>
      </c>
      <c r="AD39" t="s">
        <v>210</v>
      </c>
      <c r="AE39" t="s">
        <v>183</v>
      </c>
      <c r="AF39">
        <v>2</v>
      </c>
    </row>
    <row r="40" spans="1:32">
      <c r="A40">
        <v>106</v>
      </c>
      <c r="B40">
        <v>1227</v>
      </c>
      <c r="C40" t="s">
        <v>2192</v>
      </c>
      <c r="D40" t="s">
        <v>169</v>
      </c>
      <c r="E40" t="s">
        <v>2165</v>
      </c>
      <c r="F40" t="s">
        <v>197</v>
      </c>
      <c r="G40" t="s">
        <v>282</v>
      </c>
      <c r="H40" t="s">
        <v>192</v>
      </c>
      <c r="I40" t="s">
        <v>212</v>
      </c>
      <c r="J40" t="s">
        <v>223</v>
      </c>
      <c r="K40" t="s">
        <v>2193</v>
      </c>
      <c r="L40" s="84">
        <v>42991</v>
      </c>
      <c r="M40" t="s">
        <v>381</v>
      </c>
      <c r="N40" t="s">
        <v>2194</v>
      </c>
      <c r="O40">
        <v>9</v>
      </c>
      <c r="P40" t="s">
        <v>2195</v>
      </c>
      <c r="Q40" t="s">
        <v>2196</v>
      </c>
      <c r="R40" t="s">
        <v>2197</v>
      </c>
      <c r="S40" t="s">
        <v>2198</v>
      </c>
      <c r="T40" t="s">
        <v>38</v>
      </c>
      <c r="U40" t="s">
        <v>85</v>
      </c>
      <c r="V40">
        <v>61</v>
      </c>
      <c r="W40">
        <v>82</v>
      </c>
      <c r="X40">
        <v>120</v>
      </c>
      <c r="Y40">
        <v>88</v>
      </c>
      <c r="Z40">
        <v>175</v>
      </c>
      <c r="AA40">
        <v>127</v>
      </c>
      <c r="AB40" t="s">
        <v>2106</v>
      </c>
      <c r="AC40" t="s">
        <v>188</v>
      </c>
      <c r="AD40" t="s">
        <v>210</v>
      </c>
      <c r="AE40" t="s">
        <v>183</v>
      </c>
      <c r="AF40">
        <v>2</v>
      </c>
    </row>
    <row r="41" spans="1:32">
      <c r="A41">
        <v>106</v>
      </c>
      <c r="B41">
        <v>1227</v>
      </c>
      <c r="C41" t="s">
        <v>2192</v>
      </c>
      <c r="D41" t="s">
        <v>169</v>
      </c>
      <c r="E41" t="s">
        <v>2165</v>
      </c>
      <c r="F41" t="s">
        <v>6</v>
      </c>
      <c r="G41" t="s">
        <v>292</v>
      </c>
      <c r="H41" t="s">
        <v>436</v>
      </c>
      <c r="I41" t="s">
        <v>324</v>
      </c>
      <c r="J41" t="s">
        <v>181</v>
      </c>
      <c r="K41" t="s">
        <v>2193</v>
      </c>
      <c r="L41" s="84">
        <v>42991</v>
      </c>
      <c r="M41" t="s">
        <v>381</v>
      </c>
      <c r="N41" t="s">
        <v>2194</v>
      </c>
      <c r="O41">
        <v>9</v>
      </c>
      <c r="P41" t="s">
        <v>2195</v>
      </c>
      <c r="Q41" t="s">
        <v>2196</v>
      </c>
      <c r="R41" t="s">
        <v>2197</v>
      </c>
      <c r="S41" t="s">
        <v>2198</v>
      </c>
      <c r="T41" t="s">
        <v>34</v>
      </c>
      <c r="U41" t="s">
        <v>85</v>
      </c>
      <c r="V41">
        <v>61</v>
      </c>
      <c r="W41">
        <v>82</v>
      </c>
      <c r="X41">
        <v>120</v>
      </c>
      <c r="Y41">
        <v>88</v>
      </c>
      <c r="Z41">
        <v>175</v>
      </c>
      <c r="AA41">
        <v>127</v>
      </c>
      <c r="AB41" t="s">
        <v>2106</v>
      </c>
      <c r="AC41" t="s">
        <v>188</v>
      </c>
      <c r="AD41" t="s">
        <v>210</v>
      </c>
      <c r="AE41" t="s">
        <v>183</v>
      </c>
      <c r="AF41">
        <v>2</v>
      </c>
    </row>
    <row r="42" spans="1:32">
      <c r="A42">
        <v>106</v>
      </c>
      <c r="B42">
        <v>1227</v>
      </c>
      <c r="C42" t="s">
        <v>2192</v>
      </c>
      <c r="D42" t="s">
        <v>169</v>
      </c>
      <c r="E42" t="s">
        <v>2165</v>
      </c>
      <c r="F42" t="s">
        <v>7</v>
      </c>
      <c r="G42" t="s">
        <v>294</v>
      </c>
      <c r="H42" t="s">
        <v>256</v>
      </c>
      <c r="I42" t="s">
        <v>376</v>
      </c>
      <c r="J42" t="s">
        <v>274</v>
      </c>
      <c r="K42" t="s">
        <v>2193</v>
      </c>
      <c r="L42" s="84">
        <v>42991</v>
      </c>
      <c r="M42" t="s">
        <v>381</v>
      </c>
      <c r="N42" t="s">
        <v>2194</v>
      </c>
      <c r="O42">
        <v>9</v>
      </c>
      <c r="P42" t="s">
        <v>2195</v>
      </c>
      <c r="Q42" t="s">
        <v>2196</v>
      </c>
      <c r="R42" t="s">
        <v>2197</v>
      </c>
      <c r="S42" t="s">
        <v>2198</v>
      </c>
      <c r="T42" t="s">
        <v>32</v>
      </c>
      <c r="U42" t="s">
        <v>85</v>
      </c>
      <c r="V42">
        <v>61</v>
      </c>
      <c r="W42">
        <v>82</v>
      </c>
      <c r="X42">
        <v>120</v>
      </c>
      <c r="Y42">
        <v>88</v>
      </c>
      <c r="Z42">
        <v>175</v>
      </c>
      <c r="AA42">
        <v>127</v>
      </c>
      <c r="AB42" t="s">
        <v>2106</v>
      </c>
      <c r="AC42" t="s">
        <v>188</v>
      </c>
      <c r="AD42" t="s">
        <v>210</v>
      </c>
      <c r="AE42" t="s">
        <v>183</v>
      </c>
      <c r="AF42">
        <v>2</v>
      </c>
    </row>
    <row r="43" spans="1:32">
      <c r="A43">
        <v>106</v>
      </c>
      <c r="B43">
        <v>1227</v>
      </c>
      <c r="C43" t="s">
        <v>2192</v>
      </c>
      <c r="D43" t="s">
        <v>169</v>
      </c>
      <c r="E43" t="s">
        <v>2165</v>
      </c>
      <c r="F43" t="s">
        <v>8</v>
      </c>
      <c r="G43" t="s">
        <v>293</v>
      </c>
      <c r="H43" t="s">
        <v>403</v>
      </c>
      <c r="I43" t="s">
        <v>403</v>
      </c>
      <c r="J43" t="s">
        <v>376</v>
      </c>
      <c r="K43" t="s">
        <v>2193</v>
      </c>
      <c r="L43" s="84">
        <v>42991</v>
      </c>
      <c r="M43" t="s">
        <v>381</v>
      </c>
      <c r="N43" t="s">
        <v>2194</v>
      </c>
      <c r="O43">
        <v>9</v>
      </c>
      <c r="P43" t="s">
        <v>2195</v>
      </c>
      <c r="Q43" t="s">
        <v>2196</v>
      </c>
      <c r="R43" t="s">
        <v>2197</v>
      </c>
      <c r="S43" t="s">
        <v>2198</v>
      </c>
      <c r="T43" t="s">
        <v>31</v>
      </c>
      <c r="U43" t="s">
        <v>85</v>
      </c>
      <c r="V43">
        <v>61</v>
      </c>
      <c r="W43">
        <v>82</v>
      </c>
      <c r="X43">
        <v>120</v>
      </c>
      <c r="Y43">
        <v>88</v>
      </c>
      <c r="Z43">
        <v>175</v>
      </c>
      <c r="AA43">
        <v>127</v>
      </c>
      <c r="AB43" t="s">
        <v>2106</v>
      </c>
      <c r="AC43" t="s">
        <v>188</v>
      </c>
      <c r="AD43" t="s">
        <v>210</v>
      </c>
      <c r="AE43" t="s">
        <v>183</v>
      </c>
      <c r="AF43">
        <v>2</v>
      </c>
    </row>
    <row r="44" spans="1:32">
      <c r="A44">
        <v>107</v>
      </c>
      <c r="B44">
        <v>1155</v>
      </c>
      <c r="C44" t="s">
        <v>2199</v>
      </c>
      <c r="D44" t="s">
        <v>169</v>
      </c>
      <c r="E44" t="s">
        <v>2165</v>
      </c>
      <c r="F44" t="s">
        <v>8</v>
      </c>
      <c r="G44" t="s">
        <v>304</v>
      </c>
      <c r="H44" t="s">
        <v>172</v>
      </c>
      <c r="I44" t="s">
        <v>403</v>
      </c>
      <c r="J44" t="s">
        <v>243</v>
      </c>
      <c r="K44" t="s">
        <v>2200</v>
      </c>
      <c r="L44" s="84">
        <v>43537</v>
      </c>
      <c r="M44" t="s">
        <v>381</v>
      </c>
      <c r="N44" t="s">
        <v>2201</v>
      </c>
      <c r="O44">
        <v>3</v>
      </c>
      <c r="P44" t="s">
        <v>2202</v>
      </c>
      <c r="Q44" t="s">
        <v>2203</v>
      </c>
      <c r="R44" t="s">
        <v>2204</v>
      </c>
      <c r="S44" t="s">
        <v>2205</v>
      </c>
      <c r="T44" t="s">
        <v>31</v>
      </c>
      <c r="U44" t="s">
        <v>80</v>
      </c>
      <c r="V44">
        <v>47</v>
      </c>
      <c r="W44">
        <v>82</v>
      </c>
      <c r="X44">
        <v>120</v>
      </c>
      <c r="Y44">
        <v>78</v>
      </c>
      <c r="Z44">
        <v>175</v>
      </c>
      <c r="AA44">
        <v>116</v>
      </c>
      <c r="AB44" t="s">
        <v>670</v>
      </c>
      <c r="AC44" t="s">
        <v>181</v>
      </c>
      <c r="AD44" t="s">
        <v>210</v>
      </c>
      <c r="AE44" t="s">
        <v>183</v>
      </c>
      <c r="AF44">
        <v>2</v>
      </c>
    </row>
    <row r="45" spans="1:32">
      <c r="A45">
        <v>107</v>
      </c>
      <c r="B45">
        <v>1155</v>
      </c>
      <c r="C45" t="s">
        <v>2199</v>
      </c>
      <c r="D45" t="s">
        <v>169</v>
      </c>
      <c r="E45" t="s">
        <v>2165</v>
      </c>
      <c r="F45" t="s">
        <v>7</v>
      </c>
      <c r="G45" t="s">
        <v>296</v>
      </c>
      <c r="H45" t="s">
        <v>173</v>
      </c>
      <c r="I45" t="s">
        <v>329</v>
      </c>
      <c r="J45" t="s">
        <v>223</v>
      </c>
      <c r="K45" t="s">
        <v>2200</v>
      </c>
      <c r="L45" s="84">
        <v>43537</v>
      </c>
      <c r="M45" t="s">
        <v>381</v>
      </c>
      <c r="N45" t="s">
        <v>2201</v>
      </c>
      <c r="O45">
        <v>3</v>
      </c>
      <c r="P45" t="s">
        <v>2202</v>
      </c>
      <c r="Q45" t="s">
        <v>2203</v>
      </c>
      <c r="R45" t="s">
        <v>2204</v>
      </c>
      <c r="S45" t="s">
        <v>2205</v>
      </c>
      <c r="T45" t="s">
        <v>32</v>
      </c>
      <c r="U45" t="s">
        <v>80</v>
      </c>
      <c r="V45">
        <v>47</v>
      </c>
      <c r="W45">
        <v>82</v>
      </c>
      <c r="X45">
        <v>120</v>
      </c>
      <c r="Y45">
        <v>78</v>
      </c>
      <c r="Z45">
        <v>175</v>
      </c>
      <c r="AA45">
        <v>116</v>
      </c>
      <c r="AB45" t="s">
        <v>670</v>
      </c>
      <c r="AC45" t="s">
        <v>181</v>
      </c>
      <c r="AD45" t="s">
        <v>210</v>
      </c>
      <c r="AE45" t="s">
        <v>183</v>
      </c>
      <c r="AF45">
        <v>2</v>
      </c>
    </row>
    <row r="46" spans="1:32">
      <c r="A46">
        <v>107</v>
      </c>
      <c r="B46">
        <v>1155</v>
      </c>
      <c r="C46" t="s">
        <v>2199</v>
      </c>
      <c r="D46" t="s">
        <v>169</v>
      </c>
      <c r="E46" t="s">
        <v>2165</v>
      </c>
      <c r="F46" t="s">
        <v>6</v>
      </c>
      <c r="G46" t="s">
        <v>306</v>
      </c>
      <c r="H46" t="s">
        <v>243</v>
      </c>
      <c r="I46" t="s">
        <v>407</v>
      </c>
      <c r="J46" t="s">
        <v>436</v>
      </c>
      <c r="K46" t="s">
        <v>2200</v>
      </c>
      <c r="L46" s="84">
        <v>43537</v>
      </c>
      <c r="M46" t="s">
        <v>381</v>
      </c>
      <c r="N46" t="s">
        <v>2201</v>
      </c>
      <c r="O46">
        <v>3</v>
      </c>
      <c r="P46" t="s">
        <v>2202</v>
      </c>
      <c r="Q46" t="s">
        <v>2203</v>
      </c>
      <c r="R46" t="s">
        <v>2204</v>
      </c>
      <c r="S46" t="s">
        <v>2205</v>
      </c>
      <c r="T46" t="s">
        <v>34</v>
      </c>
      <c r="U46" t="s">
        <v>80</v>
      </c>
      <c r="V46">
        <v>47</v>
      </c>
      <c r="W46">
        <v>82</v>
      </c>
      <c r="X46">
        <v>120</v>
      </c>
      <c r="Y46">
        <v>78</v>
      </c>
      <c r="Z46">
        <v>175</v>
      </c>
      <c r="AA46">
        <v>116</v>
      </c>
      <c r="AB46" t="s">
        <v>670</v>
      </c>
      <c r="AC46" t="s">
        <v>181</v>
      </c>
      <c r="AD46" t="s">
        <v>210</v>
      </c>
      <c r="AE46" t="s">
        <v>183</v>
      </c>
      <c r="AF46">
        <v>2</v>
      </c>
    </row>
    <row r="47" spans="1:32">
      <c r="A47">
        <v>107</v>
      </c>
      <c r="B47">
        <v>1155</v>
      </c>
      <c r="C47" t="s">
        <v>2199</v>
      </c>
      <c r="D47" t="s">
        <v>169</v>
      </c>
      <c r="E47" t="s">
        <v>2165</v>
      </c>
      <c r="F47" t="s">
        <v>197</v>
      </c>
      <c r="G47" t="s">
        <v>309</v>
      </c>
      <c r="H47" t="s">
        <v>192</v>
      </c>
      <c r="I47" t="s">
        <v>212</v>
      </c>
      <c r="J47" t="s">
        <v>223</v>
      </c>
      <c r="K47" t="s">
        <v>2200</v>
      </c>
      <c r="L47" s="84">
        <v>43537</v>
      </c>
      <c r="M47" t="s">
        <v>381</v>
      </c>
      <c r="N47" t="s">
        <v>2201</v>
      </c>
      <c r="O47">
        <v>3</v>
      </c>
      <c r="P47" t="s">
        <v>2202</v>
      </c>
      <c r="Q47" t="s">
        <v>2203</v>
      </c>
      <c r="R47" t="s">
        <v>2204</v>
      </c>
      <c r="S47" t="s">
        <v>2205</v>
      </c>
      <c r="T47" t="s">
        <v>38</v>
      </c>
      <c r="U47" t="s">
        <v>80</v>
      </c>
      <c r="V47">
        <v>47</v>
      </c>
      <c r="W47">
        <v>82</v>
      </c>
      <c r="X47">
        <v>120</v>
      </c>
      <c r="Y47">
        <v>78</v>
      </c>
      <c r="Z47">
        <v>175</v>
      </c>
      <c r="AA47">
        <v>116</v>
      </c>
      <c r="AB47" t="s">
        <v>670</v>
      </c>
      <c r="AC47" t="s">
        <v>181</v>
      </c>
      <c r="AD47" t="s">
        <v>210</v>
      </c>
      <c r="AE47" t="s">
        <v>183</v>
      </c>
      <c r="AF47">
        <v>2</v>
      </c>
    </row>
    <row r="48" spans="1:32">
      <c r="A48">
        <v>107</v>
      </c>
      <c r="B48">
        <v>1155</v>
      </c>
      <c r="C48" t="s">
        <v>2199</v>
      </c>
      <c r="D48" t="s">
        <v>169</v>
      </c>
      <c r="E48" t="s">
        <v>2165</v>
      </c>
      <c r="F48" t="s">
        <v>193</v>
      </c>
      <c r="G48" t="s">
        <v>307</v>
      </c>
      <c r="H48" t="s">
        <v>192</v>
      </c>
      <c r="I48" t="s">
        <v>243</v>
      </c>
      <c r="J48" t="s">
        <v>192</v>
      </c>
      <c r="K48" t="s">
        <v>2200</v>
      </c>
      <c r="L48" s="84">
        <v>43537</v>
      </c>
      <c r="M48" t="s">
        <v>381</v>
      </c>
      <c r="N48" t="s">
        <v>2201</v>
      </c>
      <c r="O48">
        <v>3</v>
      </c>
      <c r="P48" t="s">
        <v>2202</v>
      </c>
      <c r="Q48" t="s">
        <v>2203</v>
      </c>
      <c r="R48" t="s">
        <v>2204</v>
      </c>
      <c r="S48" t="s">
        <v>2205</v>
      </c>
      <c r="T48" t="s">
        <v>36</v>
      </c>
      <c r="U48" t="s">
        <v>80</v>
      </c>
      <c r="V48">
        <v>47</v>
      </c>
      <c r="W48">
        <v>82</v>
      </c>
      <c r="X48">
        <v>120</v>
      </c>
      <c r="Y48">
        <v>78</v>
      </c>
      <c r="Z48">
        <v>175</v>
      </c>
      <c r="AA48">
        <v>116</v>
      </c>
      <c r="AB48" t="s">
        <v>670</v>
      </c>
      <c r="AC48" t="s">
        <v>181</v>
      </c>
      <c r="AD48" t="s">
        <v>210</v>
      </c>
      <c r="AE48" t="s">
        <v>183</v>
      </c>
      <c r="AF48">
        <v>2</v>
      </c>
    </row>
    <row r="49" spans="1:32">
      <c r="A49">
        <v>107</v>
      </c>
      <c r="B49">
        <v>1155</v>
      </c>
      <c r="C49" t="s">
        <v>2199</v>
      </c>
      <c r="D49" t="s">
        <v>169</v>
      </c>
      <c r="E49" t="s">
        <v>2165</v>
      </c>
      <c r="F49" t="s">
        <v>37</v>
      </c>
      <c r="G49" t="s">
        <v>308</v>
      </c>
      <c r="H49" t="s">
        <v>192</v>
      </c>
      <c r="I49" t="s">
        <v>196</v>
      </c>
      <c r="J49" t="s">
        <v>212</v>
      </c>
      <c r="K49" t="s">
        <v>2200</v>
      </c>
      <c r="L49" s="84">
        <v>43537</v>
      </c>
      <c r="M49" t="s">
        <v>381</v>
      </c>
      <c r="N49" t="s">
        <v>2201</v>
      </c>
      <c r="O49">
        <v>3</v>
      </c>
      <c r="P49" t="s">
        <v>2202</v>
      </c>
      <c r="Q49" t="s">
        <v>2203</v>
      </c>
      <c r="R49" t="s">
        <v>2204</v>
      </c>
      <c r="S49" t="s">
        <v>2205</v>
      </c>
      <c r="T49" t="s">
        <v>37</v>
      </c>
      <c r="U49" t="s">
        <v>80</v>
      </c>
      <c r="V49">
        <v>47</v>
      </c>
      <c r="W49">
        <v>82</v>
      </c>
      <c r="X49">
        <v>120</v>
      </c>
      <c r="Y49">
        <v>78</v>
      </c>
      <c r="Z49">
        <v>175</v>
      </c>
      <c r="AA49">
        <v>116</v>
      </c>
      <c r="AB49" t="s">
        <v>670</v>
      </c>
      <c r="AC49" t="s">
        <v>181</v>
      </c>
      <c r="AD49" t="s">
        <v>210</v>
      </c>
      <c r="AE49" t="s">
        <v>183</v>
      </c>
      <c r="AF49">
        <v>2</v>
      </c>
    </row>
    <row r="50" spans="1:32">
      <c r="A50">
        <v>107</v>
      </c>
      <c r="B50">
        <v>1155</v>
      </c>
      <c r="C50" t="s">
        <v>2199</v>
      </c>
      <c r="D50" t="s">
        <v>169</v>
      </c>
      <c r="E50" t="s">
        <v>2165</v>
      </c>
      <c r="F50" t="s">
        <v>5</v>
      </c>
      <c r="G50" t="s">
        <v>2808</v>
      </c>
      <c r="H50" t="s">
        <v>227</v>
      </c>
      <c r="I50" t="s">
        <v>324</v>
      </c>
      <c r="J50" t="s">
        <v>223</v>
      </c>
      <c r="K50" t="s">
        <v>2200</v>
      </c>
      <c r="L50" s="84">
        <v>43537</v>
      </c>
      <c r="M50" t="s">
        <v>381</v>
      </c>
      <c r="N50" t="s">
        <v>2201</v>
      </c>
      <c r="O50">
        <v>3</v>
      </c>
      <c r="P50" t="s">
        <v>2202</v>
      </c>
      <c r="Q50" t="s">
        <v>2203</v>
      </c>
      <c r="R50" t="s">
        <v>2204</v>
      </c>
      <c r="S50" t="s">
        <v>2205</v>
      </c>
      <c r="T50" t="s">
        <v>33</v>
      </c>
      <c r="U50" t="s">
        <v>80</v>
      </c>
      <c r="V50">
        <v>47</v>
      </c>
      <c r="W50">
        <v>82</v>
      </c>
      <c r="X50">
        <v>120</v>
      </c>
      <c r="Y50">
        <v>78</v>
      </c>
      <c r="Z50">
        <v>175</v>
      </c>
      <c r="AA50">
        <v>116</v>
      </c>
      <c r="AB50" t="s">
        <v>670</v>
      </c>
      <c r="AC50" t="s">
        <v>181</v>
      </c>
      <c r="AD50" t="s">
        <v>210</v>
      </c>
      <c r="AE50" t="s">
        <v>183</v>
      </c>
      <c r="AF50">
        <v>2</v>
      </c>
    </row>
    <row r="51" spans="1:32">
      <c r="A51">
        <v>108</v>
      </c>
      <c r="B51">
        <v>1002</v>
      </c>
      <c r="C51" t="s">
        <v>2206</v>
      </c>
      <c r="D51" t="s">
        <v>169</v>
      </c>
      <c r="E51" t="s">
        <v>2165</v>
      </c>
      <c r="F51" t="s">
        <v>5</v>
      </c>
      <c r="G51" t="s">
        <v>2809</v>
      </c>
      <c r="H51" t="s">
        <v>256</v>
      </c>
      <c r="I51" t="s">
        <v>216</v>
      </c>
      <c r="J51" t="s">
        <v>260</v>
      </c>
      <c r="K51" t="s">
        <v>2207</v>
      </c>
      <c r="L51" s="84">
        <v>42473</v>
      </c>
      <c r="M51" t="s">
        <v>381</v>
      </c>
      <c r="N51" t="s">
        <v>604</v>
      </c>
      <c r="O51">
        <v>3</v>
      </c>
      <c r="P51" t="s">
        <v>2208</v>
      </c>
      <c r="Q51" t="s">
        <v>2898</v>
      </c>
      <c r="R51" t="s">
        <v>2209</v>
      </c>
      <c r="S51" t="s">
        <v>2210</v>
      </c>
      <c r="T51" t="s">
        <v>33</v>
      </c>
      <c r="U51" t="s">
        <v>80</v>
      </c>
      <c r="V51">
        <v>48</v>
      </c>
      <c r="W51">
        <v>82</v>
      </c>
      <c r="X51">
        <v>120</v>
      </c>
      <c r="Y51">
        <v>80</v>
      </c>
      <c r="Z51">
        <v>175</v>
      </c>
      <c r="AA51">
        <v>119</v>
      </c>
      <c r="AB51" t="s">
        <v>1069</v>
      </c>
      <c r="AC51" t="s">
        <v>212</v>
      </c>
      <c r="AD51" t="s">
        <v>210</v>
      </c>
      <c r="AE51" t="s">
        <v>183</v>
      </c>
      <c r="AF51">
        <v>2</v>
      </c>
    </row>
    <row r="52" spans="1:32">
      <c r="A52">
        <v>108</v>
      </c>
      <c r="B52">
        <v>1002</v>
      </c>
      <c r="C52" t="s">
        <v>2206</v>
      </c>
      <c r="D52" t="s">
        <v>169</v>
      </c>
      <c r="E52" t="s">
        <v>2165</v>
      </c>
      <c r="F52" t="s">
        <v>37</v>
      </c>
      <c r="G52" t="s">
        <v>318</v>
      </c>
      <c r="H52" t="s">
        <v>192</v>
      </c>
      <c r="I52" t="s">
        <v>181</v>
      </c>
      <c r="J52" t="s">
        <v>223</v>
      </c>
      <c r="K52" t="s">
        <v>2207</v>
      </c>
      <c r="L52" s="84">
        <v>42473</v>
      </c>
      <c r="M52" t="s">
        <v>381</v>
      </c>
      <c r="N52" t="s">
        <v>604</v>
      </c>
      <c r="O52">
        <v>3</v>
      </c>
      <c r="P52" t="s">
        <v>2208</v>
      </c>
      <c r="Q52" t="s">
        <v>2898</v>
      </c>
      <c r="R52" t="s">
        <v>2209</v>
      </c>
      <c r="S52" t="s">
        <v>2210</v>
      </c>
      <c r="T52" t="s">
        <v>37</v>
      </c>
      <c r="U52" t="s">
        <v>80</v>
      </c>
      <c r="V52">
        <v>48</v>
      </c>
      <c r="W52">
        <v>82</v>
      </c>
      <c r="X52">
        <v>120</v>
      </c>
      <c r="Y52">
        <v>80</v>
      </c>
      <c r="Z52">
        <v>175</v>
      </c>
      <c r="AA52">
        <v>119</v>
      </c>
      <c r="AB52" t="s">
        <v>1069</v>
      </c>
      <c r="AC52" t="s">
        <v>212</v>
      </c>
      <c r="AD52" t="s">
        <v>210</v>
      </c>
      <c r="AE52" t="s">
        <v>183</v>
      </c>
      <c r="AF52">
        <v>2</v>
      </c>
    </row>
    <row r="53" spans="1:32">
      <c r="A53">
        <v>108</v>
      </c>
      <c r="B53">
        <v>1002</v>
      </c>
      <c r="C53" t="s">
        <v>2206</v>
      </c>
      <c r="D53" t="s">
        <v>169</v>
      </c>
      <c r="E53" t="s">
        <v>2165</v>
      </c>
      <c r="F53" t="s">
        <v>193</v>
      </c>
      <c r="G53" t="s">
        <v>319</v>
      </c>
      <c r="H53" t="s">
        <v>192</v>
      </c>
      <c r="I53" t="s">
        <v>243</v>
      </c>
      <c r="J53" t="s">
        <v>212</v>
      </c>
      <c r="K53" t="s">
        <v>2207</v>
      </c>
      <c r="L53" s="84">
        <v>42473</v>
      </c>
      <c r="M53" t="s">
        <v>381</v>
      </c>
      <c r="N53" t="s">
        <v>604</v>
      </c>
      <c r="O53">
        <v>3</v>
      </c>
      <c r="P53" t="s">
        <v>2208</v>
      </c>
      <c r="Q53" t="s">
        <v>2898</v>
      </c>
      <c r="R53" t="s">
        <v>2209</v>
      </c>
      <c r="S53" t="s">
        <v>2210</v>
      </c>
      <c r="T53" t="s">
        <v>36</v>
      </c>
      <c r="U53" t="s">
        <v>80</v>
      </c>
      <c r="V53">
        <v>48</v>
      </c>
      <c r="W53">
        <v>82</v>
      </c>
      <c r="X53">
        <v>120</v>
      </c>
      <c r="Y53">
        <v>80</v>
      </c>
      <c r="Z53">
        <v>175</v>
      </c>
      <c r="AA53">
        <v>119</v>
      </c>
      <c r="AB53" t="s">
        <v>1069</v>
      </c>
      <c r="AC53" t="s">
        <v>212</v>
      </c>
      <c r="AD53" t="s">
        <v>210</v>
      </c>
      <c r="AE53" t="s">
        <v>183</v>
      </c>
      <c r="AF53">
        <v>2</v>
      </c>
    </row>
    <row r="54" spans="1:32">
      <c r="A54">
        <v>108</v>
      </c>
      <c r="B54">
        <v>1002</v>
      </c>
      <c r="C54" t="s">
        <v>2206</v>
      </c>
      <c r="D54" t="s">
        <v>169</v>
      </c>
      <c r="E54" t="s">
        <v>2165</v>
      </c>
      <c r="F54" t="s">
        <v>197</v>
      </c>
      <c r="G54" t="s">
        <v>311</v>
      </c>
      <c r="H54" t="s">
        <v>192</v>
      </c>
      <c r="I54" t="s">
        <v>188</v>
      </c>
      <c r="J54" t="s">
        <v>223</v>
      </c>
      <c r="K54" t="s">
        <v>2207</v>
      </c>
      <c r="L54" s="84">
        <v>42473</v>
      </c>
      <c r="M54" t="s">
        <v>381</v>
      </c>
      <c r="N54" t="s">
        <v>604</v>
      </c>
      <c r="O54">
        <v>3</v>
      </c>
      <c r="P54" t="s">
        <v>2208</v>
      </c>
      <c r="Q54" t="s">
        <v>2898</v>
      </c>
      <c r="R54" t="s">
        <v>2209</v>
      </c>
      <c r="S54" t="s">
        <v>2210</v>
      </c>
      <c r="T54" t="s">
        <v>38</v>
      </c>
      <c r="U54" t="s">
        <v>80</v>
      </c>
      <c r="V54">
        <v>48</v>
      </c>
      <c r="W54">
        <v>82</v>
      </c>
      <c r="X54">
        <v>120</v>
      </c>
      <c r="Y54">
        <v>80</v>
      </c>
      <c r="Z54">
        <v>175</v>
      </c>
      <c r="AA54">
        <v>119</v>
      </c>
      <c r="AB54" t="s">
        <v>1069</v>
      </c>
      <c r="AC54" t="s">
        <v>212</v>
      </c>
      <c r="AD54" t="s">
        <v>210</v>
      </c>
      <c r="AE54" t="s">
        <v>183</v>
      </c>
      <c r="AF54">
        <v>2</v>
      </c>
    </row>
    <row r="55" spans="1:32">
      <c r="A55">
        <v>108</v>
      </c>
      <c r="B55">
        <v>1002</v>
      </c>
      <c r="C55" t="s">
        <v>2206</v>
      </c>
      <c r="D55" t="s">
        <v>169</v>
      </c>
      <c r="E55" t="s">
        <v>2165</v>
      </c>
      <c r="F55" t="s">
        <v>6</v>
      </c>
      <c r="G55" t="s">
        <v>320</v>
      </c>
      <c r="H55" t="s">
        <v>173</v>
      </c>
      <c r="I55" t="s">
        <v>212</v>
      </c>
      <c r="J55" t="s">
        <v>212</v>
      </c>
      <c r="K55" t="s">
        <v>2207</v>
      </c>
      <c r="L55" s="84">
        <v>42473</v>
      </c>
      <c r="M55" t="s">
        <v>381</v>
      </c>
      <c r="N55" t="s">
        <v>604</v>
      </c>
      <c r="O55">
        <v>3</v>
      </c>
      <c r="P55" t="s">
        <v>2208</v>
      </c>
      <c r="Q55" t="s">
        <v>2898</v>
      </c>
      <c r="R55" t="s">
        <v>2209</v>
      </c>
      <c r="S55" t="s">
        <v>2210</v>
      </c>
      <c r="T55" t="s">
        <v>34</v>
      </c>
      <c r="U55" t="s">
        <v>80</v>
      </c>
      <c r="V55">
        <v>48</v>
      </c>
      <c r="W55">
        <v>82</v>
      </c>
      <c r="X55">
        <v>120</v>
      </c>
      <c r="Y55">
        <v>80</v>
      </c>
      <c r="Z55">
        <v>175</v>
      </c>
      <c r="AA55">
        <v>119</v>
      </c>
      <c r="AB55" t="s">
        <v>1069</v>
      </c>
      <c r="AC55" t="s">
        <v>212</v>
      </c>
      <c r="AD55" t="s">
        <v>210</v>
      </c>
      <c r="AE55" t="s">
        <v>183</v>
      </c>
      <c r="AF55">
        <v>2</v>
      </c>
    </row>
    <row r="56" spans="1:32">
      <c r="A56">
        <v>108</v>
      </c>
      <c r="B56">
        <v>1002</v>
      </c>
      <c r="C56" t="s">
        <v>2206</v>
      </c>
      <c r="D56" t="s">
        <v>169</v>
      </c>
      <c r="E56" t="s">
        <v>2165</v>
      </c>
      <c r="F56" t="s">
        <v>7</v>
      </c>
      <c r="G56" t="s">
        <v>322</v>
      </c>
      <c r="H56" t="s">
        <v>324</v>
      </c>
      <c r="I56" t="s">
        <v>403</v>
      </c>
      <c r="J56" t="s">
        <v>376</v>
      </c>
      <c r="K56" t="s">
        <v>2207</v>
      </c>
      <c r="L56" s="84">
        <v>42473</v>
      </c>
      <c r="M56" t="s">
        <v>381</v>
      </c>
      <c r="N56" t="s">
        <v>604</v>
      </c>
      <c r="O56">
        <v>3</v>
      </c>
      <c r="P56" t="s">
        <v>2208</v>
      </c>
      <c r="Q56" t="s">
        <v>2898</v>
      </c>
      <c r="R56" t="s">
        <v>2209</v>
      </c>
      <c r="S56" t="s">
        <v>2210</v>
      </c>
      <c r="T56" t="s">
        <v>32</v>
      </c>
      <c r="U56" t="s">
        <v>80</v>
      </c>
      <c r="V56">
        <v>48</v>
      </c>
      <c r="W56">
        <v>82</v>
      </c>
      <c r="X56">
        <v>120</v>
      </c>
      <c r="Y56">
        <v>80</v>
      </c>
      <c r="Z56">
        <v>175</v>
      </c>
      <c r="AA56">
        <v>119</v>
      </c>
      <c r="AB56" t="s">
        <v>1069</v>
      </c>
      <c r="AC56" t="s">
        <v>212</v>
      </c>
      <c r="AD56" t="s">
        <v>210</v>
      </c>
      <c r="AE56" t="s">
        <v>183</v>
      </c>
      <c r="AF56">
        <v>2</v>
      </c>
    </row>
    <row r="57" spans="1:32">
      <c r="A57">
        <v>108</v>
      </c>
      <c r="B57">
        <v>1002</v>
      </c>
      <c r="C57" t="s">
        <v>2206</v>
      </c>
      <c r="D57" t="s">
        <v>169</v>
      </c>
      <c r="E57" t="s">
        <v>2165</v>
      </c>
      <c r="F57" t="s">
        <v>8</v>
      </c>
      <c r="G57" t="s">
        <v>321</v>
      </c>
      <c r="H57" t="s">
        <v>186</v>
      </c>
      <c r="I57" t="s">
        <v>181</v>
      </c>
      <c r="J57" t="s">
        <v>324</v>
      </c>
      <c r="K57" t="s">
        <v>2207</v>
      </c>
      <c r="L57" s="84">
        <v>42473</v>
      </c>
      <c r="M57" t="s">
        <v>381</v>
      </c>
      <c r="N57" t="s">
        <v>604</v>
      </c>
      <c r="O57">
        <v>3</v>
      </c>
      <c r="P57" t="s">
        <v>2208</v>
      </c>
      <c r="Q57" t="s">
        <v>2898</v>
      </c>
      <c r="R57" t="s">
        <v>2209</v>
      </c>
      <c r="S57" t="s">
        <v>2210</v>
      </c>
      <c r="T57" t="s">
        <v>31</v>
      </c>
      <c r="U57" t="s">
        <v>80</v>
      </c>
      <c r="V57">
        <v>48</v>
      </c>
      <c r="W57">
        <v>82</v>
      </c>
      <c r="X57">
        <v>120</v>
      </c>
      <c r="Y57">
        <v>80</v>
      </c>
      <c r="Z57">
        <v>175</v>
      </c>
      <c r="AA57">
        <v>119</v>
      </c>
      <c r="AB57" t="s">
        <v>1069</v>
      </c>
      <c r="AC57" t="s">
        <v>212</v>
      </c>
      <c r="AD57" t="s">
        <v>210</v>
      </c>
      <c r="AE57" t="s">
        <v>183</v>
      </c>
      <c r="AF57">
        <v>2</v>
      </c>
    </row>
    <row r="58" spans="1:32">
      <c r="A58">
        <v>109</v>
      </c>
      <c r="B58">
        <v>930</v>
      </c>
      <c r="C58" t="s">
        <v>2211</v>
      </c>
      <c r="D58" t="s">
        <v>169</v>
      </c>
      <c r="E58" t="s">
        <v>2165</v>
      </c>
      <c r="F58" t="s">
        <v>8</v>
      </c>
      <c r="G58" t="s">
        <v>328</v>
      </c>
      <c r="H58" t="s">
        <v>2045</v>
      </c>
      <c r="I58" t="s">
        <v>191</v>
      </c>
      <c r="J58" t="s">
        <v>192</v>
      </c>
      <c r="K58" t="s">
        <v>2212</v>
      </c>
      <c r="L58" s="84">
        <v>43065</v>
      </c>
      <c r="M58" t="s">
        <v>381</v>
      </c>
      <c r="N58" t="s">
        <v>2213</v>
      </c>
      <c r="O58">
        <v>9</v>
      </c>
      <c r="P58" t="s">
        <v>1327</v>
      </c>
      <c r="Q58" t="s">
        <v>1328</v>
      </c>
      <c r="R58" t="s">
        <v>2214</v>
      </c>
      <c r="S58" t="s">
        <v>2215</v>
      </c>
      <c r="T58" t="s">
        <v>31</v>
      </c>
      <c r="U58" t="s">
        <v>85</v>
      </c>
      <c r="V58">
        <v>58</v>
      </c>
      <c r="W58">
        <v>82</v>
      </c>
      <c r="X58">
        <v>120</v>
      </c>
      <c r="Y58">
        <v>95</v>
      </c>
      <c r="Z58">
        <v>175</v>
      </c>
      <c r="AA58">
        <v>146</v>
      </c>
      <c r="AB58" t="s">
        <v>413</v>
      </c>
      <c r="AC58" t="s">
        <v>188</v>
      </c>
      <c r="AD58" t="s">
        <v>609</v>
      </c>
      <c r="AE58" t="s">
        <v>2046</v>
      </c>
      <c r="AF58">
        <v>1</v>
      </c>
    </row>
    <row r="59" spans="1:32">
      <c r="A59">
        <v>109</v>
      </c>
      <c r="B59">
        <v>930</v>
      </c>
      <c r="C59" t="s">
        <v>2211</v>
      </c>
      <c r="D59" t="s">
        <v>169</v>
      </c>
      <c r="E59" t="s">
        <v>2165</v>
      </c>
      <c r="F59" t="s">
        <v>7</v>
      </c>
      <c r="G59" t="s">
        <v>323</v>
      </c>
      <c r="H59" t="s">
        <v>171</v>
      </c>
      <c r="I59" t="s">
        <v>220</v>
      </c>
      <c r="J59" t="s">
        <v>212</v>
      </c>
      <c r="K59" t="s">
        <v>2212</v>
      </c>
      <c r="L59" s="84">
        <v>43065</v>
      </c>
      <c r="M59" t="s">
        <v>381</v>
      </c>
      <c r="N59" t="s">
        <v>2213</v>
      </c>
      <c r="O59">
        <v>9</v>
      </c>
      <c r="P59" t="s">
        <v>1327</v>
      </c>
      <c r="Q59" t="s">
        <v>1328</v>
      </c>
      <c r="R59" t="s">
        <v>2214</v>
      </c>
      <c r="S59" t="s">
        <v>2215</v>
      </c>
      <c r="T59" t="s">
        <v>32</v>
      </c>
      <c r="U59" t="s">
        <v>85</v>
      </c>
      <c r="V59">
        <v>58</v>
      </c>
      <c r="W59">
        <v>82</v>
      </c>
      <c r="X59">
        <v>120</v>
      </c>
      <c r="Y59">
        <v>95</v>
      </c>
      <c r="Z59">
        <v>175</v>
      </c>
      <c r="AA59">
        <v>146</v>
      </c>
      <c r="AB59" t="s">
        <v>413</v>
      </c>
      <c r="AC59" t="s">
        <v>188</v>
      </c>
      <c r="AD59" t="s">
        <v>609</v>
      </c>
      <c r="AE59" t="s">
        <v>183</v>
      </c>
      <c r="AF59">
        <v>1</v>
      </c>
    </row>
    <row r="60" spans="1:32">
      <c r="A60">
        <v>109</v>
      </c>
      <c r="B60">
        <v>930</v>
      </c>
      <c r="C60" t="s">
        <v>2211</v>
      </c>
      <c r="D60" t="s">
        <v>169</v>
      </c>
      <c r="E60" t="s">
        <v>2165</v>
      </c>
      <c r="F60" t="s">
        <v>6</v>
      </c>
      <c r="G60" t="s">
        <v>331</v>
      </c>
      <c r="H60" t="s">
        <v>212</v>
      </c>
      <c r="I60" t="s">
        <v>215</v>
      </c>
      <c r="J60" t="s">
        <v>228</v>
      </c>
      <c r="K60" t="s">
        <v>2212</v>
      </c>
      <c r="L60" s="84">
        <v>43065</v>
      </c>
      <c r="M60" t="s">
        <v>381</v>
      </c>
      <c r="N60" t="s">
        <v>2213</v>
      </c>
      <c r="O60">
        <v>9</v>
      </c>
      <c r="P60" t="s">
        <v>1327</v>
      </c>
      <c r="Q60" t="s">
        <v>1328</v>
      </c>
      <c r="R60" t="s">
        <v>2214</v>
      </c>
      <c r="S60" t="s">
        <v>2215</v>
      </c>
      <c r="T60" t="s">
        <v>34</v>
      </c>
      <c r="U60" t="s">
        <v>85</v>
      </c>
      <c r="V60">
        <v>58</v>
      </c>
      <c r="W60">
        <v>82</v>
      </c>
      <c r="X60">
        <v>120</v>
      </c>
      <c r="Y60">
        <v>95</v>
      </c>
      <c r="Z60">
        <v>175</v>
      </c>
      <c r="AA60">
        <v>146</v>
      </c>
      <c r="AB60" t="s">
        <v>413</v>
      </c>
      <c r="AC60" t="s">
        <v>188</v>
      </c>
      <c r="AD60" t="s">
        <v>609</v>
      </c>
      <c r="AE60" t="s">
        <v>183</v>
      </c>
      <c r="AF60">
        <v>1</v>
      </c>
    </row>
    <row r="61" spans="1:32">
      <c r="A61">
        <v>109</v>
      </c>
      <c r="B61">
        <v>930</v>
      </c>
      <c r="C61" t="s">
        <v>2211</v>
      </c>
      <c r="D61" t="s">
        <v>169</v>
      </c>
      <c r="E61" t="s">
        <v>2165</v>
      </c>
      <c r="F61" t="s">
        <v>197</v>
      </c>
      <c r="G61" t="s">
        <v>334</v>
      </c>
      <c r="H61" t="s">
        <v>192</v>
      </c>
      <c r="I61" t="s">
        <v>192</v>
      </c>
      <c r="J61" t="s">
        <v>192</v>
      </c>
      <c r="K61" t="s">
        <v>2212</v>
      </c>
      <c r="L61" s="84">
        <v>43065</v>
      </c>
      <c r="M61" t="s">
        <v>381</v>
      </c>
      <c r="N61" t="s">
        <v>2213</v>
      </c>
      <c r="O61">
        <v>9</v>
      </c>
      <c r="P61" t="s">
        <v>1327</v>
      </c>
      <c r="Q61" t="s">
        <v>1328</v>
      </c>
      <c r="R61" t="s">
        <v>2214</v>
      </c>
      <c r="S61" t="s">
        <v>2215</v>
      </c>
      <c r="T61" t="s">
        <v>38</v>
      </c>
      <c r="U61" t="s">
        <v>85</v>
      </c>
      <c r="V61">
        <v>58</v>
      </c>
      <c r="W61">
        <v>82</v>
      </c>
      <c r="X61">
        <v>120</v>
      </c>
      <c r="Y61">
        <v>95</v>
      </c>
      <c r="Z61">
        <v>175</v>
      </c>
      <c r="AA61">
        <v>146</v>
      </c>
      <c r="AB61" t="s">
        <v>413</v>
      </c>
      <c r="AC61" t="s">
        <v>188</v>
      </c>
      <c r="AD61" t="s">
        <v>609</v>
      </c>
      <c r="AE61" t="s">
        <v>183</v>
      </c>
      <c r="AF61">
        <v>1</v>
      </c>
    </row>
    <row r="62" spans="1:32">
      <c r="A62">
        <v>109</v>
      </c>
      <c r="B62">
        <v>930</v>
      </c>
      <c r="C62" t="s">
        <v>2211</v>
      </c>
      <c r="D62" t="s">
        <v>169</v>
      </c>
      <c r="E62" t="s">
        <v>2165</v>
      </c>
      <c r="F62" t="s">
        <v>193</v>
      </c>
      <c r="G62" t="s">
        <v>332</v>
      </c>
      <c r="H62" t="s">
        <v>192</v>
      </c>
      <c r="I62" t="s">
        <v>243</v>
      </c>
      <c r="J62" t="s">
        <v>212</v>
      </c>
      <c r="K62" t="s">
        <v>2212</v>
      </c>
      <c r="L62" s="84">
        <v>43065</v>
      </c>
      <c r="M62" t="s">
        <v>381</v>
      </c>
      <c r="N62" t="s">
        <v>2213</v>
      </c>
      <c r="O62">
        <v>9</v>
      </c>
      <c r="P62" t="s">
        <v>1327</v>
      </c>
      <c r="Q62" t="s">
        <v>1328</v>
      </c>
      <c r="R62" t="s">
        <v>2214</v>
      </c>
      <c r="S62" t="s">
        <v>2215</v>
      </c>
      <c r="T62" t="s">
        <v>36</v>
      </c>
      <c r="U62" t="s">
        <v>85</v>
      </c>
      <c r="V62">
        <v>58</v>
      </c>
      <c r="W62">
        <v>82</v>
      </c>
      <c r="X62">
        <v>120</v>
      </c>
      <c r="Y62">
        <v>95</v>
      </c>
      <c r="Z62">
        <v>175</v>
      </c>
      <c r="AA62">
        <v>146</v>
      </c>
      <c r="AB62" t="s">
        <v>413</v>
      </c>
      <c r="AC62" t="s">
        <v>188</v>
      </c>
      <c r="AD62" t="s">
        <v>609</v>
      </c>
      <c r="AE62" t="s">
        <v>183</v>
      </c>
      <c r="AF62">
        <v>1</v>
      </c>
    </row>
    <row r="63" spans="1:32">
      <c r="A63">
        <v>109</v>
      </c>
      <c r="B63">
        <v>930</v>
      </c>
      <c r="C63" t="s">
        <v>2211</v>
      </c>
      <c r="D63" t="s">
        <v>169</v>
      </c>
      <c r="E63" t="s">
        <v>2165</v>
      </c>
      <c r="F63" t="s">
        <v>37</v>
      </c>
      <c r="G63" t="s">
        <v>333</v>
      </c>
      <c r="H63" t="s">
        <v>192</v>
      </c>
      <c r="I63" t="s">
        <v>181</v>
      </c>
      <c r="J63" t="s">
        <v>192</v>
      </c>
      <c r="K63" t="s">
        <v>2212</v>
      </c>
      <c r="L63" s="84">
        <v>43065</v>
      </c>
      <c r="M63" t="s">
        <v>381</v>
      </c>
      <c r="N63" t="s">
        <v>2213</v>
      </c>
      <c r="O63">
        <v>9</v>
      </c>
      <c r="P63" t="s">
        <v>1327</v>
      </c>
      <c r="Q63" t="s">
        <v>1328</v>
      </c>
      <c r="R63" t="s">
        <v>2214</v>
      </c>
      <c r="S63" t="s">
        <v>2215</v>
      </c>
      <c r="T63" t="s">
        <v>37</v>
      </c>
      <c r="U63" t="s">
        <v>85</v>
      </c>
      <c r="V63">
        <v>58</v>
      </c>
      <c r="W63">
        <v>82</v>
      </c>
      <c r="X63">
        <v>120</v>
      </c>
      <c r="Y63">
        <v>95</v>
      </c>
      <c r="Z63">
        <v>175</v>
      </c>
      <c r="AA63">
        <v>146</v>
      </c>
      <c r="AB63" t="s">
        <v>413</v>
      </c>
      <c r="AC63" t="s">
        <v>188</v>
      </c>
      <c r="AD63" t="s">
        <v>609</v>
      </c>
      <c r="AE63" t="s">
        <v>183</v>
      </c>
      <c r="AF63">
        <v>1</v>
      </c>
    </row>
    <row r="64" spans="1:32">
      <c r="A64">
        <v>109</v>
      </c>
      <c r="B64">
        <v>930</v>
      </c>
      <c r="C64" t="s">
        <v>2211</v>
      </c>
      <c r="D64" t="s">
        <v>169</v>
      </c>
      <c r="E64" t="s">
        <v>2165</v>
      </c>
      <c r="F64" t="s">
        <v>5</v>
      </c>
      <c r="G64" t="s">
        <v>2810</v>
      </c>
      <c r="H64" t="s">
        <v>212</v>
      </c>
      <c r="I64" t="s">
        <v>497</v>
      </c>
      <c r="J64" t="s">
        <v>237</v>
      </c>
      <c r="K64" t="s">
        <v>2212</v>
      </c>
      <c r="L64" s="84">
        <v>43065</v>
      </c>
      <c r="M64" t="s">
        <v>381</v>
      </c>
      <c r="N64" t="s">
        <v>2213</v>
      </c>
      <c r="O64">
        <v>9</v>
      </c>
      <c r="P64" t="s">
        <v>1327</v>
      </c>
      <c r="Q64" t="s">
        <v>1328</v>
      </c>
      <c r="R64" t="s">
        <v>2214</v>
      </c>
      <c r="S64" t="s">
        <v>2215</v>
      </c>
      <c r="T64" t="s">
        <v>33</v>
      </c>
      <c r="U64" t="s">
        <v>85</v>
      </c>
      <c r="V64">
        <v>58</v>
      </c>
      <c r="W64">
        <v>82</v>
      </c>
      <c r="X64">
        <v>120</v>
      </c>
      <c r="Y64">
        <v>95</v>
      </c>
      <c r="Z64">
        <v>175</v>
      </c>
      <c r="AA64">
        <v>146</v>
      </c>
      <c r="AB64" t="s">
        <v>413</v>
      </c>
      <c r="AC64" t="s">
        <v>188</v>
      </c>
      <c r="AD64" t="s">
        <v>609</v>
      </c>
      <c r="AE64" t="s">
        <v>183</v>
      </c>
      <c r="AF64">
        <v>1</v>
      </c>
    </row>
    <row r="65" spans="1:32">
      <c r="A65">
        <v>110</v>
      </c>
      <c r="B65">
        <v>949</v>
      </c>
      <c r="C65" t="s">
        <v>2216</v>
      </c>
      <c r="D65" t="s">
        <v>169</v>
      </c>
      <c r="E65" t="s">
        <v>2165</v>
      </c>
      <c r="F65" t="s">
        <v>5</v>
      </c>
      <c r="G65" t="s">
        <v>2811</v>
      </c>
      <c r="H65" t="s">
        <v>403</v>
      </c>
      <c r="I65" t="s">
        <v>324</v>
      </c>
      <c r="J65" t="s">
        <v>215</v>
      </c>
      <c r="K65" t="s">
        <v>2217</v>
      </c>
      <c r="L65" s="84">
        <v>43347</v>
      </c>
      <c r="M65" t="s">
        <v>381</v>
      </c>
      <c r="N65" t="s">
        <v>503</v>
      </c>
      <c r="O65">
        <v>3</v>
      </c>
      <c r="P65" t="s">
        <v>1775</v>
      </c>
      <c r="Q65" t="s">
        <v>2218</v>
      </c>
      <c r="R65" t="s">
        <v>2219</v>
      </c>
      <c r="S65" t="s">
        <v>2220</v>
      </c>
      <c r="T65" t="s">
        <v>33</v>
      </c>
      <c r="U65" t="s">
        <v>80</v>
      </c>
      <c r="V65">
        <v>55</v>
      </c>
      <c r="W65">
        <v>82</v>
      </c>
      <c r="X65">
        <v>120</v>
      </c>
      <c r="Y65">
        <v>85</v>
      </c>
      <c r="Z65">
        <v>175</v>
      </c>
      <c r="AA65">
        <v>130</v>
      </c>
      <c r="AB65" t="s">
        <v>2106</v>
      </c>
      <c r="AC65" t="s">
        <v>188</v>
      </c>
      <c r="AD65" t="s">
        <v>210</v>
      </c>
      <c r="AE65" t="s">
        <v>183</v>
      </c>
      <c r="AF65">
        <v>3</v>
      </c>
    </row>
    <row r="66" spans="1:32">
      <c r="A66">
        <v>110</v>
      </c>
      <c r="B66">
        <v>949</v>
      </c>
      <c r="C66" t="s">
        <v>2216</v>
      </c>
      <c r="D66" t="s">
        <v>169</v>
      </c>
      <c r="E66" t="s">
        <v>2165</v>
      </c>
      <c r="F66" t="s">
        <v>37</v>
      </c>
      <c r="G66" t="s">
        <v>344</v>
      </c>
      <c r="H66" t="s">
        <v>192</v>
      </c>
      <c r="I66" t="s">
        <v>181</v>
      </c>
      <c r="J66" t="s">
        <v>192</v>
      </c>
      <c r="K66" t="s">
        <v>2217</v>
      </c>
      <c r="L66" s="84">
        <v>43347</v>
      </c>
      <c r="M66" t="s">
        <v>381</v>
      </c>
      <c r="N66" t="s">
        <v>503</v>
      </c>
      <c r="O66">
        <v>3</v>
      </c>
      <c r="P66" t="s">
        <v>1775</v>
      </c>
      <c r="Q66" t="s">
        <v>2218</v>
      </c>
      <c r="R66" t="s">
        <v>2219</v>
      </c>
      <c r="S66" t="s">
        <v>2220</v>
      </c>
      <c r="T66" t="s">
        <v>37</v>
      </c>
      <c r="U66" t="s">
        <v>80</v>
      </c>
      <c r="V66">
        <v>55</v>
      </c>
      <c r="W66">
        <v>82</v>
      </c>
      <c r="X66">
        <v>120</v>
      </c>
      <c r="Y66">
        <v>85</v>
      </c>
      <c r="Z66">
        <v>175</v>
      </c>
      <c r="AA66">
        <v>130</v>
      </c>
      <c r="AB66" t="s">
        <v>2106</v>
      </c>
      <c r="AC66" t="s">
        <v>188</v>
      </c>
      <c r="AD66" t="s">
        <v>210</v>
      </c>
      <c r="AE66" t="s">
        <v>183</v>
      </c>
      <c r="AF66">
        <v>3</v>
      </c>
    </row>
    <row r="67" spans="1:32">
      <c r="A67">
        <v>110</v>
      </c>
      <c r="B67">
        <v>949</v>
      </c>
      <c r="C67" t="s">
        <v>2216</v>
      </c>
      <c r="D67" t="s">
        <v>169</v>
      </c>
      <c r="E67" t="s">
        <v>2165</v>
      </c>
      <c r="F67" t="s">
        <v>193</v>
      </c>
      <c r="G67" t="s">
        <v>345</v>
      </c>
      <c r="H67" t="s">
        <v>192</v>
      </c>
      <c r="I67" t="s">
        <v>243</v>
      </c>
      <c r="J67" t="s">
        <v>192</v>
      </c>
      <c r="K67" t="s">
        <v>2217</v>
      </c>
      <c r="L67" s="84">
        <v>43347</v>
      </c>
      <c r="M67" t="s">
        <v>381</v>
      </c>
      <c r="N67" t="s">
        <v>503</v>
      </c>
      <c r="O67">
        <v>3</v>
      </c>
      <c r="P67" t="s">
        <v>1775</v>
      </c>
      <c r="Q67" t="s">
        <v>2218</v>
      </c>
      <c r="R67" t="s">
        <v>2219</v>
      </c>
      <c r="S67" t="s">
        <v>2220</v>
      </c>
      <c r="T67" t="s">
        <v>36</v>
      </c>
      <c r="U67" t="s">
        <v>80</v>
      </c>
      <c r="V67">
        <v>55</v>
      </c>
      <c r="W67">
        <v>82</v>
      </c>
      <c r="X67">
        <v>120</v>
      </c>
      <c r="Y67">
        <v>85</v>
      </c>
      <c r="Z67">
        <v>175</v>
      </c>
      <c r="AA67">
        <v>130</v>
      </c>
      <c r="AB67" t="s">
        <v>2106</v>
      </c>
      <c r="AC67" t="s">
        <v>188</v>
      </c>
      <c r="AD67" t="s">
        <v>210</v>
      </c>
      <c r="AE67" t="s">
        <v>183</v>
      </c>
      <c r="AF67">
        <v>3</v>
      </c>
    </row>
    <row r="68" spans="1:32">
      <c r="A68">
        <v>110</v>
      </c>
      <c r="B68">
        <v>949</v>
      </c>
      <c r="C68" t="s">
        <v>2216</v>
      </c>
      <c r="D68" t="s">
        <v>169</v>
      </c>
      <c r="E68" t="s">
        <v>2165</v>
      </c>
      <c r="F68" t="s">
        <v>197</v>
      </c>
      <c r="G68" t="s">
        <v>336</v>
      </c>
      <c r="H68" t="s">
        <v>192</v>
      </c>
      <c r="I68" t="s">
        <v>188</v>
      </c>
      <c r="J68" t="s">
        <v>223</v>
      </c>
      <c r="K68" t="s">
        <v>2217</v>
      </c>
      <c r="L68" s="84">
        <v>43347</v>
      </c>
      <c r="M68" t="s">
        <v>381</v>
      </c>
      <c r="N68" t="s">
        <v>503</v>
      </c>
      <c r="O68">
        <v>3</v>
      </c>
      <c r="P68" t="s">
        <v>1775</v>
      </c>
      <c r="Q68" t="s">
        <v>2218</v>
      </c>
      <c r="R68" t="s">
        <v>2219</v>
      </c>
      <c r="S68" t="s">
        <v>2220</v>
      </c>
      <c r="T68" t="s">
        <v>38</v>
      </c>
      <c r="U68" t="s">
        <v>80</v>
      </c>
      <c r="V68">
        <v>55</v>
      </c>
      <c r="W68">
        <v>82</v>
      </c>
      <c r="X68">
        <v>120</v>
      </c>
      <c r="Y68">
        <v>85</v>
      </c>
      <c r="Z68">
        <v>175</v>
      </c>
      <c r="AA68">
        <v>130</v>
      </c>
      <c r="AB68" t="s">
        <v>2106</v>
      </c>
      <c r="AC68" t="s">
        <v>188</v>
      </c>
      <c r="AD68" t="s">
        <v>210</v>
      </c>
      <c r="AE68" t="s">
        <v>183</v>
      </c>
      <c r="AF68">
        <v>3</v>
      </c>
    </row>
    <row r="69" spans="1:32">
      <c r="A69">
        <v>110</v>
      </c>
      <c r="B69">
        <v>949</v>
      </c>
      <c r="C69" t="s">
        <v>2216</v>
      </c>
      <c r="D69" t="s">
        <v>169</v>
      </c>
      <c r="E69" t="s">
        <v>2165</v>
      </c>
      <c r="F69" t="s">
        <v>6</v>
      </c>
      <c r="G69" t="s">
        <v>346</v>
      </c>
      <c r="H69" t="s">
        <v>173</v>
      </c>
      <c r="I69" t="s">
        <v>173</v>
      </c>
      <c r="J69" t="s">
        <v>187</v>
      </c>
      <c r="K69" t="s">
        <v>2217</v>
      </c>
      <c r="L69" s="84">
        <v>43347</v>
      </c>
      <c r="M69" t="s">
        <v>381</v>
      </c>
      <c r="N69" t="s">
        <v>503</v>
      </c>
      <c r="O69">
        <v>3</v>
      </c>
      <c r="P69" t="s">
        <v>1775</v>
      </c>
      <c r="Q69" t="s">
        <v>2218</v>
      </c>
      <c r="R69" t="s">
        <v>2219</v>
      </c>
      <c r="S69" t="s">
        <v>2220</v>
      </c>
      <c r="T69" t="s">
        <v>34</v>
      </c>
      <c r="U69" t="s">
        <v>80</v>
      </c>
      <c r="V69">
        <v>55</v>
      </c>
      <c r="W69">
        <v>82</v>
      </c>
      <c r="X69">
        <v>120</v>
      </c>
      <c r="Y69">
        <v>85</v>
      </c>
      <c r="Z69">
        <v>175</v>
      </c>
      <c r="AA69">
        <v>130</v>
      </c>
      <c r="AB69" t="s">
        <v>2106</v>
      </c>
      <c r="AC69" t="s">
        <v>188</v>
      </c>
      <c r="AD69" t="s">
        <v>210</v>
      </c>
      <c r="AE69" t="s">
        <v>183</v>
      </c>
      <c r="AF69">
        <v>3</v>
      </c>
    </row>
    <row r="70" spans="1:32">
      <c r="A70">
        <v>110</v>
      </c>
      <c r="B70">
        <v>949</v>
      </c>
      <c r="C70" t="s">
        <v>2216</v>
      </c>
      <c r="D70" t="s">
        <v>169</v>
      </c>
      <c r="E70" t="s">
        <v>2165</v>
      </c>
      <c r="F70" t="s">
        <v>7</v>
      </c>
      <c r="G70" t="s">
        <v>348</v>
      </c>
      <c r="H70" t="s">
        <v>324</v>
      </c>
      <c r="I70" t="s">
        <v>734</v>
      </c>
      <c r="J70" t="s">
        <v>181</v>
      </c>
      <c r="K70" t="s">
        <v>2217</v>
      </c>
      <c r="L70" s="84">
        <v>43347</v>
      </c>
      <c r="M70" t="s">
        <v>381</v>
      </c>
      <c r="N70" t="s">
        <v>503</v>
      </c>
      <c r="O70">
        <v>3</v>
      </c>
      <c r="P70" t="s">
        <v>1775</v>
      </c>
      <c r="Q70" t="s">
        <v>2218</v>
      </c>
      <c r="R70" t="s">
        <v>2219</v>
      </c>
      <c r="S70" t="s">
        <v>2220</v>
      </c>
      <c r="T70" t="s">
        <v>32</v>
      </c>
      <c r="U70" t="s">
        <v>80</v>
      </c>
      <c r="V70">
        <v>55</v>
      </c>
      <c r="W70">
        <v>82</v>
      </c>
      <c r="X70">
        <v>120</v>
      </c>
      <c r="Y70">
        <v>85</v>
      </c>
      <c r="Z70">
        <v>175</v>
      </c>
      <c r="AA70">
        <v>130</v>
      </c>
      <c r="AB70" t="s">
        <v>2106</v>
      </c>
      <c r="AC70" t="s">
        <v>188</v>
      </c>
      <c r="AD70" t="s">
        <v>210</v>
      </c>
      <c r="AE70" t="s">
        <v>183</v>
      </c>
      <c r="AF70">
        <v>3</v>
      </c>
    </row>
    <row r="71" spans="1:32">
      <c r="A71">
        <v>110</v>
      </c>
      <c r="B71">
        <v>949</v>
      </c>
      <c r="C71" t="s">
        <v>2216</v>
      </c>
      <c r="D71" t="s">
        <v>169</v>
      </c>
      <c r="E71" t="s">
        <v>2165</v>
      </c>
      <c r="F71" t="s">
        <v>8</v>
      </c>
      <c r="G71" t="s">
        <v>347</v>
      </c>
      <c r="H71" t="s">
        <v>329</v>
      </c>
      <c r="I71" t="s">
        <v>914</v>
      </c>
      <c r="J71" t="s">
        <v>173</v>
      </c>
      <c r="K71" t="s">
        <v>2217</v>
      </c>
      <c r="L71" s="84">
        <v>43347</v>
      </c>
      <c r="M71" t="s">
        <v>381</v>
      </c>
      <c r="N71" t="s">
        <v>503</v>
      </c>
      <c r="O71">
        <v>3</v>
      </c>
      <c r="P71" t="s">
        <v>1775</v>
      </c>
      <c r="Q71" t="s">
        <v>2218</v>
      </c>
      <c r="R71" t="s">
        <v>2219</v>
      </c>
      <c r="S71" t="s">
        <v>2220</v>
      </c>
      <c r="T71" t="s">
        <v>31</v>
      </c>
      <c r="U71" t="s">
        <v>80</v>
      </c>
      <c r="V71">
        <v>55</v>
      </c>
      <c r="W71">
        <v>82</v>
      </c>
      <c r="X71">
        <v>120</v>
      </c>
      <c r="Y71">
        <v>85</v>
      </c>
      <c r="Z71">
        <v>175</v>
      </c>
      <c r="AA71">
        <v>130</v>
      </c>
      <c r="AB71" t="s">
        <v>2106</v>
      </c>
      <c r="AC71" t="s">
        <v>188</v>
      </c>
      <c r="AD71" t="s">
        <v>210</v>
      </c>
      <c r="AE71" t="s">
        <v>183</v>
      </c>
      <c r="AF71">
        <v>3</v>
      </c>
    </row>
    <row r="72" spans="1:32">
      <c r="A72">
        <v>111</v>
      </c>
      <c r="B72">
        <v>1000</v>
      </c>
      <c r="C72" t="s">
        <v>2221</v>
      </c>
      <c r="D72" t="s">
        <v>169</v>
      </c>
      <c r="E72" t="s">
        <v>2165</v>
      </c>
      <c r="F72" t="s">
        <v>8</v>
      </c>
      <c r="G72" t="s">
        <v>357</v>
      </c>
      <c r="H72" t="s">
        <v>181</v>
      </c>
      <c r="I72" t="s">
        <v>237</v>
      </c>
      <c r="J72" t="s">
        <v>212</v>
      </c>
      <c r="K72" t="s">
        <v>2222</v>
      </c>
      <c r="L72" s="84">
        <v>43343</v>
      </c>
      <c r="M72" t="s">
        <v>381</v>
      </c>
      <c r="N72" t="s">
        <v>2223</v>
      </c>
      <c r="O72">
        <v>3</v>
      </c>
      <c r="P72" t="s">
        <v>2224</v>
      </c>
      <c r="Q72" t="s">
        <v>2225</v>
      </c>
      <c r="R72" t="s">
        <v>2226</v>
      </c>
      <c r="S72" t="s">
        <v>2227</v>
      </c>
      <c r="T72" t="s">
        <v>31</v>
      </c>
      <c r="U72" t="s">
        <v>80</v>
      </c>
      <c r="V72">
        <v>69</v>
      </c>
      <c r="W72">
        <v>82</v>
      </c>
      <c r="X72">
        <v>120</v>
      </c>
      <c r="Y72">
        <v>103</v>
      </c>
      <c r="Z72">
        <v>175</v>
      </c>
      <c r="AA72">
        <v>151</v>
      </c>
      <c r="AB72" t="s">
        <v>493</v>
      </c>
      <c r="AC72" t="s">
        <v>173</v>
      </c>
      <c r="AD72" t="s">
        <v>182</v>
      </c>
      <c r="AE72" t="s">
        <v>183</v>
      </c>
      <c r="AF72">
        <v>2</v>
      </c>
    </row>
    <row r="73" spans="1:32">
      <c r="A73">
        <v>111</v>
      </c>
      <c r="B73">
        <v>1000</v>
      </c>
      <c r="C73" t="s">
        <v>2221</v>
      </c>
      <c r="D73" t="s">
        <v>169</v>
      </c>
      <c r="E73" t="s">
        <v>2165</v>
      </c>
      <c r="F73" t="s">
        <v>7</v>
      </c>
      <c r="G73" t="s">
        <v>350</v>
      </c>
      <c r="H73" t="s">
        <v>181</v>
      </c>
      <c r="I73" t="s">
        <v>415</v>
      </c>
      <c r="J73" t="s">
        <v>192</v>
      </c>
      <c r="K73" t="s">
        <v>2222</v>
      </c>
      <c r="L73" s="84">
        <v>43343</v>
      </c>
      <c r="M73" t="s">
        <v>381</v>
      </c>
      <c r="N73" t="s">
        <v>2223</v>
      </c>
      <c r="O73">
        <v>3</v>
      </c>
      <c r="P73" t="s">
        <v>2224</v>
      </c>
      <c r="Q73" t="s">
        <v>2225</v>
      </c>
      <c r="R73" t="s">
        <v>2226</v>
      </c>
      <c r="S73" t="s">
        <v>2227</v>
      </c>
      <c r="T73" t="s">
        <v>32</v>
      </c>
      <c r="U73" t="s">
        <v>80</v>
      </c>
      <c r="V73">
        <v>69</v>
      </c>
      <c r="W73">
        <v>82</v>
      </c>
      <c r="X73">
        <v>120</v>
      </c>
      <c r="Y73">
        <v>103</v>
      </c>
      <c r="Z73">
        <v>175</v>
      </c>
      <c r="AA73">
        <v>151</v>
      </c>
      <c r="AB73" t="s">
        <v>493</v>
      </c>
      <c r="AC73" t="s">
        <v>173</v>
      </c>
      <c r="AD73" t="s">
        <v>182</v>
      </c>
      <c r="AE73" t="s">
        <v>183</v>
      </c>
      <c r="AF73">
        <v>2</v>
      </c>
    </row>
    <row r="74" spans="1:32">
      <c r="A74">
        <v>111</v>
      </c>
      <c r="B74">
        <v>1000</v>
      </c>
      <c r="C74" t="s">
        <v>2221</v>
      </c>
      <c r="D74" t="s">
        <v>169</v>
      </c>
      <c r="E74" t="s">
        <v>2165</v>
      </c>
      <c r="F74" t="s">
        <v>6</v>
      </c>
      <c r="G74" t="s">
        <v>358</v>
      </c>
      <c r="H74" t="s">
        <v>330</v>
      </c>
      <c r="I74" t="s">
        <v>192</v>
      </c>
      <c r="J74" t="s">
        <v>221</v>
      </c>
      <c r="K74" t="s">
        <v>2222</v>
      </c>
      <c r="L74" s="84">
        <v>43343</v>
      </c>
      <c r="M74" t="s">
        <v>381</v>
      </c>
      <c r="N74" t="s">
        <v>2223</v>
      </c>
      <c r="O74">
        <v>3</v>
      </c>
      <c r="P74" t="s">
        <v>2224</v>
      </c>
      <c r="Q74" t="s">
        <v>2225</v>
      </c>
      <c r="R74" t="s">
        <v>2226</v>
      </c>
      <c r="S74" t="s">
        <v>2227</v>
      </c>
      <c r="T74" t="s">
        <v>34</v>
      </c>
      <c r="U74" t="s">
        <v>80</v>
      </c>
      <c r="V74">
        <v>69</v>
      </c>
      <c r="W74">
        <v>82</v>
      </c>
      <c r="X74">
        <v>120</v>
      </c>
      <c r="Y74">
        <v>103</v>
      </c>
      <c r="Z74">
        <v>175</v>
      </c>
      <c r="AA74">
        <v>151</v>
      </c>
      <c r="AB74" t="s">
        <v>493</v>
      </c>
      <c r="AC74" t="s">
        <v>173</v>
      </c>
      <c r="AD74" t="s">
        <v>182</v>
      </c>
      <c r="AE74" t="s">
        <v>183</v>
      </c>
      <c r="AF74">
        <v>2</v>
      </c>
    </row>
    <row r="75" spans="1:32">
      <c r="A75">
        <v>111</v>
      </c>
      <c r="B75">
        <v>1000</v>
      </c>
      <c r="C75" t="s">
        <v>2221</v>
      </c>
      <c r="D75" t="s">
        <v>169</v>
      </c>
      <c r="E75" t="s">
        <v>2165</v>
      </c>
      <c r="F75" t="s">
        <v>197</v>
      </c>
      <c r="G75" t="s">
        <v>361</v>
      </c>
      <c r="H75" t="s">
        <v>192</v>
      </c>
      <c r="I75" t="s">
        <v>192</v>
      </c>
      <c r="J75" t="s">
        <v>223</v>
      </c>
      <c r="K75" t="s">
        <v>2222</v>
      </c>
      <c r="L75" s="84">
        <v>43343</v>
      </c>
      <c r="M75" t="s">
        <v>381</v>
      </c>
      <c r="N75" t="s">
        <v>2223</v>
      </c>
      <c r="O75">
        <v>3</v>
      </c>
      <c r="P75" t="s">
        <v>2224</v>
      </c>
      <c r="Q75" t="s">
        <v>2225</v>
      </c>
      <c r="R75" t="s">
        <v>2226</v>
      </c>
      <c r="S75" t="s">
        <v>2227</v>
      </c>
      <c r="T75" t="s">
        <v>38</v>
      </c>
      <c r="U75" t="s">
        <v>80</v>
      </c>
      <c r="V75">
        <v>69</v>
      </c>
      <c r="W75">
        <v>82</v>
      </c>
      <c r="X75">
        <v>120</v>
      </c>
      <c r="Y75">
        <v>103</v>
      </c>
      <c r="Z75">
        <v>175</v>
      </c>
      <c r="AA75">
        <v>151</v>
      </c>
      <c r="AB75" t="s">
        <v>493</v>
      </c>
      <c r="AC75" t="s">
        <v>173</v>
      </c>
      <c r="AD75" t="s">
        <v>182</v>
      </c>
      <c r="AE75" t="s">
        <v>183</v>
      </c>
      <c r="AF75">
        <v>2</v>
      </c>
    </row>
    <row r="76" spans="1:32">
      <c r="A76">
        <v>111</v>
      </c>
      <c r="B76">
        <v>1000</v>
      </c>
      <c r="C76" t="s">
        <v>2221</v>
      </c>
      <c r="D76" t="s">
        <v>169</v>
      </c>
      <c r="E76" t="s">
        <v>2165</v>
      </c>
      <c r="F76" t="s">
        <v>193</v>
      </c>
      <c r="G76" t="s">
        <v>359</v>
      </c>
      <c r="H76" t="s">
        <v>192</v>
      </c>
      <c r="I76" t="s">
        <v>181</v>
      </c>
      <c r="J76" t="s">
        <v>192</v>
      </c>
      <c r="K76" t="s">
        <v>2222</v>
      </c>
      <c r="L76" s="84">
        <v>43343</v>
      </c>
      <c r="M76" t="s">
        <v>381</v>
      </c>
      <c r="N76" t="s">
        <v>2223</v>
      </c>
      <c r="O76">
        <v>3</v>
      </c>
      <c r="P76" t="s">
        <v>2224</v>
      </c>
      <c r="Q76" t="s">
        <v>2225</v>
      </c>
      <c r="R76" t="s">
        <v>2226</v>
      </c>
      <c r="S76" t="s">
        <v>2227</v>
      </c>
      <c r="T76" t="s">
        <v>36</v>
      </c>
      <c r="U76" t="s">
        <v>80</v>
      </c>
      <c r="V76">
        <v>69</v>
      </c>
      <c r="W76">
        <v>82</v>
      </c>
      <c r="X76">
        <v>120</v>
      </c>
      <c r="Y76">
        <v>103</v>
      </c>
      <c r="Z76">
        <v>175</v>
      </c>
      <c r="AA76">
        <v>151</v>
      </c>
      <c r="AB76" t="s">
        <v>493</v>
      </c>
      <c r="AC76" t="s">
        <v>173</v>
      </c>
      <c r="AD76" t="s">
        <v>182</v>
      </c>
      <c r="AE76" t="s">
        <v>183</v>
      </c>
      <c r="AF76">
        <v>2</v>
      </c>
    </row>
    <row r="77" spans="1:32">
      <c r="A77">
        <v>111</v>
      </c>
      <c r="B77">
        <v>1000</v>
      </c>
      <c r="C77" t="s">
        <v>2221</v>
      </c>
      <c r="D77" t="s">
        <v>169</v>
      </c>
      <c r="E77" t="s">
        <v>2165</v>
      </c>
      <c r="F77" t="s">
        <v>37</v>
      </c>
      <c r="G77" t="s">
        <v>360</v>
      </c>
      <c r="H77" t="s">
        <v>192</v>
      </c>
      <c r="I77" t="s">
        <v>181</v>
      </c>
      <c r="J77" t="s">
        <v>212</v>
      </c>
      <c r="K77" t="s">
        <v>2222</v>
      </c>
      <c r="L77" s="84">
        <v>43343</v>
      </c>
      <c r="M77" t="s">
        <v>381</v>
      </c>
      <c r="N77" t="s">
        <v>2223</v>
      </c>
      <c r="O77">
        <v>3</v>
      </c>
      <c r="P77" t="s">
        <v>2224</v>
      </c>
      <c r="Q77" t="s">
        <v>2225</v>
      </c>
      <c r="R77" t="s">
        <v>2226</v>
      </c>
      <c r="S77" t="s">
        <v>2227</v>
      </c>
      <c r="T77" t="s">
        <v>37</v>
      </c>
      <c r="U77" t="s">
        <v>80</v>
      </c>
      <c r="V77">
        <v>69</v>
      </c>
      <c r="W77">
        <v>82</v>
      </c>
      <c r="X77">
        <v>120</v>
      </c>
      <c r="Y77">
        <v>103</v>
      </c>
      <c r="Z77">
        <v>175</v>
      </c>
      <c r="AA77">
        <v>151</v>
      </c>
      <c r="AB77" t="s">
        <v>493</v>
      </c>
      <c r="AC77" t="s">
        <v>173</v>
      </c>
      <c r="AD77" t="s">
        <v>182</v>
      </c>
      <c r="AE77" t="s">
        <v>183</v>
      </c>
      <c r="AF77">
        <v>2</v>
      </c>
    </row>
    <row r="78" spans="1:32">
      <c r="A78">
        <v>111</v>
      </c>
      <c r="B78">
        <v>1000</v>
      </c>
      <c r="C78" t="s">
        <v>2221</v>
      </c>
      <c r="D78" t="s">
        <v>169</v>
      </c>
      <c r="E78" t="s">
        <v>2165</v>
      </c>
      <c r="F78" t="s">
        <v>5</v>
      </c>
      <c r="G78" t="s">
        <v>2812</v>
      </c>
      <c r="H78" t="s">
        <v>330</v>
      </c>
      <c r="I78" t="s">
        <v>260</v>
      </c>
      <c r="J78" t="s">
        <v>226</v>
      </c>
      <c r="K78" t="s">
        <v>2222</v>
      </c>
      <c r="L78" s="84">
        <v>43343</v>
      </c>
      <c r="M78" t="s">
        <v>381</v>
      </c>
      <c r="N78" t="s">
        <v>2223</v>
      </c>
      <c r="O78">
        <v>3</v>
      </c>
      <c r="P78" t="s">
        <v>2224</v>
      </c>
      <c r="Q78" t="s">
        <v>2225</v>
      </c>
      <c r="R78" t="s">
        <v>2226</v>
      </c>
      <c r="S78" t="s">
        <v>2227</v>
      </c>
      <c r="T78" t="s">
        <v>33</v>
      </c>
      <c r="U78" t="s">
        <v>80</v>
      </c>
      <c r="V78">
        <v>69</v>
      </c>
      <c r="W78">
        <v>82</v>
      </c>
      <c r="X78">
        <v>120</v>
      </c>
      <c r="Y78">
        <v>103</v>
      </c>
      <c r="Z78">
        <v>175</v>
      </c>
      <c r="AA78">
        <v>151</v>
      </c>
      <c r="AB78" t="s">
        <v>493</v>
      </c>
      <c r="AC78" t="s">
        <v>173</v>
      </c>
      <c r="AD78" t="s">
        <v>182</v>
      </c>
      <c r="AE78" t="s">
        <v>183</v>
      </c>
      <c r="AF78">
        <v>2</v>
      </c>
    </row>
    <row r="79" spans="1:32">
      <c r="A79">
        <v>112</v>
      </c>
      <c r="B79">
        <v>1221</v>
      </c>
      <c r="C79" t="s">
        <v>2228</v>
      </c>
      <c r="D79" t="s">
        <v>169</v>
      </c>
      <c r="E79" t="s">
        <v>2165</v>
      </c>
      <c r="F79" t="s">
        <v>5</v>
      </c>
      <c r="G79" t="s">
        <v>2813</v>
      </c>
      <c r="H79" t="s">
        <v>221</v>
      </c>
      <c r="I79" t="s">
        <v>376</v>
      </c>
      <c r="J79" t="s">
        <v>221</v>
      </c>
      <c r="K79" t="s">
        <v>2229</v>
      </c>
      <c r="L79" s="84">
        <v>43093</v>
      </c>
      <c r="M79" t="s">
        <v>381</v>
      </c>
      <c r="N79" t="s">
        <v>1471</v>
      </c>
      <c r="O79">
        <v>2</v>
      </c>
      <c r="P79" t="s">
        <v>2899</v>
      </c>
      <c r="Q79" t="s">
        <v>2900</v>
      </c>
      <c r="R79" t="s">
        <v>2230</v>
      </c>
      <c r="S79" t="s">
        <v>2231</v>
      </c>
      <c r="T79" t="s">
        <v>33</v>
      </c>
      <c r="U79" t="s">
        <v>79</v>
      </c>
      <c r="V79">
        <v>41</v>
      </c>
      <c r="W79">
        <v>82</v>
      </c>
      <c r="X79">
        <v>120</v>
      </c>
      <c r="Y79">
        <v>65</v>
      </c>
      <c r="Z79">
        <v>175</v>
      </c>
      <c r="AA79">
        <v>105</v>
      </c>
      <c r="AB79" t="s">
        <v>479</v>
      </c>
      <c r="AC79" t="s">
        <v>243</v>
      </c>
      <c r="AD79" t="s">
        <v>272</v>
      </c>
      <c r="AE79" t="s">
        <v>183</v>
      </c>
      <c r="AF79">
        <v>1</v>
      </c>
    </row>
    <row r="80" spans="1:32">
      <c r="A80">
        <v>112</v>
      </c>
      <c r="B80">
        <v>1221</v>
      </c>
      <c r="C80" t="s">
        <v>2228</v>
      </c>
      <c r="D80" t="s">
        <v>169</v>
      </c>
      <c r="E80" t="s">
        <v>2165</v>
      </c>
      <c r="F80" t="s">
        <v>37</v>
      </c>
      <c r="G80" t="s">
        <v>371</v>
      </c>
      <c r="H80" t="s">
        <v>192</v>
      </c>
      <c r="I80" t="s">
        <v>212</v>
      </c>
      <c r="J80" t="s">
        <v>212</v>
      </c>
      <c r="K80" t="s">
        <v>2229</v>
      </c>
      <c r="L80" s="84">
        <v>43093</v>
      </c>
      <c r="M80" t="s">
        <v>381</v>
      </c>
      <c r="N80" t="s">
        <v>1471</v>
      </c>
      <c r="O80">
        <v>2</v>
      </c>
      <c r="P80" t="s">
        <v>2899</v>
      </c>
      <c r="Q80" t="s">
        <v>2900</v>
      </c>
      <c r="R80" t="s">
        <v>2230</v>
      </c>
      <c r="S80" t="s">
        <v>2231</v>
      </c>
      <c r="T80" t="s">
        <v>37</v>
      </c>
      <c r="U80" t="s">
        <v>79</v>
      </c>
      <c r="V80">
        <v>41</v>
      </c>
      <c r="W80">
        <v>82</v>
      </c>
      <c r="X80">
        <v>120</v>
      </c>
      <c r="Y80">
        <v>65</v>
      </c>
      <c r="Z80">
        <v>175</v>
      </c>
      <c r="AA80">
        <v>105</v>
      </c>
      <c r="AB80" t="s">
        <v>479</v>
      </c>
      <c r="AC80" t="s">
        <v>243</v>
      </c>
      <c r="AD80" t="s">
        <v>272</v>
      </c>
      <c r="AE80" t="s">
        <v>183</v>
      </c>
      <c r="AF80">
        <v>1</v>
      </c>
    </row>
    <row r="81" spans="1:32">
      <c r="A81">
        <v>112</v>
      </c>
      <c r="B81">
        <v>1221</v>
      </c>
      <c r="C81" t="s">
        <v>2228</v>
      </c>
      <c r="D81" t="s">
        <v>169</v>
      </c>
      <c r="E81" t="s">
        <v>2165</v>
      </c>
      <c r="F81" t="s">
        <v>193</v>
      </c>
      <c r="G81" t="s">
        <v>372</v>
      </c>
      <c r="H81" t="s">
        <v>192</v>
      </c>
      <c r="I81" t="s">
        <v>188</v>
      </c>
      <c r="J81" t="s">
        <v>223</v>
      </c>
      <c r="K81" t="s">
        <v>2229</v>
      </c>
      <c r="L81" s="84">
        <v>43093</v>
      </c>
      <c r="M81" t="s">
        <v>381</v>
      </c>
      <c r="N81" t="s">
        <v>1471</v>
      </c>
      <c r="O81">
        <v>2</v>
      </c>
      <c r="P81" t="s">
        <v>2899</v>
      </c>
      <c r="Q81" t="s">
        <v>2900</v>
      </c>
      <c r="R81" t="s">
        <v>2230</v>
      </c>
      <c r="S81" t="s">
        <v>2231</v>
      </c>
      <c r="T81" t="s">
        <v>36</v>
      </c>
      <c r="U81" t="s">
        <v>79</v>
      </c>
      <c r="V81">
        <v>41</v>
      </c>
      <c r="W81">
        <v>82</v>
      </c>
      <c r="X81">
        <v>120</v>
      </c>
      <c r="Y81">
        <v>65</v>
      </c>
      <c r="Z81">
        <v>175</v>
      </c>
      <c r="AA81">
        <v>105</v>
      </c>
      <c r="AB81" t="s">
        <v>479</v>
      </c>
      <c r="AC81" t="s">
        <v>243</v>
      </c>
      <c r="AD81" t="s">
        <v>272</v>
      </c>
      <c r="AE81" t="s">
        <v>183</v>
      </c>
      <c r="AF81">
        <v>1</v>
      </c>
    </row>
    <row r="82" spans="1:32">
      <c r="A82">
        <v>112</v>
      </c>
      <c r="B82">
        <v>1221</v>
      </c>
      <c r="C82" t="s">
        <v>2228</v>
      </c>
      <c r="D82" t="s">
        <v>169</v>
      </c>
      <c r="E82" t="s">
        <v>2165</v>
      </c>
      <c r="F82" t="s">
        <v>197</v>
      </c>
      <c r="G82" t="s">
        <v>363</v>
      </c>
      <c r="H82" t="s">
        <v>192</v>
      </c>
      <c r="I82" t="s">
        <v>188</v>
      </c>
      <c r="J82" t="s">
        <v>223</v>
      </c>
      <c r="K82" t="s">
        <v>2229</v>
      </c>
      <c r="L82" s="84">
        <v>43093</v>
      </c>
      <c r="M82" t="s">
        <v>381</v>
      </c>
      <c r="N82" t="s">
        <v>1471</v>
      </c>
      <c r="O82">
        <v>2</v>
      </c>
      <c r="P82" t="s">
        <v>2899</v>
      </c>
      <c r="Q82" t="s">
        <v>2900</v>
      </c>
      <c r="R82" t="s">
        <v>2230</v>
      </c>
      <c r="S82" t="s">
        <v>2231</v>
      </c>
      <c r="T82" t="s">
        <v>38</v>
      </c>
      <c r="U82" t="s">
        <v>79</v>
      </c>
      <c r="V82">
        <v>41</v>
      </c>
      <c r="W82">
        <v>82</v>
      </c>
      <c r="X82">
        <v>120</v>
      </c>
      <c r="Y82">
        <v>65</v>
      </c>
      <c r="Z82">
        <v>175</v>
      </c>
      <c r="AA82">
        <v>105</v>
      </c>
      <c r="AB82" t="s">
        <v>479</v>
      </c>
      <c r="AC82" t="s">
        <v>243</v>
      </c>
      <c r="AD82" t="s">
        <v>272</v>
      </c>
      <c r="AE82" t="s">
        <v>183</v>
      </c>
      <c r="AF82">
        <v>1</v>
      </c>
    </row>
    <row r="83" spans="1:32">
      <c r="A83">
        <v>112</v>
      </c>
      <c r="B83">
        <v>1221</v>
      </c>
      <c r="C83" t="s">
        <v>2228</v>
      </c>
      <c r="D83" t="s">
        <v>169</v>
      </c>
      <c r="E83" t="s">
        <v>2165</v>
      </c>
      <c r="F83" t="s">
        <v>6</v>
      </c>
      <c r="G83" t="s">
        <v>373</v>
      </c>
      <c r="H83" t="s">
        <v>173</v>
      </c>
      <c r="I83" t="s">
        <v>329</v>
      </c>
      <c r="J83" t="s">
        <v>188</v>
      </c>
      <c r="K83" t="s">
        <v>2229</v>
      </c>
      <c r="L83" s="84">
        <v>43093</v>
      </c>
      <c r="M83" t="s">
        <v>381</v>
      </c>
      <c r="N83" t="s">
        <v>1471</v>
      </c>
      <c r="O83">
        <v>2</v>
      </c>
      <c r="P83" t="s">
        <v>2899</v>
      </c>
      <c r="Q83" t="s">
        <v>2900</v>
      </c>
      <c r="R83" t="s">
        <v>2230</v>
      </c>
      <c r="S83" t="s">
        <v>2231</v>
      </c>
      <c r="T83" t="s">
        <v>34</v>
      </c>
      <c r="U83" t="s">
        <v>79</v>
      </c>
      <c r="V83">
        <v>41</v>
      </c>
      <c r="W83">
        <v>82</v>
      </c>
      <c r="X83">
        <v>120</v>
      </c>
      <c r="Y83">
        <v>65</v>
      </c>
      <c r="Z83">
        <v>175</v>
      </c>
      <c r="AA83">
        <v>105</v>
      </c>
      <c r="AB83" t="s">
        <v>479</v>
      </c>
      <c r="AC83" t="s">
        <v>243</v>
      </c>
      <c r="AD83" t="s">
        <v>272</v>
      </c>
      <c r="AE83" t="s">
        <v>183</v>
      </c>
      <c r="AF83">
        <v>1</v>
      </c>
    </row>
    <row r="84" spans="1:32">
      <c r="A84">
        <v>112</v>
      </c>
      <c r="B84">
        <v>1221</v>
      </c>
      <c r="C84" t="s">
        <v>2228</v>
      </c>
      <c r="D84" t="s">
        <v>169</v>
      </c>
      <c r="E84" t="s">
        <v>2165</v>
      </c>
      <c r="F84" t="s">
        <v>7</v>
      </c>
      <c r="G84" t="s">
        <v>377</v>
      </c>
      <c r="H84" t="s">
        <v>2045</v>
      </c>
      <c r="I84" t="s">
        <v>329</v>
      </c>
      <c r="J84" t="s">
        <v>181</v>
      </c>
      <c r="K84" t="s">
        <v>2229</v>
      </c>
      <c r="L84" s="84">
        <v>43093</v>
      </c>
      <c r="M84" t="s">
        <v>381</v>
      </c>
      <c r="N84" t="s">
        <v>1471</v>
      </c>
      <c r="O84">
        <v>2</v>
      </c>
      <c r="P84" t="s">
        <v>2899</v>
      </c>
      <c r="Q84" t="s">
        <v>2900</v>
      </c>
      <c r="R84" t="s">
        <v>2230</v>
      </c>
      <c r="S84" t="s">
        <v>2231</v>
      </c>
      <c r="T84" t="s">
        <v>32</v>
      </c>
      <c r="U84" t="s">
        <v>79</v>
      </c>
      <c r="V84">
        <v>41</v>
      </c>
      <c r="W84">
        <v>82</v>
      </c>
      <c r="X84">
        <v>120</v>
      </c>
      <c r="Y84">
        <v>65</v>
      </c>
      <c r="Z84">
        <v>175</v>
      </c>
      <c r="AA84">
        <v>105</v>
      </c>
      <c r="AB84" t="s">
        <v>479</v>
      </c>
      <c r="AC84" t="s">
        <v>243</v>
      </c>
      <c r="AD84" t="s">
        <v>272</v>
      </c>
      <c r="AE84" t="s">
        <v>2046</v>
      </c>
      <c r="AF84">
        <v>1</v>
      </c>
    </row>
    <row r="85" spans="1:32">
      <c r="A85">
        <v>112</v>
      </c>
      <c r="B85">
        <v>1221</v>
      </c>
      <c r="C85" t="s">
        <v>2228</v>
      </c>
      <c r="D85" t="s">
        <v>169</v>
      </c>
      <c r="E85" t="s">
        <v>2165</v>
      </c>
      <c r="F85" t="s">
        <v>8</v>
      </c>
      <c r="G85" t="s">
        <v>375</v>
      </c>
      <c r="H85" t="s">
        <v>173</v>
      </c>
      <c r="I85" t="s">
        <v>172</v>
      </c>
      <c r="J85" t="s">
        <v>415</v>
      </c>
      <c r="K85" t="s">
        <v>2229</v>
      </c>
      <c r="L85" s="84">
        <v>43093</v>
      </c>
      <c r="M85" t="s">
        <v>381</v>
      </c>
      <c r="N85" t="s">
        <v>1471</v>
      </c>
      <c r="O85">
        <v>2</v>
      </c>
      <c r="P85" t="s">
        <v>2899</v>
      </c>
      <c r="Q85" t="s">
        <v>2900</v>
      </c>
      <c r="R85" t="s">
        <v>2230</v>
      </c>
      <c r="S85" t="s">
        <v>2231</v>
      </c>
      <c r="T85" t="s">
        <v>31</v>
      </c>
      <c r="U85" t="s">
        <v>79</v>
      </c>
      <c r="V85">
        <v>41</v>
      </c>
      <c r="W85">
        <v>82</v>
      </c>
      <c r="X85">
        <v>120</v>
      </c>
      <c r="Y85">
        <v>65</v>
      </c>
      <c r="Z85">
        <v>175</v>
      </c>
      <c r="AA85">
        <v>105</v>
      </c>
      <c r="AB85" t="s">
        <v>479</v>
      </c>
      <c r="AC85" t="s">
        <v>243</v>
      </c>
      <c r="AD85" t="s">
        <v>272</v>
      </c>
      <c r="AE85" t="s">
        <v>183</v>
      </c>
      <c r="AF85">
        <v>1</v>
      </c>
    </row>
    <row r="86" spans="1:32">
      <c r="A86">
        <v>113</v>
      </c>
      <c r="B86">
        <v>996</v>
      </c>
      <c r="C86" t="s">
        <v>2232</v>
      </c>
      <c r="D86" t="s">
        <v>169</v>
      </c>
      <c r="E86" t="s">
        <v>2165</v>
      </c>
      <c r="F86" t="s">
        <v>8</v>
      </c>
      <c r="G86" t="s">
        <v>385</v>
      </c>
      <c r="H86" t="s">
        <v>324</v>
      </c>
      <c r="I86" t="s">
        <v>181</v>
      </c>
      <c r="J86" t="s">
        <v>415</v>
      </c>
      <c r="K86" t="s">
        <v>2233</v>
      </c>
      <c r="L86" s="84">
        <v>42632</v>
      </c>
      <c r="M86" t="s">
        <v>381</v>
      </c>
      <c r="N86" t="s">
        <v>266</v>
      </c>
      <c r="O86">
        <v>3</v>
      </c>
      <c r="P86" t="s">
        <v>2234</v>
      </c>
      <c r="Q86" t="s">
        <v>2235</v>
      </c>
      <c r="R86" t="s">
        <v>2236</v>
      </c>
      <c r="S86" t="s">
        <v>2237</v>
      </c>
      <c r="T86" t="s">
        <v>31</v>
      </c>
      <c r="U86" t="s">
        <v>80</v>
      </c>
      <c r="V86">
        <v>45</v>
      </c>
      <c r="W86">
        <v>82</v>
      </c>
      <c r="X86">
        <v>120</v>
      </c>
      <c r="Y86">
        <v>70</v>
      </c>
      <c r="Z86">
        <v>175</v>
      </c>
      <c r="AA86">
        <v>107</v>
      </c>
      <c r="AB86" t="s">
        <v>1069</v>
      </c>
      <c r="AC86" t="s">
        <v>228</v>
      </c>
      <c r="AD86" t="s">
        <v>210</v>
      </c>
      <c r="AE86" t="s">
        <v>183</v>
      </c>
      <c r="AF86">
        <v>2</v>
      </c>
    </row>
    <row r="87" spans="1:32">
      <c r="A87">
        <v>113</v>
      </c>
      <c r="B87">
        <v>996</v>
      </c>
      <c r="C87" t="s">
        <v>2232</v>
      </c>
      <c r="D87" t="s">
        <v>169</v>
      </c>
      <c r="E87" t="s">
        <v>2165</v>
      </c>
      <c r="F87" t="s">
        <v>7</v>
      </c>
      <c r="G87" t="s">
        <v>379</v>
      </c>
      <c r="H87" t="s">
        <v>186</v>
      </c>
      <c r="I87" t="s">
        <v>403</v>
      </c>
      <c r="J87" t="s">
        <v>171</v>
      </c>
      <c r="K87" t="s">
        <v>2233</v>
      </c>
      <c r="L87" s="84">
        <v>42632</v>
      </c>
      <c r="M87" t="s">
        <v>381</v>
      </c>
      <c r="N87" t="s">
        <v>266</v>
      </c>
      <c r="O87">
        <v>3</v>
      </c>
      <c r="P87" t="s">
        <v>2234</v>
      </c>
      <c r="Q87" t="s">
        <v>2235</v>
      </c>
      <c r="R87" t="s">
        <v>2236</v>
      </c>
      <c r="S87" t="s">
        <v>2237</v>
      </c>
      <c r="T87" t="s">
        <v>32</v>
      </c>
      <c r="U87" t="s">
        <v>80</v>
      </c>
      <c r="V87">
        <v>45</v>
      </c>
      <c r="W87">
        <v>82</v>
      </c>
      <c r="X87">
        <v>120</v>
      </c>
      <c r="Y87">
        <v>70</v>
      </c>
      <c r="Z87">
        <v>175</v>
      </c>
      <c r="AA87">
        <v>107</v>
      </c>
      <c r="AB87" t="s">
        <v>1069</v>
      </c>
      <c r="AC87" t="s">
        <v>228</v>
      </c>
      <c r="AD87" t="s">
        <v>210</v>
      </c>
      <c r="AE87" t="s">
        <v>183</v>
      </c>
      <c r="AF87">
        <v>2</v>
      </c>
    </row>
    <row r="88" spans="1:32">
      <c r="A88">
        <v>113</v>
      </c>
      <c r="B88">
        <v>996</v>
      </c>
      <c r="C88" t="s">
        <v>2232</v>
      </c>
      <c r="D88" t="s">
        <v>169</v>
      </c>
      <c r="E88" t="s">
        <v>2165</v>
      </c>
      <c r="F88" t="s">
        <v>6</v>
      </c>
      <c r="G88" t="s">
        <v>386</v>
      </c>
      <c r="H88" t="s">
        <v>188</v>
      </c>
      <c r="I88" t="s">
        <v>188</v>
      </c>
      <c r="J88" t="s">
        <v>415</v>
      </c>
      <c r="K88" t="s">
        <v>2233</v>
      </c>
      <c r="L88" s="84">
        <v>42632</v>
      </c>
      <c r="M88" t="s">
        <v>381</v>
      </c>
      <c r="N88" t="s">
        <v>266</v>
      </c>
      <c r="O88">
        <v>3</v>
      </c>
      <c r="P88" t="s">
        <v>2234</v>
      </c>
      <c r="Q88" t="s">
        <v>2235</v>
      </c>
      <c r="R88" t="s">
        <v>2236</v>
      </c>
      <c r="S88" t="s">
        <v>2237</v>
      </c>
      <c r="T88" t="s">
        <v>34</v>
      </c>
      <c r="U88" t="s">
        <v>80</v>
      </c>
      <c r="V88">
        <v>45</v>
      </c>
      <c r="W88">
        <v>82</v>
      </c>
      <c r="X88">
        <v>120</v>
      </c>
      <c r="Y88">
        <v>70</v>
      </c>
      <c r="Z88">
        <v>175</v>
      </c>
      <c r="AA88">
        <v>107</v>
      </c>
      <c r="AB88" t="s">
        <v>1069</v>
      </c>
      <c r="AC88" t="s">
        <v>228</v>
      </c>
      <c r="AD88" t="s">
        <v>210</v>
      </c>
      <c r="AE88" t="s">
        <v>183</v>
      </c>
      <c r="AF88">
        <v>2</v>
      </c>
    </row>
    <row r="89" spans="1:32">
      <c r="A89">
        <v>113</v>
      </c>
      <c r="B89">
        <v>996</v>
      </c>
      <c r="C89" t="s">
        <v>2232</v>
      </c>
      <c r="D89" t="s">
        <v>169</v>
      </c>
      <c r="E89" t="s">
        <v>2165</v>
      </c>
      <c r="F89" t="s">
        <v>197</v>
      </c>
      <c r="G89" t="s">
        <v>390</v>
      </c>
      <c r="H89" t="s">
        <v>192</v>
      </c>
      <c r="I89" t="s">
        <v>192</v>
      </c>
      <c r="J89" t="s">
        <v>212</v>
      </c>
      <c r="K89" t="s">
        <v>2233</v>
      </c>
      <c r="L89" s="84">
        <v>42632</v>
      </c>
      <c r="M89" t="s">
        <v>381</v>
      </c>
      <c r="N89" t="s">
        <v>266</v>
      </c>
      <c r="O89">
        <v>3</v>
      </c>
      <c r="P89" t="s">
        <v>2234</v>
      </c>
      <c r="Q89" t="s">
        <v>2235</v>
      </c>
      <c r="R89" t="s">
        <v>2236</v>
      </c>
      <c r="S89" t="s">
        <v>2237</v>
      </c>
      <c r="T89" t="s">
        <v>38</v>
      </c>
      <c r="U89" t="s">
        <v>80</v>
      </c>
      <c r="V89">
        <v>45</v>
      </c>
      <c r="W89">
        <v>82</v>
      </c>
      <c r="X89">
        <v>120</v>
      </c>
      <c r="Y89">
        <v>70</v>
      </c>
      <c r="Z89">
        <v>175</v>
      </c>
      <c r="AA89">
        <v>107</v>
      </c>
      <c r="AB89" t="s">
        <v>1069</v>
      </c>
      <c r="AC89" t="s">
        <v>228</v>
      </c>
      <c r="AD89" t="s">
        <v>210</v>
      </c>
      <c r="AE89" t="s">
        <v>183</v>
      </c>
      <c r="AF89">
        <v>2</v>
      </c>
    </row>
    <row r="90" spans="1:32">
      <c r="A90">
        <v>113</v>
      </c>
      <c r="B90">
        <v>996</v>
      </c>
      <c r="C90" t="s">
        <v>2232</v>
      </c>
      <c r="D90" t="s">
        <v>169</v>
      </c>
      <c r="E90" t="s">
        <v>2165</v>
      </c>
      <c r="F90" t="s">
        <v>193</v>
      </c>
      <c r="G90" t="s">
        <v>388</v>
      </c>
      <c r="H90" t="s">
        <v>192</v>
      </c>
      <c r="I90" t="s">
        <v>212</v>
      </c>
      <c r="J90" t="s">
        <v>192</v>
      </c>
      <c r="K90" t="s">
        <v>2233</v>
      </c>
      <c r="L90" s="84">
        <v>42632</v>
      </c>
      <c r="M90" t="s">
        <v>381</v>
      </c>
      <c r="N90" t="s">
        <v>266</v>
      </c>
      <c r="O90">
        <v>3</v>
      </c>
      <c r="P90" t="s">
        <v>2234</v>
      </c>
      <c r="Q90" t="s">
        <v>2235</v>
      </c>
      <c r="R90" t="s">
        <v>2236</v>
      </c>
      <c r="S90" t="s">
        <v>2237</v>
      </c>
      <c r="T90" t="s">
        <v>36</v>
      </c>
      <c r="U90" t="s">
        <v>80</v>
      </c>
      <c r="V90">
        <v>45</v>
      </c>
      <c r="W90">
        <v>82</v>
      </c>
      <c r="X90">
        <v>120</v>
      </c>
      <c r="Y90">
        <v>70</v>
      </c>
      <c r="Z90">
        <v>175</v>
      </c>
      <c r="AA90">
        <v>107</v>
      </c>
      <c r="AB90" t="s">
        <v>1069</v>
      </c>
      <c r="AC90" t="s">
        <v>228</v>
      </c>
      <c r="AD90" t="s">
        <v>210</v>
      </c>
      <c r="AE90" t="s">
        <v>183</v>
      </c>
      <c r="AF90">
        <v>2</v>
      </c>
    </row>
    <row r="91" spans="1:32">
      <c r="A91">
        <v>113</v>
      </c>
      <c r="B91">
        <v>996</v>
      </c>
      <c r="C91" t="s">
        <v>2232</v>
      </c>
      <c r="D91" t="s">
        <v>169</v>
      </c>
      <c r="E91" t="s">
        <v>2165</v>
      </c>
      <c r="F91" t="s">
        <v>37</v>
      </c>
      <c r="G91" t="s">
        <v>389</v>
      </c>
      <c r="H91" t="s">
        <v>192</v>
      </c>
      <c r="I91" t="s">
        <v>188</v>
      </c>
      <c r="J91" t="s">
        <v>192</v>
      </c>
      <c r="K91" t="s">
        <v>2233</v>
      </c>
      <c r="L91" s="84">
        <v>42632</v>
      </c>
      <c r="M91" t="s">
        <v>381</v>
      </c>
      <c r="N91" t="s">
        <v>266</v>
      </c>
      <c r="O91">
        <v>3</v>
      </c>
      <c r="P91" t="s">
        <v>2234</v>
      </c>
      <c r="Q91" t="s">
        <v>2235</v>
      </c>
      <c r="R91" t="s">
        <v>2236</v>
      </c>
      <c r="S91" t="s">
        <v>2237</v>
      </c>
      <c r="T91" t="s">
        <v>37</v>
      </c>
      <c r="U91" t="s">
        <v>80</v>
      </c>
      <c r="V91">
        <v>45</v>
      </c>
      <c r="W91">
        <v>82</v>
      </c>
      <c r="X91">
        <v>120</v>
      </c>
      <c r="Y91">
        <v>70</v>
      </c>
      <c r="Z91">
        <v>175</v>
      </c>
      <c r="AA91">
        <v>107</v>
      </c>
      <c r="AB91" t="s">
        <v>1069</v>
      </c>
      <c r="AC91" t="s">
        <v>228</v>
      </c>
      <c r="AD91" t="s">
        <v>210</v>
      </c>
      <c r="AE91" t="s">
        <v>183</v>
      </c>
      <c r="AF91">
        <v>2</v>
      </c>
    </row>
    <row r="92" spans="1:32">
      <c r="A92">
        <v>113</v>
      </c>
      <c r="B92">
        <v>996</v>
      </c>
      <c r="C92" t="s">
        <v>2232</v>
      </c>
      <c r="D92" t="s">
        <v>169</v>
      </c>
      <c r="E92" t="s">
        <v>2165</v>
      </c>
      <c r="F92" t="s">
        <v>5</v>
      </c>
      <c r="G92" t="s">
        <v>2814</v>
      </c>
      <c r="H92" t="s">
        <v>173</v>
      </c>
      <c r="I92" t="s">
        <v>188</v>
      </c>
      <c r="J92" t="s">
        <v>415</v>
      </c>
      <c r="K92" t="s">
        <v>2233</v>
      </c>
      <c r="L92" s="84">
        <v>42632</v>
      </c>
      <c r="M92" t="s">
        <v>381</v>
      </c>
      <c r="N92" t="s">
        <v>266</v>
      </c>
      <c r="O92">
        <v>3</v>
      </c>
      <c r="P92" t="s">
        <v>2234</v>
      </c>
      <c r="Q92" t="s">
        <v>2235</v>
      </c>
      <c r="R92" t="s">
        <v>2236</v>
      </c>
      <c r="S92" t="s">
        <v>2237</v>
      </c>
      <c r="T92" t="s">
        <v>33</v>
      </c>
      <c r="U92" t="s">
        <v>80</v>
      </c>
      <c r="V92">
        <v>45</v>
      </c>
      <c r="W92">
        <v>82</v>
      </c>
      <c r="X92">
        <v>120</v>
      </c>
      <c r="Y92">
        <v>70</v>
      </c>
      <c r="Z92">
        <v>175</v>
      </c>
      <c r="AA92">
        <v>107</v>
      </c>
      <c r="AB92" t="s">
        <v>1069</v>
      </c>
      <c r="AC92" t="s">
        <v>228</v>
      </c>
      <c r="AD92" t="s">
        <v>210</v>
      </c>
      <c r="AE92" t="s">
        <v>183</v>
      </c>
      <c r="AF92">
        <v>2</v>
      </c>
    </row>
    <row r="93" spans="1:32">
      <c r="A93">
        <v>114</v>
      </c>
      <c r="B93">
        <v>1167</v>
      </c>
      <c r="C93" t="s">
        <v>2238</v>
      </c>
      <c r="D93" t="s">
        <v>169</v>
      </c>
      <c r="E93" t="s">
        <v>2165</v>
      </c>
      <c r="F93" t="s">
        <v>5</v>
      </c>
      <c r="G93" t="s">
        <v>2815</v>
      </c>
      <c r="H93" t="s">
        <v>215</v>
      </c>
      <c r="I93" t="s">
        <v>297</v>
      </c>
      <c r="J93" t="s">
        <v>259</v>
      </c>
      <c r="K93" t="s">
        <v>2239</v>
      </c>
      <c r="L93" s="84">
        <v>43450</v>
      </c>
      <c r="M93" t="s">
        <v>381</v>
      </c>
      <c r="N93" t="s">
        <v>2240</v>
      </c>
      <c r="O93">
        <v>9</v>
      </c>
      <c r="P93" t="s">
        <v>2241</v>
      </c>
      <c r="Q93" t="s">
        <v>2242</v>
      </c>
      <c r="R93" t="s">
        <v>2243</v>
      </c>
      <c r="S93" t="s">
        <v>2244</v>
      </c>
      <c r="T93" t="s">
        <v>33</v>
      </c>
      <c r="U93" t="s">
        <v>85</v>
      </c>
      <c r="V93">
        <v>59</v>
      </c>
      <c r="W93">
        <v>82</v>
      </c>
      <c r="X93">
        <v>120</v>
      </c>
      <c r="Y93">
        <v>95</v>
      </c>
      <c r="Z93">
        <v>175</v>
      </c>
      <c r="AA93">
        <v>146</v>
      </c>
      <c r="AB93" t="s">
        <v>271</v>
      </c>
      <c r="AC93" t="s">
        <v>212</v>
      </c>
      <c r="AD93" t="s">
        <v>210</v>
      </c>
      <c r="AE93" t="s">
        <v>183</v>
      </c>
      <c r="AF93">
        <v>0</v>
      </c>
    </row>
    <row r="94" spans="1:32">
      <c r="A94">
        <v>114</v>
      </c>
      <c r="B94">
        <v>1167</v>
      </c>
      <c r="C94" t="s">
        <v>2238</v>
      </c>
      <c r="D94" t="s">
        <v>169</v>
      </c>
      <c r="E94" t="s">
        <v>2165</v>
      </c>
      <c r="F94" t="s">
        <v>37</v>
      </c>
      <c r="G94" t="s">
        <v>399</v>
      </c>
      <c r="H94" t="s">
        <v>192</v>
      </c>
      <c r="I94" t="s">
        <v>192</v>
      </c>
      <c r="J94" t="s">
        <v>212</v>
      </c>
      <c r="K94" t="s">
        <v>2239</v>
      </c>
      <c r="L94" s="84">
        <v>43450</v>
      </c>
      <c r="M94" t="s">
        <v>381</v>
      </c>
      <c r="N94" t="s">
        <v>2240</v>
      </c>
      <c r="O94">
        <v>9</v>
      </c>
      <c r="P94" t="s">
        <v>2241</v>
      </c>
      <c r="Q94" t="s">
        <v>2242</v>
      </c>
      <c r="R94" t="s">
        <v>2243</v>
      </c>
      <c r="S94" t="s">
        <v>2244</v>
      </c>
      <c r="T94" t="s">
        <v>37</v>
      </c>
      <c r="U94" t="s">
        <v>85</v>
      </c>
      <c r="V94">
        <v>59</v>
      </c>
      <c r="W94">
        <v>82</v>
      </c>
      <c r="X94">
        <v>120</v>
      </c>
      <c r="Y94">
        <v>95</v>
      </c>
      <c r="Z94">
        <v>175</v>
      </c>
      <c r="AA94">
        <v>146</v>
      </c>
      <c r="AB94" t="s">
        <v>271</v>
      </c>
      <c r="AC94" t="s">
        <v>212</v>
      </c>
      <c r="AD94" t="s">
        <v>210</v>
      </c>
      <c r="AE94" t="s">
        <v>183</v>
      </c>
      <c r="AF94">
        <v>0</v>
      </c>
    </row>
    <row r="95" spans="1:32">
      <c r="A95">
        <v>114</v>
      </c>
      <c r="B95">
        <v>1167</v>
      </c>
      <c r="C95" t="s">
        <v>2238</v>
      </c>
      <c r="D95" t="s">
        <v>169</v>
      </c>
      <c r="E95" t="s">
        <v>2165</v>
      </c>
      <c r="F95" t="s">
        <v>193</v>
      </c>
      <c r="G95" t="s">
        <v>400</v>
      </c>
      <c r="H95" t="s">
        <v>192</v>
      </c>
      <c r="I95" t="s">
        <v>188</v>
      </c>
      <c r="J95" t="s">
        <v>212</v>
      </c>
      <c r="K95" t="s">
        <v>2239</v>
      </c>
      <c r="L95" s="84">
        <v>43450</v>
      </c>
      <c r="M95" t="s">
        <v>381</v>
      </c>
      <c r="N95" t="s">
        <v>2240</v>
      </c>
      <c r="O95">
        <v>9</v>
      </c>
      <c r="P95" t="s">
        <v>2241</v>
      </c>
      <c r="Q95" t="s">
        <v>2242</v>
      </c>
      <c r="R95" t="s">
        <v>2243</v>
      </c>
      <c r="S95" t="s">
        <v>2244</v>
      </c>
      <c r="T95" t="s">
        <v>36</v>
      </c>
      <c r="U95" t="s">
        <v>85</v>
      </c>
      <c r="V95">
        <v>59</v>
      </c>
      <c r="W95">
        <v>82</v>
      </c>
      <c r="X95">
        <v>120</v>
      </c>
      <c r="Y95">
        <v>95</v>
      </c>
      <c r="Z95">
        <v>175</v>
      </c>
      <c r="AA95">
        <v>146</v>
      </c>
      <c r="AB95" t="s">
        <v>271</v>
      </c>
      <c r="AC95" t="s">
        <v>212</v>
      </c>
      <c r="AD95" t="s">
        <v>210</v>
      </c>
      <c r="AE95" t="s">
        <v>183</v>
      </c>
      <c r="AF95">
        <v>0</v>
      </c>
    </row>
    <row r="96" spans="1:32">
      <c r="A96">
        <v>114</v>
      </c>
      <c r="B96">
        <v>1167</v>
      </c>
      <c r="C96" t="s">
        <v>2238</v>
      </c>
      <c r="D96" t="s">
        <v>169</v>
      </c>
      <c r="E96" t="s">
        <v>2165</v>
      </c>
      <c r="F96" t="s">
        <v>197</v>
      </c>
      <c r="G96" t="s">
        <v>392</v>
      </c>
      <c r="H96" t="s">
        <v>192</v>
      </c>
      <c r="I96" t="s">
        <v>188</v>
      </c>
      <c r="J96" t="s">
        <v>192</v>
      </c>
      <c r="K96" t="s">
        <v>2239</v>
      </c>
      <c r="L96" s="84">
        <v>43450</v>
      </c>
      <c r="M96" t="s">
        <v>381</v>
      </c>
      <c r="N96" t="s">
        <v>2240</v>
      </c>
      <c r="O96">
        <v>9</v>
      </c>
      <c r="P96" t="s">
        <v>2241</v>
      </c>
      <c r="Q96" t="s">
        <v>2242</v>
      </c>
      <c r="R96" t="s">
        <v>2243</v>
      </c>
      <c r="S96" t="s">
        <v>2244</v>
      </c>
      <c r="T96" t="s">
        <v>38</v>
      </c>
      <c r="U96" t="s">
        <v>85</v>
      </c>
      <c r="V96">
        <v>59</v>
      </c>
      <c r="W96">
        <v>82</v>
      </c>
      <c r="X96">
        <v>120</v>
      </c>
      <c r="Y96">
        <v>95</v>
      </c>
      <c r="Z96">
        <v>175</v>
      </c>
      <c r="AA96">
        <v>146</v>
      </c>
      <c r="AB96" t="s">
        <v>271</v>
      </c>
      <c r="AC96" t="s">
        <v>212</v>
      </c>
      <c r="AD96" t="s">
        <v>210</v>
      </c>
      <c r="AE96" t="s">
        <v>183</v>
      </c>
      <c r="AF96">
        <v>0</v>
      </c>
    </row>
    <row r="97" spans="1:32">
      <c r="A97">
        <v>114</v>
      </c>
      <c r="B97">
        <v>1167</v>
      </c>
      <c r="C97" t="s">
        <v>2238</v>
      </c>
      <c r="D97" t="s">
        <v>169</v>
      </c>
      <c r="E97" t="s">
        <v>2165</v>
      </c>
      <c r="F97" t="s">
        <v>6</v>
      </c>
      <c r="G97" t="s">
        <v>401</v>
      </c>
      <c r="H97" t="s">
        <v>171</v>
      </c>
      <c r="I97" t="s">
        <v>226</v>
      </c>
      <c r="J97" t="s">
        <v>191</v>
      </c>
      <c r="K97" t="s">
        <v>2239</v>
      </c>
      <c r="L97" s="84">
        <v>43450</v>
      </c>
      <c r="M97" t="s">
        <v>381</v>
      </c>
      <c r="N97" t="s">
        <v>2240</v>
      </c>
      <c r="O97">
        <v>9</v>
      </c>
      <c r="P97" t="s">
        <v>2241</v>
      </c>
      <c r="Q97" t="s">
        <v>2242</v>
      </c>
      <c r="R97" t="s">
        <v>2243</v>
      </c>
      <c r="S97" t="s">
        <v>2244</v>
      </c>
      <c r="T97" t="s">
        <v>34</v>
      </c>
      <c r="U97" t="s">
        <v>85</v>
      </c>
      <c r="V97">
        <v>59</v>
      </c>
      <c r="W97">
        <v>82</v>
      </c>
      <c r="X97">
        <v>120</v>
      </c>
      <c r="Y97">
        <v>95</v>
      </c>
      <c r="Z97">
        <v>175</v>
      </c>
      <c r="AA97">
        <v>146</v>
      </c>
      <c r="AB97" t="s">
        <v>271</v>
      </c>
      <c r="AC97" t="s">
        <v>212</v>
      </c>
      <c r="AD97" t="s">
        <v>210</v>
      </c>
      <c r="AE97" t="s">
        <v>183</v>
      </c>
      <c r="AF97">
        <v>0</v>
      </c>
    </row>
    <row r="98" spans="1:32">
      <c r="A98">
        <v>114</v>
      </c>
      <c r="B98">
        <v>1167</v>
      </c>
      <c r="C98" t="s">
        <v>2238</v>
      </c>
      <c r="D98" t="s">
        <v>169</v>
      </c>
      <c r="E98" t="s">
        <v>2165</v>
      </c>
      <c r="F98" t="s">
        <v>7</v>
      </c>
      <c r="G98" t="s">
        <v>404</v>
      </c>
      <c r="H98" t="s">
        <v>223</v>
      </c>
      <c r="I98" t="s">
        <v>188</v>
      </c>
      <c r="J98" t="s">
        <v>191</v>
      </c>
      <c r="K98" t="s">
        <v>2239</v>
      </c>
      <c r="L98" s="84">
        <v>43450</v>
      </c>
      <c r="M98" t="s">
        <v>381</v>
      </c>
      <c r="N98" t="s">
        <v>2240</v>
      </c>
      <c r="O98">
        <v>9</v>
      </c>
      <c r="P98" t="s">
        <v>2241</v>
      </c>
      <c r="Q98" t="s">
        <v>2242</v>
      </c>
      <c r="R98" t="s">
        <v>2243</v>
      </c>
      <c r="S98" t="s">
        <v>2244</v>
      </c>
      <c r="T98" t="s">
        <v>32</v>
      </c>
      <c r="U98" t="s">
        <v>85</v>
      </c>
      <c r="V98">
        <v>59</v>
      </c>
      <c r="W98">
        <v>82</v>
      </c>
      <c r="X98">
        <v>120</v>
      </c>
      <c r="Y98">
        <v>95</v>
      </c>
      <c r="Z98">
        <v>175</v>
      </c>
      <c r="AA98">
        <v>146</v>
      </c>
      <c r="AB98" t="s">
        <v>271</v>
      </c>
      <c r="AC98" t="s">
        <v>212</v>
      </c>
      <c r="AD98" t="s">
        <v>210</v>
      </c>
      <c r="AE98" t="s">
        <v>183</v>
      </c>
      <c r="AF98">
        <v>0</v>
      </c>
    </row>
    <row r="99" spans="1:32">
      <c r="A99">
        <v>114</v>
      </c>
      <c r="B99">
        <v>1167</v>
      </c>
      <c r="C99" t="s">
        <v>2238</v>
      </c>
      <c r="D99" t="s">
        <v>169</v>
      </c>
      <c r="E99" t="s">
        <v>2165</v>
      </c>
      <c r="F99" t="s">
        <v>8</v>
      </c>
      <c r="G99" t="s">
        <v>402</v>
      </c>
      <c r="H99" t="s">
        <v>237</v>
      </c>
      <c r="I99" t="s">
        <v>237</v>
      </c>
      <c r="J99" t="s">
        <v>238</v>
      </c>
      <c r="K99" t="s">
        <v>2239</v>
      </c>
      <c r="L99" s="84">
        <v>43450</v>
      </c>
      <c r="M99" t="s">
        <v>381</v>
      </c>
      <c r="N99" t="s">
        <v>2240</v>
      </c>
      <c r="O99">
        <v>9</v>
      </c>
      <c r="P99" t="s">
        <v>2241</v>
      </c>
      <c r="Q99" t="s">
        <v>2242</v>
      </c>
      <c r="R99" t="s">
        <v>2243</v>
      </c>
      <c r="S99" t="s">
        <v>2244</v>
      </c>
      <c r="T99" t="s">
        <v>31</v>
      </c>
      <c r="U99" t="s">
        <v>85</v>
      </c>
      <c r="V99">
        <v>59</v>
      </c>
      <c r="W99">
        <v>82</v>
      </c>
      <c r="X99">
        <v>120</v>
      </c>
      <c r="Y99">
        <v>95</v>
      </c>
      <c r="Z99">
        <v>175</v>
      </c>
      <c r="AA99">
        <v>146</v>
      </c>
      <c r="AB99" t="s">
        <v>271</v>
      </c>
      <c r="AC99" t="s">
        <v>212</v>
      </c>
      <c r="AD99" t="s">
        <v>210</v>
      </c>
      <c r="AE99" t="s">
        <v>183</v>
      </c>
      <c r="AF99">
        <v>0</v>
      </c>
    </row>
    <row r="100" spans="1:32">
      <c r="A100">
        <v>115</v>
      </c>
      <c r="B100">
        <v>895</v>
      </c>
      <c r="C100" t="s">
        <v>2245</v>
      </c>
      <c r="D100" t="s">
        <v>169</v>
      </c>
      <c r="E100" t="s">
        <v>2165</v>
      </c>
      <c r="F100" t="s">
        <v>8</v>
      </c>
      <c r="G100" t="s">
        <v>414</v>
      </c>
      <c r="H100" t="s">
        <v>181</v>
      </c>
      <c r="I100" t="s">
        <v>256</v>
      </c>
      <c r="J100" t="s">
        <v>274</v>
      </c>
      <c r="K100" t="s">
        <v>2246</v>
      </c>
      <c r="L100" s="84">
        <v>42972</v>
      </c>
      <c r="M100" t="s">
        <v>381</v>
      </c>
      <c r="N100" t="s">
        <v>980</v>
      </c>
      <c r="O100">
        <v>3</v>
      </c>
      <c r="P100" t="s">
        <v>2247</v>
      </c>
      <c r="Q100" t="s">
        <v>2248</v>
      </c>
      <c r="R100" t="s">
        <v>2249</v>
      </c>
      <c r="S100" t="s">
        <v>2250</v>
      </c>
      <c r="T100" t="s">
        <v>31</v>
      </c>
      <c r="U100" t="s">
        <v>80</v>
      </c>
      <c r="V100">
        <v>61</v>
      </c>
      <c r="W100">
        <v>82</v>
      </c>
      <c r="X100">
        <v>120</v>
      </c>
      <c r="Y100">
        <v>93</v>
      </c>
      <c r="Z100">
        <v>175</v>
      </c>
      <c r="AA100">
        <v>138</v>
      </c>
      <c r="AB100" t="s">
        <v>327</v>
      </c>
      <c r="AC100" t="s">
        <v>243</v>
      </c>
      <c r="AD100" t="s">
        <v>210</v>
      </c>
      <c r="AE100" t="s">
        <v>183</v>
      </c>
      <c r="AF100">
        <v>0</v>
      </c>
    </row>
    <row r="101" spans="1:32">
      <c r="A101">
        <v>115</v>
      </c>
      <c r="B101">
        <v>895</v>
      </c>
      <c r="C101" t="s">
        <v>2245</v>
      </c>
      <c r="D101" t="s">
        <v>169</v>
      </c>
      <c r="E101" t="s">
        <v>2165</v>
      </c>
      <c r="F101" t="s">
        <v>7</v>
      </c>
      <c r="G101" t="s">
        <v>406</v>
      </c>
      <c r="H101" t="s">
        <v>188</v>
      </c>
      <c r="I101" t="s">
        <v>226</v>
      </c>
      <c r="J101" t="s">
        <v>171</v>
      </c>
      <c r="K101" t="s">
        <v>2246</v>
      </c>
      <c r="L101" s="84">
        <v>42972</v>
      </c>
      <c r="M101" t="s">
        <v>381</v>
      </c>
      <c r="N101" t="s">
        <v>980</v>
      </c>
      <c r="O101">
        <v>3</v>
      </c>
      <c r="P101" t="s">
        <v>2247</v>
      </c>
      <c r="Q101" t="s">
        <v>2248</v>
      </c>
      <c r="R101" t="s">
        <v>2249</v>
      </c>
      <c r="S101" t="s">
        <v>2250</v>
      </c>
      <c r="T101" t="s">
        <v>32</v>
      </c>
      <c r="U101" t="s">
        <v>80</v>
      </c>
      <c r="V101">
        <v>61</v>
      </c>
      <c r="W101">
        <v>82</v>
      </c>
      <c r="X101">
        <v>120</v>
      </c>
      <c r="Y101">
        <v>93</v>
      </c>
      <c r="Z101">
        <v>175</v>
      </c>
      <c r="AA101">
        <v>138</v>
      </c>
      <c r="AB101" t="s">
        <v>327</v>
      </c>
      <c r="AC101" t="s">
        <v>243</v>
      </c>
      <c r="AD101" t="s">
        <v>210</v>
      </c>
      <c r="AE101" t="s">
        <v>183</v>
      </c>
      <c r="AF101">
        <v>0</v>
      </c>
    </row>
    <row r="102" spans="1:32">
      <c r="A102">
        <v>115</v>
      </c>
      <c r="B102">
        <v>895</v>
      </c>
      <c r="C102" t="s">
        <v>2245</v>
      </c>
      <c r="D102" t="s">
        <v>169</v>
      </c>
      <c r="E102" t="s">
        <v>2165</v>
      </c>
      <c r="F102" t="s">
        <v>6</v>
      </c>
      <c r="G102" t="s">
        <v>416</v>
      </c>
      <c r="H102" t="s">
        <v>188</v>
      </c>
      <c r="I102" t="s">
        <v>236</v>
      </c>
      <c r="J102" t="s">
        <v>216</v>
      </c>
      <c r="K102" t="s">
        <v>2246</v>
      </c>
      <c r="L102" s="84">
        <v>42972</v>
      </c>
      <c r="M102" t="s">
        <v>381</v>
      </c>
      <c r="N102" t="s">
        <v>980</v>
      </c>
      <c r="O102">
        <v>3</v>
      </c>
      <c r="P102" t="s">
        <v>2247</v>
      </c>
      <c r="Q102" t="s">
        <v>2248</v>
      </c>
      <c r="R102" t="s">
        <v>2249</v>
      </c>
      <c r="S102" t="s">
        <v>2250</v>
      </c>
      <c r="T102" t="s">
        <v>34</v>
      </c>
      <c r="U102" t="s">
        <v>80</v>
      </c>
      <c r="V102">
        <v>61</v>
      </c>
      <c r="W102">
        <v>82</v>
      </c>
      <c r="X102">
        <v>120</v>
      </c>
      <c r="Y102">
        <v>93</v>
      </c>
      <c r="Z102">
        <v>175</v>
      </c>
      <c r="AA102">
        <v>138</v>
      </c>
      <c r="AB102" t="s">
        <v>327</v>
      </c>
      <c r="AC102" t="s">
        <v>243</v>
      </c>
      <c r="AD102" t="s">
        <v>210</v>
      </c>
      <c r="AE102" t="s">
        <v>183</v>
      </c>
      <c r="AF102">
        <v>0</v>
      </c>
    </row>
    <row r="103" spans="1:32">
      <c r="A103">
        <v>115</v>
      </c>
      <c r="B103">
        <v>895</v>
      </c>
      <c r="C103" t="s">
        <v>2245</v>
      </c>
      <c r="D103" t="s">
        <v>169</v>
      </c>
      <c r="E103" t="s">
        <v>2165</v>
      </c>
      <c r="F103" t="s">
        <v>197</v>
      </c>
      <c r="G103" t="s">
        <v>420</v>
      </c>
      <c r="H103" t="s">
        <v>192</v>
      </c>
      <c r="I103" t="s">
        <v>188</v>
      </c>
      <c r="J103" t="s">
        <v>192</v>
      </c>
      <c r="K103" t="s">
        <v>2246</v>
      </c>
      <c r="L103" s="84">
        <v>42972</v>
      </c>
      <c r="M103" t="s">
        <v>381</v>
      </c>
      <c r="N103" t="s">
        <v>980</v>
      </c>
      <c r="O103">
        <v>3</v>
      </c>
      <c r="P103" t="s">
        <v>2247</v>
      </c>
      <c r="Q103" t="s">
        <v>2248</v>
      </c>
      <c r="R103" t="s">
        <v>2249</v>
      </c>
      <c r="S103" t="s">
        <v>2250</v>
      </c>
      <c r="T103" t="s">
        <v>38</v>
      </c>
      <c r="U103" t="s">
        <v>80</v>
      </c>
      <c r="V103">
        <v>61</v>
      </c>
      <c r="W103">
        <v>82</v>
      </c>
      <c r="X103">
        <v>120</v>
      </c>
      <c r="Y103">
        <v>93</v>
      </c>
      <c r="Z103">
        <v>175</v>
      </c>
      <c r="AA103">
        <v>138</v>
      </c>
      <c r="AB103" t="s">
        <v>327</v>
      </c>
      <c r="AC103" t="s">
        <v>243</v>
      </c>
      <c r="AD103" t="s">
        <v>210</v>
      </c>
      <c r="AE103" t="s">
        <v>183</v>
      </c>
      <c r="AF103">
        <v>0</v>
      </c>
    </row>
    <row r="104" spans="1:32">
      <c r="A104">
        <v>115</v>
      </c>
      <c r="B104">
        <v>895</v>
      </c>
      <c r="C104" t="s">
        <v>2245</v>
      </c>
      <c r="D104" t="s">
        <v>169</v>
      </c>
      <c r="E104" t="s">
        <v>2165</v>
      </c>
      <c r="F104" t="s">
        <v>193</v>
      </c>
      <c r="G104" t="s">
        <v>418</v>
      </c>
      <c r="H104" t="s">
        <v>192</v>
      </c>
      <c r="I104" t="s">
        <v>212</v>
      </c>
      <c r="J104" t="s">
        <v>192</v>
      </c>
      <c r="K104" t="s">
        <v>2246</v>
      </c>
      <c r="L104" s="84">
        <v>42972</v>
      </c>
      <c r="M104" t="s">
        <v>381</v>
      </c>
      <c r="N104" t="s">
        <v>980</v>
      </c>
      <c r="O104">
        <v>3</v>
      </c>
      <c r="P104" t="s">
        <v>2247</v>
      </c>
      <c r="Q104" t="s">
        <v>2248</v>
      </c>
      <c r="R104" t="s">
        <v>2249</v>
      </c>
      <c r="S104" t="s">
        <v>2250</v>
      </c>
      <c r="T104" t="s">
        <v>36</v>
      </c>
      <c r="U104" t="s">
        <v>80</v>
      </c>
      <c r="V104">
        <v>61</v>
      </c>
      <c r="W104">
        <v>82</v>
      </c>
      <c r="X104">
        <v>120</v>
      </c>
      <c r="Y104">
        <v>93</v>
      </c>
      <c r="Z104">
        <v>175</v>
      </c>
      <c r="AA104">
        <v>138</v>
      </c>
      <c r="AB104" t="s">
        <v>327</v>
      </c>
      <c r="AC104" t="s">
        <v>243</v>
      </c>
      <c r="AD104" t="s">
        <v>210</v>
      </c>
      <c r="AE104" t="s">
        <v>183</v>
      </c>
      <c r="AF104">
        <v>0</v>
      </c>
    </row>
    <row r="105" spans="1:32">
      <c r="A105">
        <v>115</v>
      </c>
      <c r="B105">
        <v>895</v>
      </c>
      <c r="C105" t="s">
        <v>2245</v>
      </c>
      <c r="D105" t="s">
        <v>169</v>
      </c>
      <c r="E105" t="s">
        <v>2165</v>
      </c>
      <c r="F105" t="s">
        <v>37</v>
      </c>
      <c r="G105" t="s">
        <v>419</v>
      </c>
      <c r="H105" t="s">
        <v>192</v>
      </c>
      <c r="I105" t="s">
        <v>181</v>
      </c>
      <c r="J105" t="s">
        <v>192</v>
      </c>
      <c r="K105" t="s">
        <v>2246</v>
      </c>
      <c r="L105" s="84">
        <v>42972</v>
      </c>
      <c r="M105" t="s">
        <v>381</v>
      </c>
      <c r="N105" t="s">
        <v>980</v>
      </c>
      <c r="O105">
        <v>3</v>
      </c>
      <c r="P105" t="s">
        <v>2247</v>
      </c>
      <c r="Q105" t="s">
        <v>2248</v>
      </c>
      <c r="R105" t="s">
        <v>2249</v>
      </c>
      <c r="S105" t="s">
        <v>2250</v>
      </c>
      <c r="T105" t="s">
        <v>37</v>
      </c>
      <c r="U105" t="s">
        <v>80</v>
      </c>
      <c r="V105">
        <v>61</v>
      </c>
      <c r="W105">
        <v>82</v>
      </c>
      <c r="X105">
        <v>120</v>
      </c>
      <c r="Y105">
        <v>93</v>
      </c>
      <c r="Z105">
        <v>175</v>
      </c>
      <c r="AA105">
        <v>138</v>
      </c>
      <c r="AB105" t="s">
        <v>327</v>
      </c>
      <c r="AC105" t="s">
        <v>243</v>
      </c>
      <c r="AD105" t="s">
        <v>210</v>
      </c>
      <c r="AE105" t="s">
        <v>183</v>
      </c>
      <c r="AF105">
        <v>0</v>
      </c>
    </row>
    <row r="106" spans="1:32">
      <c r="A106">
        <v>115</v>
      </c>
      <c r="B106">
        <v>895</v>
      </c>
      <c r="C106" t="s">
        <v>2245</v>
      </c>
      <c r="D106" t="s">
        <v>169</v>
      </c>
      <c r="E106" t="s">
        <v>2165</v>
      </c>
      <c r="F106" t="s">
        <v>5</v>
      </c>
      <c r="G106" t="s">
        <v>2816</v>
      </c>
      <c r="H106" t="s">
        <v>256</v>
      </c>
      <c r="I106" t="s">
        <v>275</v>
      </c>
      <c r="J106" t="s">
        <v>275</v>
      </c>
      <c r="K106" t="s">
        <v>2246</v>
      </c>
      <c r="L106" s="84">
        <v>42972</v>
      </c>
      <c r="M106" t="s">
        <v>381</v>
      </c>
      <c r="N106" t="s">
        <v>980</v>
      </c>
      <c r="O106">
        <v>3</v>
      </c>
      <c r="P106" t="s">
        <v>2247</v>
      </c>
      <c r="Q106" t="s">
        <v>2248</v>
      </c>
      <c r="R106" t="s">
        <v>2249</v>
      </c>
      <c r="S106" t="s">
        <v>2250</v>
      </c>
      <c r="T106" t="s">
        <v>33</v>
      </c>
      <c r="U106" t="s">
        <v>80</v>
      </c>
      <c r="V106">
        <v>61</v>
      </c>
      <c r="W106">
        <v>82</v>
      </c>
      <c r="X106">
        <v>120</v>
      </c>
      <c r="Y106">
        <v>93</v>
      </c>
      <c r="Z106">
        <v>175</v>
      </c>
      <c r="AA106">
        <v>138</v>
      </c>
      <c r="AB106" t="s">
        <v>327</v>
      </c>
      <c r="AC106" t="s">
        <v>243</v>
      </c>
      <c r="AD106" t="s">
        <v>210</v>
      </c>
      <c r="AE106" t="s">
        <v>183</v>
      </c>
      <c r="AF106">
        <v>0</v>
      </c>
    </row>
    <row r="107" spans="1:32">
      <c r="A107">
        <v>116</v>
      </c>
      <c r="B107">
        <v>929</v>
      </c>
      <c r="C107" t="s">
        <v>2251</v>
      </c>
      <c r="D107" t="s">
        <v>169</v>
      </c>
      <c r="E107" t="s">
        <v>2165</v>
      </c>
      <c r="F107" t="s">
        <v>5</v>
      </c>
      <c r="G107" t="s">
        <v>2817</v>
      </c>
      <c r="H107" t="s">
        <v>216</v>
      </c>
      <c r="I107" t="s">
        <v>189</v>
      </c>
      <c r="J107" t="s">
        <v>189</v>
      </c>
      <c r="K107" t="s">
        <v>2252</v>
      </c>
      <c r="L107" s="84">
        <v>43365</v>
      </c>
      <c r="M107" t="s">
        <v>381</v>
      </c>
      <c r="N107" t="s">
        <v>2253</v>
      </c>
      <c r="O107">
        <v>3</v>
      </c>
      <c r="P107" t="s">
        <v>2254</v>
      </c>
      <c r="Q107" t="s">
        <v>2255</v>
      </c>
      <c r="R107" t="s">
        <v>2256</v>
      </c>
      <c r="S107" t="s">
        <v>2257</v>
      </c>
      <c r="T107" t="s">
        <v>33</v>
      </c>
      <c r="U107" t="s">
        <v>80</v>
      </c>
      <c r="V107">
        <v>64</v>
      </c>
      <c r="W107">
        <v>82</v>
      </c>
      <c r="X107">
        <v>120</v>
      </c>
      <c r="Y107">
        <v>99</v>
      </c>
      <c r="Z107">
        <v>175</v>
      </c>
      <c r="AA107">
        <v>146</v>
      </c>
      <c r="AB107" t="s">
        <v>520</v>
      </c>
      <c r="AC107" t="s">
        <v>181</v>
      </c>
      <c r="AD107" t="s">
        <v>210</v>
      </c>
      <c r="AE107" t="s">
        <v>183</v>
      </c>
      <c r="AF107">
        <v>0</v>
      </c>
    </row>
    <row r="108" spans="1:32">
      <c r="A108">
        <v>116</v>
      </c>
      <c r="B108">
        <v>929</v>
      </c>
      <c r="C108" t="s">
        <v>2251</v>
      </c>
      <c r="D108" t="s">
        <v>169</v>
      </c>
      <c r="E108" t="s">
        <v>2165</v>
      </c>
      <c r="F108" t="s">
        <v>37</v>
      </c>
      <c r="G108" t="s">
        <v>423</v>
      </c>
      <c r="H108" t="s">
        <v>192</v>
      </c>
      <c r="I108" t="s">
        <v>243</v>
      </c>
      <c r="J108" t="s">
        <v>192</v>
      </c>
      <c r="K108" t="s">
        <v>2252</v>
      </c>
      <c r="L108" s="84">
        <v>43365</v>
      </c>
      <c r="M108" t="s">
        <v>381</v>
      </c>
      <c r="N108" t="s">
        <v>2253</v>
      </c>
      <c r="O108">
        <v>3</v>
      </c>
      <c r="P108" t="s">
        <v>2254</v>
      </c>
      <c r="Q108" t="s">
        <v>2255</v>
      </c>
      <c r="R108" t="s">
        <v>2256</v>
      </c>
      <c r="S108" t="s">
        <v>2257</v>
      </c>
      <c r="T108" t="s">
        <v>37</v>
      </c>
      <c r="U108" t="s">
        <v>80</v>
      </c>
      <c r="V108">
        <v>64</v>
      </c>
      <c r="W108">
        <v>82</v>
      </c>
      <c r="X108">
        <v>120</v>
      </c>
      <c r="Y108">
        <v>99</v>
      </c>
      <c r="Z108">
        <v>175</v>
      </c>
      <c r="AA108">
        <v>146</v>
      </c>
      <c r="AB108" t="s">
        <v>520</v>
      </c>
      <c r="AC108" t="s">
        <v>181</v>
      </c>
      <c r="AD108" t="s">
        <v>210</v>
      </c>
      <c r="AE108" t="s">
        <v>183</v>
      </c>
      <c r="AF108">
        <v>0</v>
      </c>
    </row>
    <row r="109" spans="1:32">
      <c r="A109">
        <v>116</v>
      </c>
      <c r="B109">
        <v>929</v>
      </c>
      <c r="C109" t="s">
        <v>2251</v>
      </c>
      <c r="D109" t="s">
        <v>169</v>
      </c>
      <c r="E109" t="s">
        <v>2165</v>
      </c>
      <c r="F109" t="s">
        <v>193</v>
      </c>
      <c r="G109" t="s">
        <v>424</v>
      </c>
      <c r="H109" t="s">
        <v>192</v>
      </c>
      <c r="I109" t="s">
        <v>192</v>
      </c>
      <c r="J109" t="s">
        <v>192</v>
      </c>
      <c r="K109" t="s">
        <v>2252</v>
      </c>
      <c r="L109" s="84">
        <v>43365</v>
      </c>
      <c r="M109" t="s">
        <v>381</v>
      </c>
      <c r="N109" t="s">
        <v>2253</v>
      </c>
      <c r="O109">
        <v>3</v>
      </c>
      <c r="P109" t="s">
        <v>2254</v>
      </c>
      <c r="Q109" t="s">
        <v>2255</v>
      </c>
      <c r="R109" t="s">
        <v>2256</v>
      </c>
      <c r="S109" t="s">
        <v>2257</v>
      </c>
      <c r="T109" t="s">
        <v>36</v>
      </c>
      <c r="U109" t="s">
        <v>80</v>
      </c>
      <c r="V109">
        <v>64</v>
      </c>
      <c r="W109">
        <v>82</v>
      </c>
      <c r="X109">
        <v>120</v>
      </c>
      <c r="Y109">
        <v>99</v>
      </c>
      <c r="Z109">
        <v>175</v>
      </c>
      <c r="AA109">
        <v>146</v>
      </c>
      <c r="AB109" t="s">
        <v>520</v>
      </c>
      <c r="AC109" t="s">
        <v>181</v>
      </c>
      <c r="AD109" t="s">
        <v>210</v>
      </c>
      <c r="AE109" t="s">
        <v>183</v>
      </c>
      <c r="AF109">
        <v>0</v>
      </c>
    </row>
    <row r="110" spans="1:32">
      <c r="A110">
        <v>116</v>
      </c>
      <c r="B110">
        <v>929</v>
      </c>
      <c r="C110" t="s">
        <v>2251</v>
      </c>
      <c r="D110" t="s">
        <v>169</v>
      </c>
      <c r="E110" t="s">
        <v>2165</v>
      </c>
      <c r="F110" t="s">
        <v>197</v>
      </c>
      <c r="G110" t="s">
        <v>422</v>
      </c>
      <c r="H110" t="s">
        <v>192</v>
      </c>
      <c r="I110" t="s">
        <v>212</v>
      </c>
      <c r="J110" t="s">
        <v>223</v>
      </c>
      <c r="K110" t="s">
        <v>2252</v>
      </c>
      <c r="L110" s="84">
        <v>43365</v>
      </c>
      <c r="M110" t="s">
        <v>381</v>
      </c>
      <c r="N110" t="s">
        <v>2253</v>
      </c>
      <c r="O110">
        <v>3</v>
      </c>
      <c r="P110" t="s">
        <v>2254</v>
      </c>
      <c r="Q110" t="s">
        <v>2255</v>
      </c>
      <c r="R110" t="s">
        <v>2256</v>
      </c>
      <c r="S110" t="s">
        <v>2257</v>
      </c>
      <c r="T110" t="s">
        <v>38</v>
      </c>
      <c r="U110" t="s">
        <v>80</v>
      </c>
      <c r="V110">
        <v>64</v>
      </c>
      <c r="W110">
        <v>82</v>
      </c>
      <c r="X110">
        <v>120</v>
      </c>
      <c r="Y110">
        <v>99</v>
      </c>
      <c r="Z110">
        <v>175</v>
      </c>
      <c r="AA110">
        <v>146</v>
      </c>
      <c r="AB110" t="s">
        <v>520</v>
      </c>
      <c r="AC110" t="s">
        <v>181</v>
      </c>
      <c r="AD110" t="s">
        <v>210</v>
      </c>
      <c r="AE110" t="s">
        <v>183</v>
      </c>
      <c r="AF110">
        <v>0</v>
      </c>
    </row>
    <row r="111" spans="1:32">
      <c r="A111">
        <v>116</v>
      </c>
      <c r="B111">
        <v>929</v>
      </c>
      <c r="C111" t="s">
        <v>2251</v>
      </c>
      <c r="D111" t="s">
        <v>169</v>
      </c>
      <c r="E111" t="s">
        <v>2165</v>
      </c>
      <c r="F111" t="s">
        <v>6</v>
      </c>
      <c r="G111" t="s">
        <v>425</v>
      </c>
      <c r="H111" t="s">
        <v>237</v>
      </c>
      <c r="I111" t="s">
        <v>221</v>
      </c>
      <c r="J111" t="s">
        <v>171</v>
      </c>
      <c r="K111" t="s">
        <v>2252</v>
      </c>
      <c r="L111" s="84">
        <v>43365</v>
      </c>
      <c r="M111" t="s">
        <v>381</v>
      </c>
      <c r="N111" t="s">
        <v>2253</v>
      </c>
      <c r="O111">
        <v>3</v>
      </c>
      <c r="P111" t="s">
        <v>2254</v>
      </c>
      <c r="Q111" t="s">
        <v>2255</v>
      </c>
      <c r="R111" t="s">
        <v>2256</v>
      </c>
      <c r="S111" t="s">
        <v>2257</v>
      </c>
      <c r="T111" t="s">
        <v>34</v>
      </c>
      <c r="U111" t="s">
        <v>80</v>
      </c>
      <c r="V111">
        <v>64</v>
      </c>
      <c r="W111">
        <v>82</v>
      </c>
      <c r="X111">
        <v>120</v>
      </c>
      <c r="Y111">
        <v>99</v>
      </c>
      <c r="Z111">
        <v>175</v>
      </c>
      <c r="AA111">
        <v>146</v>
      </c>
      <c r="AB111" t="s">
        <v>520</v>
      </c>
      <c r="AC111" t="s">
        <v>181</v>
      </c>
      <c r="AD111" t="s">
        <v>210</v>
      </c>
      <c r="AE111" t="s">
        <v>183</v>
      </c>
      <c r="AF111">
        <v>0</v>
      </c>
    </row>
    <row r="112" spans="1:32">
      <c r="A112">
        <v>116</v>
      </c>
      <c r="B112">
        <v>929</v>
      </c>
      <c r="C112" t="s">
        <v>2251</v>
      </c>
      <c r="D112" t="s">
        <v>169</v>
      </c>
      <c r="E112" t="s">
        <v>2165</v>
      </c>
      <c r="F112" t="s">
        <v>7</v>
      </c>
      <c r="G112" t="s">
        <v>427</v>
      </c>
      <c r="H112" t="s">
        <v>237</v>
      </c>
      <c r="I112" t="s">
        <v>181</v>
      </c>
      <c r="J112" t="s">
        <v>188</v>
      </c>
      <c r="K112" t="s">
        <v>2252</v>
      </c>
      <c r="L112" s="84">
        <v>43365</v>
      </c>
      <c r="M112" t="s">
        <v>381</v>
      </c>
      <c r="N112" t="s">
        <v>2253</v>
      </c>
      <c r="O112">
        <v>3</v>
      </c>
      <c r="P112" t="s">
        <v>2254</v>
      </c>
      <c r="Q112" t="s">
        <v>2255</v>
      </c>
      <c r="R112" t="s">
        <v>2256</v>
      </c>
      <c r="S112" t="s">
        <v>2257</v>
      </c>
      <c r="T112" t="s">
        <v>32</v>
      </c>
      <c r="U112" t="s">
        <v>80</v>
      </c>
      <c r="V112">
        <v>64</v>
      </c>
      <c r="W112">
        <v>82</v>
      </c>
      <c r="X112">
        <v>120</v>
      </c>
      <c r="Y112">
        <v>99</v>
      </c>
      <c r="Z112">
        <v>175</v>
      </c>
      <c r="AA112">
        <v>146</v>
      </c>
      <c r="AB112" t="s">
        <v>520</v>
      </c>
      <c r="AC112" t="s">
        <v>181</v>
      </c>
      <c r="AD112" t="s">
        <v>210</v>
      </c>
      <c r="AE112" t="s">
        <v>183</v>
      </c>
      <c r="AF112">
        <v>0</v>
      </c>
    </row>
    <row r="113" spans="1:32">
      <c r="A113">
        <v>116</v>
      </c>
      <c r="B113">
        <v>929</v>
      </c>
      <c r="C113" t="s">
        <v>2251</v>
      </c>
      <c r="D113" t="s">
        <v>169</v>
      </c>
      <c r="E113" t="s">
        <v>2165</v>
      </c>
      <c r="F113" t="s">
        <v>8</v>
      </c>
      <c r="G113" t="s">
        <v>426</v>
      </c>
      <c r="H113" t="s">
        <v>221</v>
      </c>
      <c r="I113" t="s">
        <v>212</v>
      </c>
      <c r="J113" t="s">
        <v>243</v>
      </c>
      <c r="K113" t="s">
        <v>2252</v>
      </c>
      <c r="L113" s="84">
        <v>43365</v>
      </c>
      <c r="M113" t="s">
        <v>381</v>
      </c>
      <c r="N113" t="s">
        <v>2253</v>
      </c>
      <c r="O113">
        <v>3</v>
      </c>
      <c r="P113" t="s">
        <v>2254</v>
      </c>
      <c r="Q113" t="s">
        <v>2255</v>
      </c>
      <c r="R113" t="s">
        <v>2256</v>
      </c>
      <c r="S113" t="s">
        <v>2257</v>
      </c>
      <c r="T113" t="s">
        <v>31</v>
      </c>
      <c r="U113" t="s">
        <v>80</v>
      </c>
      <c r="V113">
        <v>64</v>
      </c>
      <c r="W113">
        <v>82</v>
      </c>
      <c r="X113">
        <v>120</v>
      </c>
      <c r="Y113">
        <v>99</v>
      </c>
      <c r="Z113">
        <v>175</v>
      </c>
      <c r="AA113">
        <v>146</v>
      </c>
      <c r="AB113" t="s">
        <v>520</v>
      </c>
      <c r="AC113" t="s">
        <v>181</v>
      </c>
      <c r="AD113" t="s">
        <v>210</v>
      </c>
      <c r="AE113" t="s">
        <v>183</v>
      </c>
      <c r="AF113">
        <v>0</v>
      </c>
    </row>
    <row r="114" spans="1:32">
      <c r="A114">
        <v>117</v>
      </c>
      <c r="B114">
        <v>898</v>
      </c>
      <c r="C114" t="s">
        <v>2258</v>
      </c>
      <c r="D114" t="s">
        <v>169</v>
      </c>
      <c r="E114" t="s">
        <v>2165</v>
      </c>
      <c r="F114" t="s">
        <v>8</v>
      </c>
      <c r="G114" t="s">
        <v>435</v>
      </c>
      <c r="H114" t="s">
        <v>189</v>
      </c>
      <c r="I114" t="s">
        <v>236</v>
      </c>
      <c r="J114" t="s">
        <v>259</v>
      </c>
      <c r="K114" t="s">
        <v>2259</v>
      </c>
      <c r="L114" s="84">
        <v>43370</v>
      </c>
      <c r="M114" t="s">
        <v>381</v>
      </c>
      <c r="N114" t="s">
        <v>1113</v>
      </c>
      <c r="O114">
        <v>3</v>
      </c>
      <c r="P114" t="s">
        <v>2260</v>
      </c>
      <c r="Q114" t="s">
        <v>2261</v>
      </c>
      <c r="R114" t="s">
        <v>2262</v>
      </c>
      <c r="S114" t="s">
        <v>2263</v>
      </c>
      <c r="T114" t="s">
        <v>31</v>
      </c>
      <c r="U114" t="s">
        <v>80</v>
      </c>
      <c r="V114">
        <v>71</v>
      </c>
      <c r="W114">
        <v>82</v>
      </c>
      <c r="X114">
        <v>120</v>
      </c>
      <c r="Y114">
        <v>106</v>
      </c>
      <c r="Z114">
        <v>175</v>
      </c>
      <c r="AA114">
        <v>155</v>
      </c>
      <c r="AB114" t="s">
        <v>670</v>
      </c>
      <c r="AC114" t="s">
        <v>188</v>
      </c>
      <c r="AD114" t="s">
        <v>210</v>
      </c>
      <c r="AE114" t="s">
        <v>183</v>
      </c>
      <c r="AF114">
        <v>0</v>
      </c>
    </row>
    <row r="115" spans="1:32">
      <c r="A115">
        <v>117</v>
      </c>
      <c r="B115">
        <v>898</v>
      </c>
      <c r="C115" t="s">
        <v>2258</v>
      </c>
      <c r="D115" t="s">
        <v>169</v>
      </c>
      <c r="E115" t="s">
        <v>2165</v>
      </c>
      <c r="F115" t="s">
        <v>7</v>
      </c>
      <c r="G115" t="s">
        <v>429</v>
      </c>
      <c r="H115" t="s">
        <v>260</v>
      </c>
      <c r="I115" t="s">
        <v>185</v>
      </c>
      <c r="J115" t="s">
        <v>297</v>
      </c>
      <c r="K115" t="s">
        <v>2259</v>
      </c>
      <c r="L115" s="84">
        <v>43370</v>
      </c>
      <c r="M115" t="s">
        <v>381</v>
      </c>
      <c r="N115" t="s">
        <v>1113</v>
      </c>
      <c r="O115">
        <v>3</v>
      </c>
      <c r="P115" t="s">
        <v>2260</v>
      </c>
      <c r="Q115" t="s">
        <v>2261</v>
      </c>
      <c r="R115" t="s">
        <v>2262</v>
      </c>
      <c r="S115" t="s">
        <v>2263</v>
      </c>
      <c r="T115" t="s">
        <v>32</v>
      </c>
      <c r="U115" t="s">
        <v>80</v>
      </c>
      <c r="V115">
        <v>71</v>
      </c>
      <c r="W115">
        <v>82</v>
      </c>
      <c r="X115">
        <v>120</v>
      </c>
      <c r="Y115">
        <v>106</v>
      </c>
      <c r="Z115">
        <v>175</v>
      </c>
      <c r="AA115">
        <v>155</v>
      </c>
      <c r="AB115" t="s">
        <v>670</v>
      </c>
      <c r="AC115" t="s">
        <v>188</v>
      </c>
      <c r="AD115" t="s">
        <v>210</v>
      </c>
      <c r="AE115" t="s">
        <v>183</v>
      </c>
      <c r="AF115">
        <v>0</v>
      </c>
    </row>
    <row r="116" spans="1:32">
      <c r="A116">
        <v>117</v>
      </c>
      <c r="B116">
        <v>898</v>
      </c>
      <c r="C116" t="s">
        <v>2258</v>
      </c>
      <c r="D116" t="s">
        <v>169</v>
      </c>
      <c r="E116" t="s">
        <v>2165</v>
      </c>
      <c r="F116" t="s">
        <v>6</v>
      </c>
      <c r="G116" t="s">
        <v>437</v>
      </c>
      <c r="H116" t="s">
        <v>185</v>
      </c>
      <c r="I116" t="s">
        <v>305</v>
      </c>
      <c r="J116" t="s">
        <v>297</v>
      </c>
      <c r="K116" t="s">
        <v>2259</v>
      </c>
      <c r="L116" s="84">
        <v>43370</v>
      </c>
      <c r="M116" t="s">
        <v>381</v>
      </c>
      <c r="N116" t="s">
        <v>1113</v>
      </c>
      <c r="O116">
        <v>3</v>
      </c>
      <c r="P116" t="s">
        <v>2260</v>
      </c>
      <c r="Q116" t="s">
        <v>2261</v>
      </c>
      <c r="R116" t="s">
        <v>2262</v>
      </c>
      <c r="S116" t="s">
        <v>2263</v>
      </c>
      <c r="T116" t="s">
        <v>34</v>
      </c>
      <c r="U116" t="s">
        <v>80</v>
      </c>
      <c r="V116">
        <v>71</v>
      </c>
      <c r="W116">
        <v>82</v>
      </c>
      <c r="X116">
        <v>120</v>
      </c>
      <c r="Y116">
        <v>106</v>
      </c>
      <c r="Z116">
        <v>175</v>
      </c>
      <c r="AA116">
        <v>155</v>
      </c>
      <c r="AB116" t="s">
        <v>670</v>
      </c>
      <c r="AC116" t="s">
        <v>188</v>
      </c>
      <c r="AD116" t="s">
        <v>210</v>
      </c>
      <c r="AE116" t="s">
        <v>183</v>
      </c>
      <c r="AF116">
        <v>0</v>
      </c>
    </row>
    <row r="117" spans="1:32">
      <c r="A117">
        <v>117</v>
      </c>
      <c r="B117">
        <v>898</v>
      </c>
      <c r="C117" t="s">
        <v>2258</v>
      </c>
      <c r="D117" t="s">
        <v>169</v>
      </c>
      <c r="E117" t="s">
        <v>2165</v>
      </c>
      <c r="F117" t="s">
        <v>197</v>
      </c>
      <c r="G117" t="s">
        <v>440</v>
      </c>
      <c r="H117" t="s">
        <v>192</v>
      </c>
      <c r="I117" t="s">
        <v>192</v>
      </c>
      <c r="J117" t="s">
        <v>212</v>
      </c>
      <c r="K117" t="s">
        <v>2259</v>
      </c>
      <c r="L117" s="84">
        <v>43370</v>
      </c>
      <c r="M117" t="s">
        <v>381</v>
      </c>
      <c r="N117" t="s">
        <v>1113</v>
      </c>
      <c r="O117">
        <v>3</v>
      </c>
      <c r="P117" t="s">
        <v>2260</v>
      </c>
      <c r="Q117" t="s">
        <v>2261</v>
      </c>
      <c r="R117" t="s">
        <v>2262</v>
      </c>
      <c r="S117" t="s">
        <v>2263</v>
      </c>
      <c r="T117" t="s">
        <v>38</v>
      </c>
      <c r="U117" t="s">
        <v>80</v>
      </c>
      <c r="V117">
        <v>71</v>
      </c>
      <c r="W117">
        <v>82</v>
      </c>
      <c r="X117">
        <v>120</v>
      </c>
      <c r="Y117">
        <v>106</v>
      </c>
      <c r="Z117">
        <v>175</v>
      </c>
      <c r="AA117">
        <v>155</v>
      </c>
      <c r="AB117" t="s">
        <v>670</v>
      </c>
      <c r="AC117" t="s">
        <v>188</v>
      </c>
      <c r="AD117" t="s">
        <v>210</v>
      </c>
      <c r="AE117" t="s">
        <v>183</v>
      </c>
      <c r="AF117">
        <v>0</v>
      </c>
    </row>
    <row r="118" spans="1:32">
      <c r="A118">
        <v>117</v>
      </c>
      <c r="B118">
        <v>898</v>
      </c>
      <c r="C118" t="s">
        <v>2258</v>
      </c>
      <c r="D118" t="s">
        <v>169</v>
      </c>
      <c r="E118" t="s">
        <v>2165</v>
      </c>
      <c r="F118" t="s">
        <v>193</v>
      </c>
      <c r="G118" t="s">
        <v>438</v>
      </c>
      <c r="H118" t="s">
        <v>192</v>
      </c>
      <c r="I118" t="s">
        <v>212</v>
      </c>
      <c r="J118" t="s">
        <v>192</v>
      </c>
      <c r="K118" t="s">
        <v>2259</v>
      </c>
      <c r="L118" s="84">
        <v>43370</v>
      </c>
      <c r="M118" t="s">
        <v>381</v>
      </c>
      <c r="N118" t="s">
        <v>1113</v>
      </c>
      <c r="O118">
        <v>3</v>
      </c>
      <c r="P118" t="s">
        <v>2260</v>
      </c>
      <c r="Q118" t="s">
        <v>2261</v>
      </c>
      <c r="R118" t="s">
        <v>2262</v>
      </c>
      <c r="S118" t="s">
        <v>2263</v>
      </c>
      <c r="T118" t="s">
        <v>36</v>
      </c>
      <c r="U118" t="s">
        <v>80</v>
      </c>
      <c r="V118">
        <v>71</v>
      </c>
      <c r="W118">
        <v>82</v>
      </c>
      <c r="X118">
        <v>120</v>
      </c>
      <c r="Y118">
        <v>106</v>
      </c>
      <c r="Z118">
        <v>175</v>
      </c>
      <c r="AA118">
        <v>155</v>
      </c>
      <c r="AB118" t="s">
        <v>670</v>
      </c>
      <c r="AC118" t="s">
        <v>188</v>
      </c>
      <c r="AD118" t="s">
        <v>210</v>
      </c>
      <c r="AE118" t="s">
        <v>183</v>
      </c>
      <c r="AF118">
        <v>0</v>
      </c>
    </row>
    <row r="119" spans="1:32">
      <c r="A119">
        <v>117</v>
      </c>
      <c r="B119">
        <v>898</v>
      </c>
      <c r="C119" t="s">
        <v>2258</v>
      </c>
      <c r="D119" t="s">
        <v>169</v>
      </c>
      <c r="E119" t="s">
        <v>2165</v>
      </c>
      <c r="F119" t="s">
        <v>37</v>
      </c>
      <c r="G119" t="s">
        <v>439</v>
      </c>
      <c r="H119" t="s">
        <v>192</v>
      </c>
      <c r="I119" t="s">
        <v>181</v>
      </c>
      <c r="J119" t="s">
        <v>212</v>
      </c>
      <c r="K119" t="s">
        <v>2259</v>
      </c>
      <c r="L119" s="84">
        <v>43370</v>
      </c>
      <c r="M119" t="s">
        <v>381</v>
      </c>
      <c r="N119" t="s">
        <v>1113</v>
      </c>
      <c r="O119">
        <v>3</v>
      </c>
      <c r="P119" t="s">
        <v>2260</v>
      </c>
      <c r="Q119" t="s">
        <v>2261</v>
      </c>
      <c r="R119" t="s">
        <v>2262</v>
      </c>
      <c r="S119" t="s">
        <v>2263</v>
      </c>
      <c r="T119" t="s">
        <v>37</v>
      </c>
      <c r="U119" t="s">
        <v>80</v>
      </c>
      <c r="V119">
        <v>71</v>
      </c>
      <c r="W119">
        <v>82</v>
      </c>
      <c r="X119">
        <v>120</v>
      </c>
      <c r="Y119">
        <v>106</v>
      </c>
      <c r="Z119">
        <v>175</v>
      </c>
      <c r="AA119">
        <v>155</v>
      </c>
      <c r="AB119" t="s">
        <v>670</v>
      </c>
      <c r="AC119" t="s">
        <v>188</v>
      </c>
      <c r="AD119" t="s">
        <v>210</v>
      </c>
      <c r="AE119" t="s">
        <v>183</v>
      </c>
      <c r="AF119">
        <v>0</v>
      </c>
    </row>
    <row r="120" spans="1:32">
      <c r="A120">
        <v>117</v>
      </c>
      <c r="B120">
        <v>898</v>
      </c>
      <c r="C120" t="s">
        <v>2258</v>
      </c>
      <c r="D120" t="s">
        <v>169</v>
      </c>
      <c r="E120" t="s">
        <v>2165</v>
      </c>
      <c r="F120" t="s">
        <v>5</v>
      </c>
      <c r="G120" t="s">
        <v>2818</v>
      </c>
      <c r="H120" t="s">
        <v>297</v>
      </c>
      <c r="I120" t="s">
        <v>257</v>
      </c>
      <c r="J120" t="s">
        <v>218</v>
      </c>
      <c r="K120" t="s">
        <v>2259</v>
      </c>
      <c r="L120" s="84">
        <v>43370</v>
      </c>
      <c r="M120" t="s">
        <v>381</v>
      </c>
      <c r="N120" t="s">
        <v>1113</v>
      </c>
      <c r="O120">
        <v>3</v>
      </c>
      <c r="P120" t="s">
        <v>2260</v>
      </c>
      <c r="Q120" t="s">
        <v>2261</v>
      </c>
      <c r="R120" t="s">
        <v>2262</v>
      </c>
      <c r="S120" t="s">
        <v>2263</v>
      </c>
      <c r="T120" t="s">
        <v>33</v>
      </c>
      <c r="U120" t="s">
        <v>80</v>
      </c>
      <c r="V120">
        <v>71</v>
      </c>
      <c r="W120">
        <v>82</v>
      </c>
      <c r="X120">
        <v>120</v>
      </c>
      <c r="Y120">
        <v>106</v>
      </c>
      <c r="Z120">
        <v>175</v>
      </c>
      <c r="AA120">
        <v>155</v>
      </c>
      <c r="AB120" t="s">
        <v>670</v>
      </c>
      <c r="AC120" t="s">
        <v>188</v>
      </c>
      <c r="AD120" t="s">
        <v>210</v>
      </c>
      <c r="AE120" t="s">
        <v>183</v>
      </c>
      <c r="AF120">
        <v>0</v>
      </c>
    </row>
    <row r="121" spans="1:32">
      <c r="A121">
        <v>118</v>
      </c>
      <c r="B121">
        <v>931</v>
      </c>
      <c r="C121" t="s">
        <v>2264</v>
      </c>
      <c r="D121" t="s">
        <v>169</v>
      </c>
      <c r="E121" t="s">
        <v>2165</v>
      </c>
      <c r="F121" t="s">
        <v>5</v>
      </c>
      <c r="G121" t="s">
        <v>2819</v>
      </c>
      <c r="H121" t="s">
        <v>228</v>
      </c>
      <c r="I121" t="s">
        <v>243</v>
      </c>
      <c r="J121" t="s">
        <v>218</v>
      </c>
      <c r="K121" t="s">
        <v>2265</v>
      </c>
      <c r="L121" s="84">
        <v>42934</v>
      </c>
      <c r="M121" t="s">
        <v>381</v>
      </c>
      <c r="N121" t="s">
        <v>2266</v>
      </c>
      <c r="O121">
        <v>2</v>
      </c>
      <c r="P121" t="s">
        <v>2267</v>
      </c>
      <c r="Q121" t="s">
        <v>2268</v>
      </c>
      <c r="R121" t="s">
        <v>2269</v>
      </c>
      <c r="S121" t="s">
        <v>2270</v>
      </c>
      <c r="T121" t="s">
        <v>33</v>
      </c>
      <c r="U121" t="s">
        <v>79</v>
      </c>
      <c r="V121">
        <v>57</v>
      </c>
      <c r="W121">
        <v>82</v>
      </c>
      <c r="X121">
        <v>120</v>
      </c>
      <c r="Y121">
        <v>86</v>
      </c>
      <c r="Z121">
        <v>175</v>
      </c>
      <c r="AA121">
        <v>135</v>
      </c>
      <c r="AB121" t="s">
        <v>234</v>
      </c>
      <c r="AC121" t="s">
        <v>185</v>
      </c>
      <c r="AD121" t="s">
        <v>182</v>
      </c>
      <c r="AE121" t="s">
        <v>183</v>
      </c>
      <c r="AF121">
        <v>1</v>
      </c>
    </row>
    <row r="122" spans="1:32">
      <c r="A122">
        <v>118</v>
      </c>
      <c r="B122">
        <v>931</v>
      </c>
      <c r="C122" t="s">
        <v>2264</v>
      </c>
      <c r="D122" t="s">
        <v>169</v>
      </c>
      <c r="E122" t="s">
        <v>2165</v>
      </c>
      <c r="F122" t="s">
        <v>37</v>
      </c>
      <c r="G122" t="s">
        <v>448</v>
      </c>
      <c r="H122" t="s">
        <v>192</v>
      </c>
      <c r="I122" t="s">
        <v>181</v>
      </c>
      <c r="J122" t="s">
        <v>212</v>
      </c>
      <c r="K122" t="s">
        <v>2265</v>
      </c>
      <c r="L122" s="84">
        <v>42934</v>
      </c>
      <c r="M122" t="s">
        <v>381</v>
      </c>
      <c r="N122" t="s">
        <v>2266</v>
      </c>
      <c r="O122">
        <v>2</v>
      </c>
      <c r="P122" t="s">
        <v>2267</v>
      </c>
      <c r="Q122" t="s">
        <v>2268</v>
      </c>
      <c r="R122" t="s">
        <v>2269</v>
      </c>
      <c r="S122" t="s">
        <v>2270</v>
      </c>
      <c r="T122" t="s">
        <v>37</v>
      </c>
      <c r="U122" t="s">
        <v>79</v>
      </c>
      <c r="V122">
        <v>57</v>
      </c>
      <c r="W122">
        <v>82</v>
      </c>
      <c r="X122">
        <v>120</v>
      </c>
      <c r="Y122">
        <v>86</v>
      </c>
      <c r="Z122">
        <v>175</v>
      </c>
      <c r="AA122">
        <v>135</v>
      </c>
      <c r="AB122" t="s">
        <v>234</v>
      </c>
      <c r="AC122" t="s">
        <v>185</v>
      </c>
      <c r="AD122" t="s">
        <v>182</v>
      </c>
      <c r="AE122" t="s">
        <v>183</v>
      </c>
      <c r="AF122">
        <v>1</v>
      </c>
    </row>
    <row r="123" spans="1:32">
      <c r="A123">
        <v>118</v>
      </c>
      <c r="B123">
        <v>931</v>
      </c>
      <c r="C123" t="s">
        <v>2264</v>
      </c>
      <c r="D123" t="s">
        <v>169</v>
      </c>
      <c r="E123" t="s">
        <v>2165</v>
      </c>
      <c r="F123" t="s">
        <v>193</v>
      </c>
      <c r="G123" t="s">
        <v>449</v>
      </c>
      <c r="H123" t="s">
        <v>192</v>
      </c>
      <c r="I123" t="s">
        <v>188</v>
      </c>
      <c r="J123" t="s">
        <v>223</v>
      </c>
      <c r="K123" t="s">
        <v>2265</v>
      </c>
      <c r="L123" s="84">
        <v>42934</v>
      </c>
      <c r="M123" t="s">
        <v>381</v>
      </c>
      <c r="N123" t="s">
        <v>2266</v>
      </c>
      <c r="O123">
        <v>2</v>
      </c>
      <c r="P123" t="s">
        <v>2267</v>
      </c>
      <c r="Q123" t="s">
        <v>2268</v>
      </c>
      <c r="R123" t="s">
        <v>2269</v>
      </c>
      <c r="S123" t="s">
        <v>2270</v>
      </c>
      <c r="T123" t="s">
        <v>36</v>
      </c>
      <c r="U123" t="s">
        <v>79</v>
      </c>
      <c r="V123">
        <v>57</v>
      </c>
      <c r="W123">
        <v>82</v>
      </c>
      <c r="X123">
        <v>120</v>
      </c>
      <c r="Y123">
        <v>86</v>
      </c>
      <c r="Z123">
        <v>175</v>
      </c>
      <c r="AA123">
        <v>135</v>
      </c>
      <c r="AB123" t="s">
        <v>234</v>
      </c>
      <c r="AC123" t="s">
        <v>185</v>
      </c>
      <c r="AD123" t="s">
        <v>182</v>
      </c>
      <c r="AE123" t="s">
        <v>183</v>
      </c>
      <c r="AF123">
        <v>1</v>
      </c>
    </row>
    <row r="124" spans="1:32">
      <c r="A124">
        <v>118</v>
      </c>
      <c r="B124">
        <v>931</v>
      </c>
      <c r="C124" t="s">
        <v>2264</v>
      </c>
      <c r="D124" t="s">
        <v>169</v>
      </c>
      <c r="E124" t="s">
        <v>2165</v>
      </c>
      <c r="F124" t="s">
        <v>197</v>
      </c>
      <c r="G124" t="s">
        <v>442</v>
      </c>
      <c r="H124" t="s">
        <v>192</v>
      </c>
      <c r="I124" t="s">
        <v>192</v>
      </c>
      <c r="J124" t="s">
        <v>192</v>
      </c>
      <c r="K124" t="s">
        <v>2265</v>
      </c>
      <c r="L124" s="84">
        <v>42934</v>
      </c>
      <c r="M124" t="s">
        <v>381</v>
      </c>
      <c r="N124" t="s">
        <v>2266</v>
      </c>
      <c r="O124">
        <v>2</v>
      </c>
      <c r="P124" t="s">
        <v>2267</v>
      </c>
      <c r="Q124" t="s">
        <v>2268</v>
      </c>
      <c r="R124" t="s">
        <v>2269</v>
      </c>
      <c r="S124" t="s">
        <v>2270</v>
      </c>
      <c r="T124" t="s">
        <v>38</v>
      </c>
      <c r="U124" t="s">
        <v>79</v>
      </c>
      <c r="V124">
        <v>57</v>
      </c>
      <c r="W124">
        <v>82</v>
      </c>
      <c r="X124">
        <v>120</v>
      </c>
      <c r="Y124">
        <v>86</v>
      </c>
      <c r="Z124">
        <v>175</v>
      </c>
      <c r="AA124">
        <v>135</v>
      </c>
      <c r="AB124" t="s">
        <v>234</v>
      </c>
      <c r="AC124" t="s">
        <v>185</v>
      </c>
      <c r="AD124" t="s">
        <v>182</v>
      </c>
      <c r="AE124" t="s">
        <v>183</v>
      </c>
      <c r="AF124">
        <v>1</v>
      </c>
    </row>
    <row r="125" spans="1:32">
      <c r="A125">
        <v>118</v>
      </c>
      <c r="B125">
        <v>931</v>
      </c>
      <c r="C125" t="s">
        <v>2264</v>
      </c>
      <c r="D125" t="s">
        <v>169</v>
      </c>
      <c r="E125" t="s">
        <v>2165</v>
      </c>
      <c r="F125" t="s">
        <v>6</v>
      </c>
      <c r="G125" t="s">
        <v>450</v>
      </c>
      <c r="H125" t="s">
        <v>2047</v>
      </c>
      <c r="I125" t="s">
        <v>181</v>
      </c>
      <c r="J125" t="s">
        <v>191</v>
      </c>
      <c r="K125" t="s">
        <v>2265</v>
      </c>
      <c r="L125" s="84">
        <v>42934</v>
      </c>
      <c r="M125" t="s">
        <v>381</v>
      </c>
      <c r="N125" t="s">
        <v>2266</v>
      </c>
      <c r="O125">
        <v>2</v>
      </c>
      <c r="P125" t="s">
        <v>2267</v>
      </c>
      <c r="Q125" t="s">
        <v>2268</v>
      </c>
      <c r="R125" t="s">
        <v>2269</v>
      </c>
      <c r="S125" t="s">
        <v>2270</v>
      </c>
      <c r="T125" t="s">
        <v>34</v>
      </c>
      <c r="U125" t="s">
        <v>79</v>
      </c>
      <c r="V125">
        <v>57</v>
      </c>
      <c r="W125">
        <v>82</v>
      </c>
      <c r="X125">
        <v>120</v>
      </c>
      <c r="Y125">
        <v>86</v>
      </c>
      <c r="Z125">
        <v>175</v>
      </c>
      <c r="AA125">
        <v>135</v>
      </c>
      <c r="AB125" t="s">
        <v>234</v>
      </c>
      <c r="AC125" t="s">
        <v>185</v>
      </c>
      <c r="AD125" t="s">
        <v>182</v>
      </c>
      <c r="AE125" t="s">
        <v>2048</v>
      </c>
      <c r="AF125">
        <v>1</v>
      </c>
    </row>
    <row r="126" spans="1:32">
      <c r="A126">
        <v>118</v>
      </c>
      <c r="B126">
        <v>931</v>
      </c>
      <c r="C126" t="s">
        <v>2264</v>
      </c>
      <c r="D126" t="s">
        <v>169</v>
      </c>
      <c r="E126" t="s">
        <v>2165</v>
      </c>
      <c r="F126" t="s">
        <v>7</v>
      </c>
      <c r="G126" t="s">
        <v>452</v>
      </c>
      <c r="H126" t="s">
        <v>173</v>
      </c>
      <c r="I126" t="s">
        <v>436</v>
      </c>
      <c r="J126" t="s">
        <v>256</v>
      </c>
      <c r="K126" t="s">
        <v>2265</v>
      </c>
      <c r="L126" s="84">
        <v>42934</v>
      </c>
      <c r="M126" t="s">
        <v>381</v>
      </c>
      <c r="N126" t="s">
        <v>2266</v>
      </c>
      <c r="O126">
        <v>2</v>
      </c>
      <c r="P126" t="s">
        <v>2267</v>
      </c>
      <c r="Q126" t="s">
        <v>2268</v>
      </c>
      <c r="R126" t="s">
        <v>2269</v>
      </c>
      <c r="S126" t="s">
        <v>2270</v>
      </c>
      <c r="T126" t="s">
        <v>32</v>
      </c>
      <c r="U126" t="s">
        <v>79</v>
      </c>
      <c r="V126">
        <v>57</v>
      </c>
      <c r="W126">
        <v>82</v>
      </c>
      <c r="X126">
        <v>120</v>
      </c>
      <c r="Y126">
        <v>86</v>
      </c>
      <c r="Z126">
        <v>175</v>
      </c>
      <c r="AA126">
        <v>135</v>
      </c>
      <c r="AB126" t="s">
        <v>234</v>
      </c>
      <c r="AC126" t="s">
        <v>185</v>
      </c>
      <c r="AD126" t="s">
        <v>182</v>
      </c>
      <c r="AE126" t="s">
        <v>183</v>
      </c>
      <c r="AF126">
        <v>1</v>
      </c>
    </row>
    <row r="127" spans="1:32">
      <c r="A127">
        <v>118</v>
      </c>
      <c r="B127">
        <v>931</v>
      </c>
      <c r="C127" t="s">
        <v>2264</v>
      </c>
      <c r="D127" t="s">
        <v>169</v>
      </c>
      <c r="E127" t="s">
        <v>2165</v>
      </c>
      <c r="F127" t="s">
        <v>8</v>
      </c>
      <c r="G127" t="s">
        <v>451</v>
      </c>
      <c r="H127" t="s">
        <v>181</v>
      </c>
      <c r="I127" t="s">
        <v>226</v>
      </c>
      <c r="J127" t="s">
        <v>220</v>
      </c>
      <c r="K127" t="s">
        <v>2265</v>
      </c>
      <c r="L127" s="84">
        <v>42934</v>
      </c>
      <c r="M127" t="s">
        <v>381</v>
      </c>
      <c r="N127" t="s">
        <v>2266</v>
      </c>
      <c r="O127">
        <v>2</v>
      </c>
      <c r="P127" t="s">
        <v>2267</v>
      </c>
      <c r="Q127" t="s">
        <v>2268</v>
      </c>
      <c r="R127" t="s">
        <v>2269</v>
      </c>
      <c r="S127" t="s">
        <v>2270</v>
      </c>
      <c r="T127" t="s">
        <v>31</v>
      </c>
      <c r="U127" t="s">
        <v>79</v>
      </c>
      <c r="V127">
        <v>57</v>
      </c>
      <c r="W127">
        <v>82</v>
      </c>
      <c r="X127">
        <v>120</v>
      </c>
      <c r="Y127">
        <v>86</v>
      </c>
      <c r="Z127">
        <v>175</v>
      </c>
      <c r="AA127">
        <v>135</v>
      </c>
      <c r="AB127" t="s">
        <v>234</v>
      </c>
      <c r="AC127" t="s">
        <v>185</v>
      </c>
      <c r="AD127" t="s">
        <v>182</v>
      </c>
      <c r="AE127" t="s">
        <v>183</v>
      </c>
      <c r="AF127">
        <v>1</v>
      </c>
    </row>
    <row r="128" spans="1:32">
      <c r="A128">
        <v>119</v>
      </c>
      <c r="B128">
        <v>932</v>
      </c>
      <c r="C128" t="s">
        <v>2271</v>
      </c>
      <c r="D128" t="s">
        <v>169</v>
      </c>
      <c r="E128" t="s">
        <v>2165</v>
      </c>
      <c r="F128" t="s">
        <v>8</v>
      </c>
      <c r="G128" t="s">
        <v>460</v>
      </c>
      <c r="H128" t="s">
        <v>191</v>
      </c>
      <c r="I128" t="s">
        <v>226</v>
      </c>
      <c r="J128" t="s">
        <v>236</v>
      </c>
      <c r="K128" t="s">
        <v>2272</v>
      </c>
      <c r="L128" s="84">
        <v>43381</v>
      </c>
      <c r="M128" t="s">
        <v>381</v>
      </c>
      <c r="N128" t="s">
        <v>2273</v>
      </c>
      <c r="O128">
        <v>3</v>
      </c>
      <c r="P128" t="s">
        <v>1178</v>
      </c>
      <c r="Q128" t="s">
        <v>1179</v>
      </c>
      <c r="R128" t="s">
        <v>2274</v>
      </c>
      <c r="S128" t="s">
        <v>2275</v>
      </c>
      <c r="T128" t="s">
        <v>31</v>
      </c>
      <c r="U128" t="s">
        <v>80</v>
      </c>
      <c r="V128">
        <v>68</v>
      </c>
      <c r="W128">
        <v>82</v>
      </c>
      <c r="X128">
        <v>120</v>
      </c>
      <c r="Y128">
        <v>100</v>
      </c>
      <c r="Z128">
        <v>175</v>
      </c>
      <c r="AA128">
        <v>153</v>
      </c>
      <c r="AB128" t="s">
        <v>413</v>
      </c>
      <c r="AC128" t="s">
        <v>188</v>
      </c>
      <c r="AD128" t="s">
        <v>210</v>
      </c>
      <c r="AE128" t="s">
        <v>183</v>
      </c>
      <c r="AF128">
        <v>0</v>
      </c>
    </row>
    <row r="129" spans="1:32">
      <c r="A129">
        <v>119</v>
      </c>
      <c r="B129">
        <v>932</v>
      </c>
      <c r="C129" t="s">
        <v>2271</v>
      </c>
      <c r="D129" t="s">
        <v>169</v>
      </c>
      <c r="E129" t="s">
        <v>2165</v>
      </c>
      <c r="F129" t="s">
        <v>7</v>
      </c>
      <c r="G129" t="s">
        <v>454</v>
      </c>
      <c r="H129" t="s">
        <v>236</v>
      </c>
      <c r="I129" t="s">
        <v>256</v>
      </c>
      <c r="J129" t="s">
        <v>218</v>
      </c>
      <c r="K129" t="s">
        <v>2272</v>
      </c>
      <c r="L129" s="84">
        <v>43381</v>
      </c>
      <c r="M129" t="s">
        <v>381</v>
      </c>
      <c r="N129" t="s">
        <v>2273</v>
      </c>
      <c r="O129">
        <v>3</v>
      </c>
      <c r="P129" t="s">
        <v>1178</v>
      </c>
      <c r="Q129" t="s">
        <v>1179</v>
      </c>
      <c r="R129" t="s">
        <v>2274</v>
      </c>
      <c r="S129" t="s">
        <v>2275</v>
      </c>
      <c r="T129" t="s">
        <v>32</v>
      </c>
      <c r="U129" t="s">
        <v>80</v>
      </c>
      <c r="V129">
        <v>68</v>
      </c>
      <c r="W129">
        <v>82</v>
      </c>
      <c r="X129">
        <v>120</v>
      </c>
      <c r="Y129">
        <v>100</v>
      </c>
      <c r="Z129">
        <v>175</v>
      </c>
      <c r="AA129">
        <v>153</v>
      </c>
      <c r="AB129" t="s">
        <v>413</v>
      </c>
      <c r="AC129" t="s">
        <v>188</v>
      </c>
      <c r="AD129" t="s">
        <v>210</v>
      </c>
      <c r="AE129" t="s">
        <v>183</v>
      </c>
      <c r="AF129">
        <v>0</v>
      </c>
    </row>
    <row r="130" spans="1:32">
      <c r="A130">
        <v>119</v>
      </c>
      <c r="B130">
        <v>932</v>
      </c>
      <c r="C130" t="s">
        <v>2271</v>
      </c>
      <c r="D130" t="s">
        <v>169</v>
      </c>
      <c r="E130" t="s">
        <v>2165</v>
      </c>
      <c r="F130" t="s">
        <v>6</v>
      </c>
      <c r="G130" t="s">
        <v>461</v>
      </c>
      <c r="H130" t="s">
        <v>171</v>
      </c>
      <c r="I130" t="s">
        <v>220</v>
      </c>
      <c r="J130" t="s">
        <v>239</v>
      </c>
      <c r="K130" t="s">
        <v>2272</v>
      </c>
      <c r="L130" s="84">
        <v>43381</v>
      </c>
      <c r="M130" t="s">
        <v>381</v>
      </c>
      <c r="N130" t="s">
        <v>2273</v>
      </c>
      <c r="O130">
        <v>3</v>
      </c>
      <c r="P130" t="s">
        <v>1178</v>
      </c>
      <c r="Q130" t="s">
        <v>1179</v>
      </c>
      <c r="R130" t="s">
        <v>2274</v>
      </c>
      <c r="S130" t="s">
        <v>2275</v>
      </c>
      <c r="T130" t="s">
        <v>34</v>
      </c>
      <c r="U130" t="s">
        <v>80</v>
      </c>
      <c r="V130">
        <v>68</v>
      </c>
      <c r="W130">
        <v>82</v>
      </c>
      <c r="X130">
        <v>120</v>
      </c>
      <c r="Y130">
        <v>100</v>
      </c>
      <c r="Z130">
        <v>175</v>
      </c>
      <c r="AA130">
        <v>153</v>
      </c>
      <c r="AB130" t="s">
        <v>413</v>
      </c>
      <c r="AC130" t="s">
        <v>188</v>
      </c>
      <c r="AD130" t="s">
        <v>210</v>
      </c>
      <c r="AE130" t="s">
        <v>183</v>
      </c>
      <c r="AF130">
        <v>0</v>
      </c>
    </row>
    <row r="131" spans="1:32">
      <c r="A131">
        <v>119</v>
      </c>
      <c r="B131">
        <v>932</v>
      </c>
      <c r="C131" t="s">
        <v>2271</v>
      </c>
      <c r="D131" t="s">
        <v>169</v>
      </c>
      <c r="E131" t="s">
        <v>2165</v>
      </c>
      <c r="F131" t="s">
        <v>197</v>
      </c>
      <c r="G131" t="s">
        <v>465</v>
      </c>
      <c r="H131" t="s">
        <v>192</v>
      </c>
      <c r="I131" t="s">
        <v>212</v>
      </c>
      <c r="J131" t="s">
        <v>212</v>
      </c>
      <c r="K131" t="s">
        <v>2272</v>
      </c>
      <c r="L131" s="84">
        <v>43381</v>
      </c>
      <c r="M131" t="s">
        <v>381</v>
      </c>
      <c r="N131" t="s">
        <v>2273</v>
      </c>
      <c r="O131">
        <v>3</v>
      </c>
      <c r="P131" t="s">
        <v>1178</v>
      </c>
      <c r="Q131" t="s">
        <v>1179</v>
      </c>
      <c r="R131" t="s">
        <v>2274</v>
      </c>
      <c r="S131" t="s">
        <v>2275</v>
      </c>
      <c r="T131" t="s">
        <v>38</v>
      </c>
      <c r="U131" t="s">
        <v>80</v>
      </c>
      <c r="V131">
        <v>68</v>
      </c>
      <c r="W131">
        <v>82</v>
      </c>
      <c r="X131">
        <v>120</v>
      </c>
      <c r="Y131">
        <v>100</v>
      </c>
      <c r="Z131">
        <v>175</v>
      </c>
      <c r="AA131">
        <v>153</v>
      </c>
      <c r="AB131" t="s">
        <v>413</v>
      </c>
      <c r="AC131" t="s">
        <v>188</v>
      </c>
      <c r="AD131" t="s">
        <v>210</v>
      </c>
      <c r="AE131" t="s">
        <v>183</v>
      </c>
      <c r="AF131">
        <v>0</v>
      </c>
    </row>
    <row r="132" spans="1:32">
      <c r="A132">
        <v>119</v>
      </c>
      <c r="B132">
        <v>932</v>
      </c>
      <c r="C132" t="s">
        <v>2271</v>
      </c>
      <c r="D132" t="s">
        <v>169</v>
      </c>
      <c r="E132" t="s">
        <v>2165</v>
      </c>
      <c r="F132" t="s">
        <v>193</v>
      </c>
      <c r="G132" t="s">
        <v>463</v>
      </c>
      <c r="H132" t="s">
        <v>192</v>
      </c>
      <c r="I132" t="s">
        <v>212</v>
      </c>
      <c r="J132" t="s">
        <v>192</v>
      </c>
      <c r="K132" t="s">
        <v>2272</v>
      </c>
      <c r="L132" s="84">
        <v>43381</v>
      </c>
      <c r="M132" t="s">
        <v>381</v>
      </c>
      <c r="N132" t="s">
        <v>2273</v>
      </c>
      <c r="O132">
        <v>3</v>
      </c>
      <c r="P132" t="s">
        <v>1178</v>
      </c>
      <c r="Q132" t="s">
        <v>1179</v>
      </c>
      <c r="R132" t="s">
        <v>2274</v>
      </c>
      <c r="S132" t="s">
        <v>2275</v>
      </c>
      <c r="T132" t="s">
        <v>36</v>
      </c>
      <c r="U132" t="s">
        <v>80</v>
      </c>
      <c r="V132">
        <v>68</v>
      </c>
      <c r="W132">
        <v>82</v>
      </c>
      <c r="X132">
        <v>120</v>
      </c>
      <c r="Y132">
        <v>100</v>
      </c>
      <c r="Z132">
        <v>175</v>
      </c>
      <c r="AA132">
        <v>153</v>
      </c>
      <c r="AB132" t="s">
        <v>413</v>
      </c>
      <c r="AC132" t="s">
        <v>188</v>
      </c>
      <c r="AD132" t="s">
        <v>210</v>
      </c>
      <c r="AE132" t="s">
        <v>183</v>
      </c>
      <c r="AF132">
        <v>0</v>
      </c>
    </row>
    <row r="133" spans="1:32">
      <c r="A133">
        <v>119</v>
      </c>
      <c r="B133">
        <v>932</v>
      </c>
      <c r="C133" t="s">
        <v>2271</v>
      </c>
      <c r="D133" t="s">
        <v>169</v>
      </c>
      <c r="E133" t="s">
        <v>2165</v>
      </c>
      <c r="F133" t="s">
        <v>37</v>
      </c>
      <c r="G133" t="s">
        <v>464</v>
      </c>
      <c r="H133" t="s">
        <v>192</v>
      </c>
      <c r="I133" t="s">
        <v>173</v>
      </c>
      <c r="J133" t="s">
        <v>192</v>
      </c>
      <c r="K133" t="s">
        <v>2272</v>
      </c>
      <c r="L133" s="84">
        <v>43381</v>
      </c>
      <c r="M133" t="s">
        <v>381</v>
      </c>
      <c r="N133" t="s">
        <v>2273</v>
      </c>
      <c r="O133">
        <v>3</v>
      </c>
      <c r="P133" t="s">
        <v>1178</v>
      </c>
      <c r="Q133" t="s">
        <v>1179</v>
      </c>
      <c r="R133" t="s">
        <v>2274</v>
      </c>
      <c r="S133" t="s">
        <v>2275</v>
      </c>
      <c r="T133" t="s">
        <v>37</v>
      </c>
      <c r="U133" t="s">
        <v>80</v>
      </c>
      <c r="V133">
        <v>68</v>
      </c>
      <c r="W133">
        <v>82</v>
      </c>
      <c r="X133">
        <v>120</v>
      </c>
      <c r="Y133">
        <v>100</v>
      </c>
      <c r="Z133">
        <v>175</v>
      </c>
      <c r="AA133">
        <v>153</v>
      </c>
      <c r="AB133" t="s">
        <v>413</v>
      </c>
      <c r="AC133" t="s">
        <v>188</v>
      </c>
      <c r="AD133" t="s">
        <v>210</v>
      </c>
      <c r="AE133" t="s">
        <v>183</v>
      </c>
      <c r="AF133">
        <v>0</v>
      </c>
    </row>
    <row r="134" spans="1:32">
      <c r="A134">
        <v>119</v>
      </c>
      <c r="B134">
        <v>932</v>
      </c>
      <c r="C134" t="s">
        <v>2271</v>
      </c>
      <c r="D134" t="s">
        <v>169</v>
      </c>
      <c r="E134" t="s">
        <v>2165</v>
      </c>
      <c r="F134" t="s">
        <v>5</v>
      </c>
      <c r="G134" t="s">
        <v>2820</v>
      </c>
      <c r="H134" t="s">
        <v>216</v>
      </c>
      <c r="I134" t="s">
        <v>257</v>
      </c>
      <c r="J134" t="s">
        <v>217</v>
      </c>
      <c r="K134" t="s">
        <v>2272</v>
      </c>
      <c r="L134" s="84">
        <v>43381</v>
      </c>
      <c r="M134" t="s">
        <v>381</v>
      </c>
      <c r="N134" t="s">
        <v>2273</v>
      </c>
      <c r="O134">
        <v>3</v>
      </c>
      <c r="P134" t="s">
        <v>1178</v>
      </c>
      <c r="Q134" t="s">
        <v>1179</v>
      </c>
      <c r="R134" t="s">
        <v>2274</v>
      </c>
      <c r="S134" t="s">
        <v>2275</v>
      </c>
      <c r="T134" t="s">
        <v>33</v>
      </c>
      <c r="U134" t="s">
        <v>80</v>
      </c>
      <c r="V134">
        <v>68</v>
      </c>
      <c r="W134">
        <v>82</v>
      </c>
      <c r="X134">
        <v>120</v>
      </c>
      <c r="Y134">
        <v>100</v>
      </c>
      <c r="Z134">
        <v>175</v>
      </c>
      <c r="AA134">
        <v>153</v>
      </c>
      <c r="AB134" t="s">
        <v>413</v>
      </c>
      <c r="AC134" t="s">
        <v>188</v>
      </c>
      <c r="AD134" t="s">
        <v>210</v>
      </c>
      <c r="AE134" t="s">
        <v>183</v>
      </c>
      <c r="AF134">
        <v>0</v>
      </c>
    </row>
    <row r="135" spans="1:32">
      <c r="A135">
        <v>120</v>
      </c>
      <c r="B135">
        <v>901</v>
      </c>
      <c r="C135" t="s">
        <v>2276</v>
      </c>
      <c r="D135" t="s">
        <v>169</v>
      </c>
      <c r="E135" t="s">
        <v>2165</v>
      </c>
      <c r="F135" t="s">
        <v>5</v>
      </c>
      <c r="G135" t="s">
        <v>2821</v>
      </c>
      <c r="H135" t="s">
        <v>305</v>
      </c>
      <c r="I135" t="s">
        <v>217</v>
      </c>
      <c r="J135" t="s">
        <v>305</v>
      </c>
      <c r="K135" t="s">
        <v>2277</v>
      </c>
      <c r="L135" s="84">
        <v>43109</v>
      </c>
      <c r="M135" t="s">
        <v>381</v>
      </c>
      <c r="N135" t="s">
        <v>705</v>
      </c>
      <c r="O135">
        <v>1</v>
      </c>
      <c r="P135" t="s">
        <v>2278</v>
      </c>
      <c r="Q135" t="s">
        <v>2279</v>
      </c>
      <c r="R135" t="s">
        <v>2280</v>
      </c>
      <c r="S135" t="s">
        <v>2281</v>
      </c>
      <c r="T135" t="s">
        <v>33</v>
      </c>
      <c r="U135" t="s">
        <v>78</v>
      </c>
      <c r="V135">
        <v>78</v>
      </c>
      <c r="W135">
        <v>82</v>
      </c>
      <c r="X135">
        <v>120</v>
      </c>
      <c r="Y135">
        <v>115</v>
      </c>
      <c r="Z135">
        <v>175</v>
      </c>
      <c r="AA135">
        <v>169</v>
      </c>
      <c r="AB135" t="s">
        <v>303</v>
      </c>
      <c r="AC135" t="s">
        <v>228</v>
      </c>
      <c r="AD135" t="s">
        <v>182</v>
      </c>
      <c r="AE135" t="s">
        <v>183</v>
      </c>
      <c r="AF135">
        <v>0</v>
      </c>
    </row>
    <row r="136" spans="1:32">
      <c r="A136">
        <v>120</v>
      </c>
      <c r="B136">
        <v>901</v>
      </c>
      <c r="C136" t="s">
        <v>2276</v>
      </c>
      <c r="D136" t="s">
        <v>169</v>
      </c>
      <c r="E136" t="s">
        <v>2165</v>
      </c>
      <c r="F136" t="s">
        <v>37</v>
      </c>
      <c r="G136" t="s">
        <v>467</v>
      </c>
      <c r="H136" t="s">
        <v>192</v>
      </c>
      <c r="I136" t="s">
        <v>173</v>
      </c>
      <c r="J136" t="s">
        <v>212</v>
      </c>
      <c r="K136" t="s">
        <v>2277</v>
      </c>
      <c r="L136" s="84">
        <v>43109</v>
      </c>
      <c r="M136" t="s">
        <v>381</v>
      </c>
      <c r="N136" t="s">
        <v>705</v>
      </c>
      <c r="O136">
        <v>1</v>
      </c>
      <c r="P136" t="s">
        <v>2278</v>
      </c>
      <c r="Q136" t="s">
        <v>2279</v>
      </c>
      <c r="R136" t="s">
        <v>2280</v>
      </c>
      <c r="S136" t="s">
        <v>2281</v>
      </c>
      <c r="T136" t="s">
        <v>37</v>
      </c>
      <c r="U136" t="s">
        <v>78</v>
      </c>
      <c r="V136">
        <v>78</v>
      </c>
      <c r="W136">
        <v>82</v>
      </c>
      <c r="X136">
        <v>120</v>
      </c>
      <c r="Y136">
        <v>115</v>
      </c>
      <c r="Z136">
        <v>175</v>
      </c>
      <c r="AA136">
        <v>169</v>
      </c>
      <c r="AB136" t="s">
        <v>303</v>
      </c>
      <c r="AC136" t="s">
        <v>228</v>
      </c>
      <c r="AD136" t="s">
        <v>182</v>
      </c>
      <c r="AE136" t="s">
        <v>183</v>
      </c>
      <c r="AF136">
        <v>0</v>
      </c>
    </row>
    <row r="137" spans="1:32">
      <c r="A137">
        <v>120</v>
      </c>
      <c r="B137">
        <v>901</v>
      </c>
      <c r="C137" t="s">
        <v>2276</v>
      </c>
      <c r="D137" t="s">
        <v>169</v>
      </c>
      <c r="E137" t="s">
        <v>2165</v>
      </c>
      <c r="F137" t="s">
        <v>193</v>
      </c>
      <c r="G137" t="s">
        <v>468</v>
      </c>
      <c r="H137" t="s">
        <v>192</v>
      </c>
      <c r="I137" t="s">
        <v>188</v>
      </c>
      <c r="J137" t="s">
        <v>192</v>
      </c>
      <c r="K137" t="s">
        <v>2277</v>
      </c>
      <c r="L137" s="84">
        <v>43109</v>
      </c>
      <c r="M137" t="s">
        <v>381</v>
      </c>
      <c r="N137" t="s">
        <v>705</v>
      </c>
      <c r="O137">
        <v>1</v>
      </c>
      <c r="P137" t="s">
        <v>2278</v>
      </c>
      <c r="Q137" t="s">
        <v>2279</v>
      </c>
      <c r="R137" t="s">
        <v>2280</v>
      </c>
      <c r="S137" t="s">
        <v>2281</v>
      </c>
      <c r="T137" t="s">
        <v>36</v>
      </c>
      <c r="U137" t="s">
        <v>78</v>
      </c>
      <c r="V137">
        <v>78</v>
      </c>
      <c r="W137">
        <v>82</v>
      </c>
      <c r="X137">
        <v>120</v>
      </c>
      <c r="Y137">
        <v>115</v>
      </c>
      <c r="Z137">
        <v>175</v>
      </c>
      <c r="AA137">
        <v>169</v>
      </c>
      <c r="AB137" t="s">
        <v>303</v>
      </c>
      <c r="AC137" t="s">
        <v>228</v>
      </c>
      <c r="AD137" t="s">
        <v>182</v>
      </c>
      <c r="AE137" t="s">
        <v>183</v>
      </c>
      <c r="AF137">
        <v>0</v>
      </c>
    </row>
    <row r="138" spans="1:32">
      <c r="A138">
        <v>120</v>
      </c>
      <c r="B138">
        <v>901</v>
      </c>
      <c r="C138" t="s">
        <v>2276</v>
      </c>
      <c r="D138" t="s">
        <v>169</v>
      </c>
      <c r="E138" t="s">
        <v>2165</v>
      </c>
      <c r="F138" t="s">
        <v>197</v>
      </c>
      <c r="G138" t="s">
        <v>466</v>
      </c>
      <c r="H138" t="s">
        <v>192</v>
      </c>
      <c r="I138" t="s">
        <v>192</v>
      </c>
      <c r="J138" t="s">
        <v>212</v>
      </c>
      <c r="K138" t="s">
        <v>2277</v>
      </c>
      <c r="L138" s="84">
        <v>43109</v>
      </c>
      <c r="M138" t="s">
        <v>381</v>
      </c>
      <c r="N138" t="s">
        <v>705</v>
      </c>
      <c r="O138">
        <v>1</v>
      </c>
      <c r="P138" t="s">
        <v>2278</v>
      </c>
      <c r="Q138" t="s">
        <v>2279</v>
      </c>
      <c r="R138" t="s">
        <v>2280</v>
      </c>
      <c r="S138" t="s">
        <v>2281</v>
      </c>
      <c r="T138" t="s">
        <v>38</v>
      </c>
      <c r="U138" t="s">
        <v>78</v>
      </c>
      <c r="V138">
        <v>78</v>
      </c>
      <c r="W138">
        <v>82</v>
      </c>
      <c r="X138">
        <v>120</v>
      </c>
      <c r="Y138">
        <v>115</v>
      </c>
      <c r="Z138">
        <v>175</v>
      </c>
      <c r="AA138">
        <v>169</v>
      </c>
      <c r="AB138" t="s">
        <v>303</v>
      </c>
      <c r="AC138" t="s">
        <v>228</v>
      </c>
      <c r="AD138" t="s">
        <v>182</v>
      </c>
      <c r="AE138" t="s">
        <v>183</v>
      </c>
      <c r="AF138">
        <v>0</v>
      </c>
    </row>
    <row r="139" spans="1:32">
      <c r="A139">
        <v>120</v>
      </c>
      <c r="B139">
        <v>901</v>
      </c>
      <c r="C139" t="s">
        <v>2276</v>
      </c>
      <c r="D139" t="s">
        <v>169</v>
      </c>
      <c r="E139" t="s">
        <v>2165</v>
      </c>
      <c r="F139" t="s">
        <v>6</v>
      </c>
      <c r="G139" t="s">
        <v>469</v>
      </c>
      <c r="H139" t="s">
        <v>297</v>
      </c>
      <c r="I139" t="s">
        <v>262</v>
      </c>
      <c r="J139" t="s">
        <v>189</v>
      </c>
      <c r="K139" t="s">
        <v>2277</v>
      </c>
      <c r="L139" s="84">
        <v>43109</v>
      </c>
      <c r="M139" t="s">
        <v>381</v>
      </c>
      <c r="N139" t="s">
        <v>705</v>
      </c>
      <c r="O139">
        <v>1</v>
      </c>
      <c r="P139" t="s">
        <v>2278</v>
      </c>
      <c r="Q139" t="s">
        <v>2279</v>
      </c>
      <c r="R139" t="s">
        <v>2280</v>
      </c>
      <c r="S139" t="s">
        <v>2281</v>
      </c>
      <c r="T139" t="s">
        <v>34</v>
      </c>
      <c r="U139" t="s">
        <v>78</v>
      </c>
      <c r="V139">
        <v>78</v>
      </c>
      <c r="W139">
        <v>82</v>
      </c>
      <c r="X139">
        <v>120</v>
      </c>
      <c r="Y139">
        <v>115</v>
      </c>
      <c r="Z139">
        <v>175</v>
      </c>
      <c r="AA139">
        <v>169</v>
      </c>
      <c r="AB139" t="s">
        <v>303</v>
      </c>
      <c r="AC139" t="s">
        <v>228</v>
      </c>
      <c r="AD139" t="s">
        <v>182</v>
      </c>
      <c r="AE139" t="s">
        <v>183</v>
      </c>
      <c r="AF139">
        <v>0</v>
      </c>
    </row>
    <row r="140" spans="1:32">
      <c r="A140">
        <v>120</v>
      </c>
      <c r="B140">
        <v>901</v>
      </c>
      <c r="C140" t="s">
        <v>2276</v>
      </c>
      <c r="D140" t="s">
        <v>169</v>
      </c>
      <c r="E140" t="s">
        <v>2165</v>
      </c>
      <c r="F140" t="s">
        <v>7</v>
      </c>
      <c r="G140" t="s">
        <v>471</v>
      </c>
      <c r="H140" t="s">
        <v>189</v>
      </c>
      <c r="I140" t="s">
        <v>217</v>
      </c>
      <c r="J140" t="s">
        <v>257</v>
      </c>
      <c r="K140" t="s">
        <v>2277</v>
      </c>
      <c r="L140" s="84">
        <v>43109</v>
      </c>
      <c r="M140" t="s">
        <v>381</v>
      </c>
      <c r="N140" t="s">
        <v>705</v>
      </c>
      <c r="O140">
        <v>1</v>
      </c>
      <c r="P140" t="s">
        <v>2278</v>
      </c>
      <c r="Q140" t="s">
        <v>2279</v>
      </c>
      <c r="R140" t="s">
        <v>2280</v>
      </c>
      <c r="S140" t="s">
        <v>2281</v>
      </c>
      <c r="T140" t="s">
        <v>32</v>
      </c>
      <c r="U140" t="s">
        <v>78</v>
      </c>
      <c r="V140">
        <v>78</v>
      </c>
      <c r="W140">
        <v>82</v>
      </c>
      <c r="X140">
        <v>120</v>
      </c>
      <c r="Y140">
        <v>115</v>
      </c>
      <c r="Z140">
        <v>175</v>
      </c>
      <c r="AA140">
        <v>169</v>
      </c>
      <c r="AB140" t="s">
        <v>303</v>
      </c>
      <c r="AC140" t="s">
        <v>228</v>
      </c>
      <c r="AD140" t="s">
        <v>182</v>
      </c>
      <c r="AE140" t="s">
        <v>183</v>
      </c>
      <c r="AF140">
        <v>0</v>
      </c>
    </row>
    <row r="141" spans="1:32">
      <c r="A141">
        <v>120</v>
      </c>
      <c r="B141">
        <v>901</v>
      </c>
      <c r="C141" t="s">
        <v>2276</v>
      </c>
      <c r="D141" t="s">
        <v>169</v>
      </c>
      <c r="E141" t="s">
        <v>2165</v>
      </c>
      <c r="F141" t="s">
        <v>8</v>
      </c>
      <c r="G141" t="s">
        <v>470</v>
      </c>
      <c r="H141" t="s">
        <v>217</v>
      </c>
      <c r="I141" t="s">
        <v>217</v>
      </c>
      <c r="J141" t="s">
        <v>257</v>
      </c>
      <c r="K141" t="s">
        <v>2277</v>
      </c>
      <c r="L141" s="84">
        <v>43109</v>
      </c>
      <c r="M141" t="s">
        <v>381</v>
      </c>
      <c r="N141" t="s">
        <v>705</v>
      </c>
      <c r="O141">
        <v>1</v>
      </c>
      <c r="P141" t="s">
        <v>2278</v>
      </c>
      <c r="Q141" t="s">
        <v>2279</v>
      </c>
      <c r="R141" t="s">
        <v>2280</v>
      </c>
      <c r="S141" t="s">
        <v>2281</v>
      </c>
      <c r="T141" t="s">
        <v>31</v>
      </c>
      <c r="U141" t="s">
        <v>78</v>
      </c>
      <c r="V141">
        <v>78</v>
      </c>
      <c r="W141">
        <v>82</v>
      </c>
      <c r="X141">
        <v>120</v>
      </c>
      <c r="Y141">
        <v>115</v>
      </c>
      <c r="Z141">
        <v>175</v>
      </c>
      <c r="AA141">
        <v>169</v>
      </c>
      <c r="AB141" t="s">
        <v>303</v>
      </c>
      <c r="AC141" t="s">
        <v>228</v>
      </c>
      <c r="AD141" t="s">
        <v>182</v>
      </c>
      <c r="AE141" t="s">
        <v>183</v>
      </c>
      <c r="AF141">
        <v>0</v>
      </c>
    </row>
    <row r="142" spans="1:32">
      <c r="A142">
        <v>121</v>
      </c>
      <c r="B142">
        <v>934</v>
      </c>
      <c r="C142" t="s">
        <v>2282</v>
      </c>
      <c r="D142" t="s">
        <v>169</v>
      </c>
      <c r="E142" t="s">
        <v>2165</v>
      </c>
      <c r="F142" t="s">
        <v>8</v>
      </c>
      <c r="G142" t="s">
        <v>480</v>
      </c>
      <c r="H142" t="s">
        <v>226</v>
      </c>
      <c r="I142" t="s">
        <v>215</v>
      </c>
      <c r="J142" t="s">
        <v>260</v>
      </c>
      <c r="K142" t="s">
        <v>2283</v>
      </c>
      <c r="L142" s="84">
        <v>43025</v>
      </c>
      <c r="M142" t="s">
        <v>381</v>
      </c>
      <c r="N142" t="s">
        <v>1351</v>
      </c>
      <c r="O142">
        <v>2</v>
      </c>
      <c r="P142" t="s">
        <v>394</v>
      </c>
      <c r="Q142" t="s">
        <v>395</v>
      </c>
      <c r="R142" t="s">
        <v>2284</v>
      </c>
      <c r="S142" t="s">
        <v>2285</v>
      </c>
      <c r="T142" t="s">
        <v>31</v>
      </c>
      <c r="U142" t="s">
        <v>79</v>
      </c>
      <c r="V142">
        <v>44</v>
      </c>
      <c r="W142">
        <v>82</v>
      </c>
      <c r="X142">
        <v>120</v>
      </c>
      <c r="Y142">
        <v>71</v>
      </c>
      <c r="Z142">
        <v>175</v>
      </c>
      <c r="AA142">
        <v>115</v>
      </c>
      <c r="AB142" t="s">
        <v>520</v>
      </c>
      <c r="AC142" t="s">
        <v>243</v>
      </c>
      <c r="AD142" t="s">
        <v>272</v>
      </c>
      <c r="AE142" t="s">
        <v>183</v>
      </c>
      <c r="AF142">
        <v>0</v>
      </c>
    </row>
    <row r="143" spans="1:32">
      <c r="A143">
        <v>121</v>
      </c>
      <c r="B143">
        <v>934</v>
      </c>
      <c r="C143" t="s">
        <v>2282</v>
      </c>
      <c r="D143" t="s">
        <v>169</v>
      </c>
      <c r="E143" t="s">
        <v>2165</v>
      </c>
      <c r="F143" t="s">
        <v>7</v>
      </c>
      <c r="G143" t="s">
        <v>473</v>
      </c>
      <c r="H143" t="s">
        <v>192</v>
      </c>
      <c r="I143" t="s">
        <v>212</v>
      </c>
      <c r="J143" t="s">
        <v>216</v>
      </c>
      <c r="K143" t="s">
        <v>2283</v>
      </c>
      <c r="L143" s="84">
        <v>43025</v>
      </c>
      <c r="M143" t="s">
        <v>381</v>
      </c>
      <c r="N143" t="s">
        <v>1351</v>
      </c>
      <c r="O143">
        <v>2</v>
      </c>
      <c r="P143" t="s">
        <v>394</v>
      </c>
      <c r="Q143" t="s">
        <v>395</v>
      </c>
      <c r="R143" t="s">
        <v>2284</v>
      </c>
      <c r="S143" t="s">
        <v>2285</v>
      </c>
      <c r="T143" t="s">
        <v>32</v>
      </c>
      <c r="U143" t="s">
        <v>79</v>
      </c>
      <c r="V143">
        <v>44</v>
      </c>
      <c r="W143">
        <v>82</v>
      </c>
      <c r="X143">
        <v>120</v>
      </c>
      <c r="Y143">
        <v>71</v>
      </c>
      <c r="Z143">
        <v>175</v>
      </c>
      <c r="AA143">
        <v>115</v>
      </c>
      <c r="AB143" t="s">
        <v>520</v>
      </c>
      <c r="AC143" t="s">
        <v>243</v>
      </c>
      <c r="AD143" t="s">
        <v>272</v>
      </c>
      <c r="AE143" t="s">
        <v>183</v>
      </c>
      <c r="AF143">
        <v>0</v>
      </c>
    </row>
    <row r="144" spans="1:32">
      <c r="A144">
        <v>121</v>
      </c>
      <c r="B144">
        <v>934</v>
      </c>
      <c r="C144" t="s">
        <v>2282</v>
      </c>
      <c r="D144" t="s">
        <v>169</v>
      </c>
      <c r="E144" t="s">
        <v>2165</v>
      </c>
      <c r="F144" t="s">
        <v>6</v>
      </c>
      <c r="G144" t="s">
        <v>481</v>
      </c>
      <c r="H144" t="s">
        <v>212</v>
      </c>
      <c r="I144" t="s">
        <v>275</v>
      </c>
      <c r="J144" t="s">
        <v>260</v>
      </c>
      <c r="K144" t="s">
        <v>2283</v>
      </c>
      <c r="L144" s="84">
        <v>43025</v>
      </c>
      <c r="M144" t="s">
        <v>381</v>
      </c>
      <c r="N144" t="s">
        <v>1351</v>
      </c>
      <c r="O144">
        <v>2</v>
      </c>
      <c r="P144" t="s">
        <v>394</v>
      </c>
      <c r="Q144" t="s">
        <v>395</v>
      </c>
      <c r="R144" t="s">
        <v>2284</v>
      </c>
      <c r="S144" t="s">
        <v>2285</v>
      </c>
      <c r="T144" t="s">
        <v>34</v>
      </c>
      <c r="U144" t="s">
        <v>79</v>
      </c>
      <c r="V144">
        <v>44</v>
      </c>
      <c r="W144">
        <v>82</v>
      </c>
      <c r="X144">
        <v>120</v>
      </c>
      <c r="Y144">
        <v>71</v>
      </c>
      <c r="Z144">
        <v>175</v>
      </c>
      <c r="AA144">
        <v>115</v>
      </c>
      <c r="AB144" t="s">
        <v>520</v>
      </c>
      <c r="AC144" t="s">
        <v>243</v>
      </c>
      <c r="AD144" t="s">
        <v>272</v>
      </c>
      <c r="AE144" t="s">
        <v>183</v>
      </c>
      <c r="AF144">
        <v>0</v>
      </c>
    </row>
    <row r="145" spans="1:32">
      <c r="A145">
        <v>121</v>
      </c>
      <c r="B145">
        <v>934</v>
      </c>
      <c r="C145" t="s">
        <v>2282</v>
      </c>
      <c r="D145" t="s">
        <v>169</v>
      </c>
      <c r="E145" t="s">
        <v>2165</v>
      </c>
      <c r="F145" t="s">
        <v>197</v>
      </c>
      <c r="G145" t="s">
        <v>484</v>
      </c>
      <c r="H145" t="s">
        <v>192</v>
      </c>
      <c r="I145" t="s">
        <v>212</v>
      </c>
      <c r="J145" t="s">
        <v>212</v>
      </c>
      <c r="K145" t="s">
        <v>2283</v>
      </c>
      <c r="L145" s="84">
        <v>43025</v>
      </c>
      <c r="M145" t="s">
        <v>381</v>
      </c>
      <c r="N145" t="s">
        <v>1351</v>
      </c>
      <c r="O145">
        <v>2</v>
      </c>
      <c r="P145" t="s">
        <v>394</v>
      </c>
      <c r="Q145" t="s">
        <v>395</v>
      </c>
      <c r="R145" t="s">
        <v>2284</v>
      </c>
      <c r="S145" t="s">
        <v>2285</v>
      </c>
      <c r="T145" t="s">
        <v>38</v>
      </c>
      <c r="U145" t="s">
        <v>79</v>
      </c>
      <c r="V145">
        <v>44</v>
      </c>
      <c r="W145">
        <v>82</v>
      </c>
      <c r="X145">
        <v>120</v>
      </c>
      <c r="Y145">
        <v>71</v>
      </c>
      <c r="Z145">
        <v>175</v>
      </c>
      <c r="AA145">
        <v>115</v>
      </c>
      <c r="AB145" t="s">
        <v>520</v>
      </c>
      <c r="AC145" t="s">
        <v>243</v>
      </c>
      <c r="AD145" t="s">
        <v>272</v>
      </c>
      <c r="AE145" t="s">
        <v>183</v>
      </c>
      <c r="AF145">
        <v>0</v>
      </c>
    </row>
    <row r="146" spans="1:32">
      <c r="A146">
        <v>121</v>
      </c>
      <c r="B146">
        <v>934</v>
      </c>
      <c r="C146" t="s">
        <v>2282</v>
      </c>
      <c r="D146" t="s">
        <v>169</v>
      </c>
      <c r="E146" t="s">
        <v>2165</v>
      </c>
      <c r="F146" t="s">
        <v>193</v>
      </c>
      <c r="G146" t="s">
        <v>482</v>
      </c>
      <c r="H146" t="s">
        <v>192</v>
      </c>
      <c r="I146" t="s">
        <v>212</v>
      </c>
      <c r="J146" t="s">
        <v>192</v>
      </c>
      <c r="K146" t="s">
        <v>2283</v>
      </c>
      <c r="L146" s="84">
        <v>43025</v>
      </c>
      <c r="M146" t="s">
        <v>381</v>
      </c>
      <c r="N146" t="s">
        <v>1351</v>
      </c>
      <c r="O146">
        <v>2</v>
      </c>
      <c r="P146" t="s">
        <v>394</v>
      </c>
      <c r="Q146" t="s">
        <v>395</v>
      </c>
      <c r="R146" t="s">
        <v>2284</v>
      </c>
      <c r="S146" t="s">
        <v>2285</v>
      </c>
      <c r="T146" t="s">
        <v>36</v>
      </c>
      <c r="U146" t="s">
        <v>79</v>
      </c>
      <c r="V146">
        <v>44</v>
      </c>
      <c r="W146">
        <v>82</v>
      </c>
      <c r="X146">
        <v>120</v>
      </c>
      <c r="Y146">
        <v>71</v>
      </c>
      <c r="Z146">
        <v>175</v>
      </c>
      <c r="AA146">
        <v>115</v>
      </c>
      <c r="AB146" t="s">
        <v>520</v>
      </c>
      <c r="AC146" t="s">
        <v>243</v>
      </c>
      <c r="AD146" t="s">
        <v>272</v>
      </c>
      <c r="AE146" t="s">
        <v>183</v>
      </c>
      <c r="AF146">
        <v>0</v>
      </c>
    </row>
    <row r="147" spans="1:32">
      <c r="A147">
        <v>121</v>
      </c>
      <c r="B147">
        <v>934</v>
      </c>
      <c r="C147" t="s">
        <v>2282</v>
      </c>
      <c r="D147" t="s">
        <v>169</v>
      </c>
      <c r="E147" t="s">
        <v>2165</v>
      </c>
      <c r="F147" t="s">
        <v>37</v>
      </c>
      <c r="G147" t="s">
        <v>483</v>
      </c>
      <c r="H147" t="s">
        <v>192</v>
      </c>
      <c r="I147" t="s">
        <v>181</v>
      </c>
      <c r="J147" t="s">
        <v>212</v>
      </c>
      <c r="K147" t="s">
        <v>2283</v>
      </c>
      <c r="L147" s="84">
        <v>43025</v>
      </c>
      <c r="M147" t="s">
        <v>381</v>
      </c>
      <c r="N147" t="s">
        <v>1351</v>
      </c>
      <c r="O147">
        <v>2</v>
      </c>
      <c r="P147" t="s">
        <v>394</v>
      </c>
      <c r="Q147" t="s">
        <v>395</v>
      </c>
      <c r="R147" t="s">
        <v>2284</v>
      </c>
      <c r="S147" t="s">
        <v>2285</v>
      </c>
      <c r="T147" t="s">
        <v>37</v>
      </c>
      <c r="U147" t="s">
        <v>79</v>
      </c>
      <c r="V147">
        <v>44</v>
      </c>
      <c r="W147">
        <v>82</v>
      </c>
      <c r="X147">
        <v>120</v>
      </c>
      <c r="Y147">
        <v>71</v>
      </c>
      <c r="Z147">
        <v>175</v>
      </c>
      <c r="AA147">
        <v>115</v>
      </c>
      <c r="AB147" t="s">
        <v>520</v>
      </c>
      <c r="AC147" t="s">
        <v>243</v>
      </c>
      <c r="AD147" t="s">
        <v>272</v>
      </c>
      <c r="AE147" t="s">
        <v>183</v>
      </c>
      <c r="AF147">
        <v>0</v>
      </c>
    </row>
    <row r="148" spans="1:32">
      <c r="A148">
        <v>121</v>
      </c>
      <c r="B148">
        <v>934</v>
      </c>
      <c r="C148" t="s">
        <v>2282</v>
      </c>
      <c r="D148" t="s">
        <v>169</v>
      </c>
      <c r="E148" t="s">
        <v>2165</v>
      </c>
      <c r="F148" t="s">
        <v>5</v>
      </c>
      <c r="G148" t="s">
        <v>2822</v>
      </c>
      <c r="H148" t="s">
        <v>228</v>
      </c>
      <c r="I148" t="s">
        <v>259</v>
      </c>
      <c r="J148" t="s">
        <v>216</v>
      </c>
      <c r="K148" t="s">
        <v>2283</v>
      </c>
      <c r="L148" s="84">
        <v>43025</v>
      </c>
      <c r="M148" t="s">
        <v>381</v>
      </c>
      <c r="N148" t="s">
        <v>1351</v>
      </c>
      <c r="O148">
        <v>2</v>
      </c>
      <c r="P148" t="s">
        <v>394</v>
      </c>
      <c r="Q148" t="s">
        <v>395</v>
      </c>
      <c r="R148" t="s">
        <v>2284</v>
      </c>
      <c r="S148" t="s">
        <v>2285</v>
      </c>
      <c r="T148" t="s">
        <v>33</v>
      </c>
      <c r="U148" t="s">
        <v>79</v>
      </c>
      <c r="V148">
        <v>44</v>
      </c>
      <c r="W148">
        <v>82</v>
      </c>
      <c r="X148">
        <v>120</v>
      </c>
      <c r="Y148">
        <v>71</v>
      </c>
      <c r="Z148">
        <v>175</v>
      </c>
      <c r="AA148">
        <v>115</v>
      </c>
      <c r="AB148" t="s">
        <v>520</v>
      </c>
      <c r="AC148" t="s">
        <v>243</v>
      </c>
      <c r="AD148" t="s">
        <v>272</v>
      </c>
      <c r="AE148" t="s">
        <v>183</v>
      </c>
      <c r="AF148">
        <v>0</v>
      </c>
    </row>
    <row r="149" spans="1:32">
      <c r="A149">
        <v>122</v>
      </c>
      <c r="B149">
        <v>946</v>
      </c>
      <c r="C149" t="s">
        <v>2286</v>
      </c>
      <c r="D149" t="s">
        <v>169</v>
      </c>
      <c r="E149" t="s">
        <v>2165</v>
      </c>
      <c r="F149" t="s">
        <v>5</v>
      </c>
      <c r="G149" t="s">
        <v>2823</v>
      </c>
      <c r="H149" t="s">
        <v>274</v>
      </c>
      <c r="I149" t="s">
        <v>257</v>
      </c>
      <c r="J149" t="s">
        <v>216</v>
      </c>
      <c r="K149" t="s">
        <v>2287</v>
      </c>
      <c r="L149" s="84">
        <v>43358</v>
      </c>
      <c r="M149" t="s">
        <v>381</v>
      </c>
      <c r="N149" t="s">
        <v>2288</v>
      </c>
      <c r="O149">
        <v>3</v>
      </c>
      <c r="P149" t="s">
        <v>2289</v>
      </c>
      <c r="Q149" t="s">
        <v>2290</v>
      </c>
      <c r="R149" t="s">
        <v>2291</v>
      </c>
      <c r="S149" t="s">
        <v>2292</v>
      </c>
      <c r="T149" t="s">
        <v>33</v>
      </c>
      <c r="U149" t="s">
        <v>80</v>
      </c>
      <c r="V149">
        <v>70</v>
      </c>
      <c r="W149">
        <v>82</v>
      </c>
      <c r="X149">
        <v>120</v>
      </c>
      <c r="Y149">
        <v>107</v>
      </c>
      <c r="Z149">
        <v>175</v>
      </c>
      <c r="AA149">
        <v>154</v>
      </c>
      <c r="AB149" t="s">
        <v>303</v>
      </c>
      <c r="AC149" t="s">
        <v>171</v>
      </c>
      <c r="AD149" t="s">
        <v>182</v>
      </c>
      <c r="AE149" t="s">
        <v>183</v>
      </c>
      <c r="AF149">
        <v>0</v>
      </c>
    </row>
    <row r="150" spans="1:32">
      <c r="A150">
        <v>122</v>
      </c>
      <c r="B150">
        <v>946</v>
      </c>
      <c r="C150" t="s">
        <v>2286</v>
      </c>
      <c r="D150" t="s">
        <v>169</v>
      </c>
      <c r="E150" t="s">
        <v>2165</v>
      </c>
      <c r="F150" t="s">
        <v>37</v>
      </c>
      <c r="G150" t="s">
        <v>494</v>
      </c>
      <c r="H150" t="s">
        <v>192</v>
      </c>
      <c r="I150" t="s">
        <v>181</v>
      </c>
      <c r="J150" t="s">
        <v>228</v>
      </c>
      <c r="K150" t="s">
        <v>2287</v>
      </c>
      <c r="L150" s="84">
        <v>43358</v>
      </c>
      <c r="M150" t="s">
        <v>381</v>
      </c>
      <c r="N150" t="s">
        <v>2288</v>
      </c>
      <c r="O150">
        <v>3</v>
      </c>
      <c r="P150" t="s">
        <v>2289</v>
      </c>
      <c r="Q150" t="s">
        <v>2290</v>
      </c>
      <c r="R150" t="s">
        <v>2291</v>
      </c>
      <c r="S150" t="s">
        <v>2292</v>
      </c>
      <c r="T150" t="s">
        <v>37</v>
      </c>
      <c r="U150" t="s">
        <v>80</v>
      </c>
      <c r="V150">
        <v>70</v>
      </c>
      <c r="W150">
        <v>82</v>
      </c>
      <c r="X150">
        <v>120</v>
      </c>
      <c r="Y150">
        <v>107</v>
      </c>
      <c r="Z150">
        <v>175</v>
      </c>
      <c r="AA150">
        <v>154</v>
      </c>
      <c r="AB150" t="s">
        <v>303</v>
      </c>
      <c r="AC150" t="s">
        <v>171</v>
      </c>
      <c r="AD150" t="s">
        <v>182</v>
      </c>
      <c r="AE150" t="s">
        <v>183</v>
      </c>
      <c r="AF150">
        <v>0</v>
      </c>
    </row>
    <row r="151" spans="1:32">
      <c r="A151">
        <v>122</v>
      </c>
      <c r="B151">
        <v>946</v>
      </c>
      <c r="C151" t="s">
        <v>2286</v>
      </c>
      <c r="D151" t="s">
        <v>169</v>
      </c>
      <c r="E151" t="s">
        <v>2165</v>
      </c>
      <c r="F151" t="s">
        <v>193</v>
      </c>
      <c r="G151" t="s">
        <v>495</v>
      </c>
      <c r="H151" t="s">
        <v>192</v>
      </c>
      <c r="I151" t="s">
        <v>192</v>
      </c>
      <c r="J151" t="s">
        <v>223</v>
      </c>
      <c r="K151" t="s">
        <v>2287</v>
      </c>
      <c r="L151" s="84">
        <v>43358</v>
      </c>
      <c r="M151" t="s">
        <v>381</v>
      </c>
      <c r="N151" t="s">
        <v>2288</v>
      </c>
      <c r="O151">
        <v>3</v>
      </c>
      <c r="P151" t="s">
        <v>2289</v>
      </c>
      <c r="Q151" t="s">
        <v>2290</v>
      </c>
      <c r="R151" t="s">
        <v>2291</v>
      </c>
      <c r="S151" t="s">
        <v>2292</v>
      </c>
      <c r="T151" t="s">
        <v>36</v>
      </c>
      <c r="U151" t="s">
        <v>80</v>
      </c>
      <c r="V151">
        <v>70</v>
      </c>
      <c r="W151">
        <v>82</v>
      </c>
      <c r="X151">
        <v>120</v>
      </c>
      <c r="Y151">
        <v>107</v>
      </c>
      <c r="Z151">
        <v>175</v>
      </c>
      <c r="AA151">
        <v>154</v>
      </c>
      <c r="AB151" t="s">
        <v>303</v>
      </c>
      <c r="AC151" t="s">
        <v>171</v>
      </c>
      <c r="AD151" t="s">
        <v>182</v>
      </c>
      <c r="AE151" t="s">
        <v>183</v>
      </c>
      <c r="AF151">
        <v>0</v>
      </c>
    </row>
    <row r="152" spans="1:32">
      <c r="A152">
        <v>122</v>
      </c>
      <c r="B152">
        <v>946</v>
      </c>
      <c r="C152" t="s">
        <v>2286</v>
      </c>
      <c r="D152" t="s">
        <v>169</v>
      </c>
      <c r="E152" t="s">
        <v>2165</v>
      </c>
      <c r="F152" t="s">
        <v>197</v>
      </c>
      <c r="G152" t="s">
        <v>486</v>
      </c>
      <c r="H152" t="s">
        <v>192</v>
      </c>
      <c r="I152" t="s">
        <v>188</v>
      </c>
      <c r="J152" t="s">
        <v>192</v>
      </c>
      <c r="K152" t="s">
        <v>2287</v>
      </c>
      <c r="L152" s="84">
        <v>43358</v>
      </c>
      <c r="M152" t="s">
        <v>381</v>
      </c>
      <c r="N152" t="s">
        <v>2288</v>
      </c>
      <c r="O152">
        <v>3</v>
      </c>
      <c r="P152" t="s">
        <v>2289</v>
      </c>
      <c r="Q152" t="s">
        <v>2290</v>
      </c>
      <c r="R152" t="s">
        <v>2291</v>
      </c>
      <c r="S152" t="s">
        <v>2292</v>
      </c>
      <c r="T152" t="s">
        <v>38</v>
      </c>
      <c r="U152" t="s">
        <v>80</v>
      </c>
      <c r="V152">
        <v>70</v>
      </c>
      <c r="W152">
        <v>82</v>
      </c>
      <c r="X152">
        <v>120</v>
      </c>
      <c r="Y152">
        <v>107</v>
      </c>
      <c r="Z152">
        <v>175</v>
      </c>
      <c r="AA152">
        <v>154</v>
      </c>
      <c r="AB152" t="s">
        <v>303</v>
      </c>
      <c r="AC152" t="s">
        <v>171</v>
      </c>
      <c r="AD152" t="s">
        <v>182</v>
      </c>
      <c r="AE152" t="s">
        <v>183</v>
      </c>
      <c r="AF152">
        <v>0</v>
      </c>
    </row>
    <row r="153" spans="1:32">
      <c r="A153">
        <v>122</v>
      </c>
      <c r="B153">
        <v>946</v>
      </c>
      <c r="C153" t="s">
        <v>2286</v>
      </c>
      <c r="D153" t="s">
        <v>169</v>
      </c>
      <c r="E153" t="s">
        <v>2165</v>
      </c>
      <c r="F153" t="s">
        <v>6</v>
      </c>
      <c r="G153" t="s">
        <v>496</v>
      </c>
      <c r="H153" t="s">
        <v>171</v>
      </c>
      <c r="I153" t="s">
        <v>238</v>
      </c>
      <c r="J153" t="s">
        <v>226</v>
      </c>
      <c r="K153" t="s">
        <v>2287</v>
      </c>
      <c r="L153" s="84">
        <v>43358</v>
      </c>
      <c r="M153" t="s">
        <v>381</v>
      </c>
      <c r="N153" t="s">
        <v>2288</v>
      </c>
      <c r="O153">
        <v>3</v>
      </c>
      <c r="P153" t="s">
        <v>2289</v>
      </c>
      <c r="Q153" t="s">
        <v>2290</v>
      </c>
      <c r="R153" t="s">
        <v>2291</v>
      </c>
      <c r="S153" t="s">
        <v>2292</v>
      </c>
      <c r="T153" t="s">
        <v>34</v>
      </c>
      <c r="U153" t="s">
        <v>80</v>
      </c>
      <c r="V153">
        <v>70</v>
      </c>
      <c r="W153">
        <v>82</v>
      </c>
      <c r="X153">
        <v>120</v>
      </c>
      <c r="Y153">
        <v>107</v>
      </c>
      <c r="Z153">
        <v>175</v>
      </c>
      <c r="AA153">
        <v>154</v>
      </c>
      <c r="AB153" t="s">
        <v>303</v>
      </c>
      <c r="AC153" t="s">
        <v>171</v>
      </c>
      <c r="AD153" t="s">
        <v>182</v>
      </c>
      <c r="AE153" t="s">
        <v>183</v>
      </c>
      <c r="AF153">
        <v>0</v>
      </c>
    </row>
    <row r="154" spans="1:32">
      <c r="A154">
        <v>122</v>
      </c>
      <c r="B154">
        <v>946</v>
      </c>
      <c r="C154" t="s">
        <v>2286</v>
      </c>
      <c r="D154" t="s">
        <v>169</v>
      </c>
      <c r="E154" t="s">
        <v>2165</v>
      </c>
      <c r="F154" t="s">
        <v>7</v>
      </c>
      <c r="G154" t="s">
        <v>499</v>
      </c>
      <c r="H154" t="s">
        <v>256</v>
      </c>
      <c r="I154" t="s">
        <v>191</v>
      </c>
      <c r="J154" t="s">
        <v>260</v>
      </c>
      <c r="K154" t="s">
        <v>2287</v>
      </c>
      <c r="L154" s="84">
        <v>43358</v>
      </c>
      <c r="M154" t="s">
        <v>381</v>
      </c>
      <c r="N154" t="s">
        <v>2288</v>
      </c>
      <c r="O154">
        <v>3</v>
      </c>
      <c r="P154" t="s">
        <v>2289</v>
      </c>
      <c r="Q154" t="s">
        <v>2290</v>
      </c>
      <c r="R154" t="s">
        <v>2291</v>
      </c>
      <c r="S154" t="s">
        <v>2292</v>
      </c>
      <c r="T154" t="s">
        <v>32</v>
      </c>
      <c r="U154" t="s">
        <v>80</v>
      </c>
      <c r="V154">
        <v>70</v>
      </c>
      <c r="W154">
        <v>82</v>
      </c>
      <c r="X154">
        <v>120</v>
      </c>
      <c r="Y154">
        <v>107</v>
      </c>
      <c r="Z154">
        <v>175</v>
      </c>
      <c r="AA154">
        <v>154</v>
      </c>
      <c r="AB154" t="s">
        <v>303</v>
      </c>
      <c r="AC154" t="s">
        <v>171</v>
      </c>
      <c r="AD154" t="s">
        <v>182</v>
      </c>
      <c r="AE154" t="s">
        <v>183</v>
      </c>
      <c r="AF154">
        <v>0</v>
      </c>
    </row>
    <row r="155" spans="1:32">
      <c r="A155">
        <v>122</v>
      </c>
      <c r="B155">
        <v>946</v>
      </c>
      <c r="C155" t="s">
        <v>2286</v>
      </c>
      <c r="D155" t="s">
        <v>169</v>
      </c>
      <c r="E155" t="s">
        <v>2165</v>
      </c>
      <c r="F155" t="s">
        <v>8</v>
      </c>
      <c r="G155" t="s">
        <v>498</v>
      </c>
      <c r="H155" t="s">
        <v>171</v>
      </c>
      <c r="I155" t="s">
        <v>226</v>
      </c>
      <c r="J155" t="s">
        <v>216</v>
      </c>
      <c r="K155" t="s">
        <v>2287</v>
      </c>
      <c r="L155" s="84">
        <v>43358</v>
      </c>
      <c r="M155" t="s">
        <v>381</v>
      </c>
      <c r="N155" t="s">
        <v>2288</v>
      </c>
      <c r="O155">
        <v>3</v>
      </c>
      <c r="P155" t="s">
        <v>2289</v>
      </c>
      <c r="Q155" t="s">
        <v>2290</v>
      </c>
      <c r="R155" t="s">
        <v>2291</v>
      </c>
      <c r="S155" t="s">
        <v>2292</v>
      </c>
      <c r="T155" t="s">
        <v>31</v>
      </c>
      <c r="U155" t="s">
        <v>80</v>
      </c>
      <c r="V155">
        <v>70</v>
      </c>
      <c r="W155">
        <v>82</v>
      </c>
      <c r="X155">
        <v>120</v>
      </c>
      <c r="Y155">
        <v>107</v>
      </c>
      <c r="Z155">
        <v>175</v>
      </c>
      <c r="AA155">
        <v>154</v>
      </c>
      <c r="AB155" t="s">
        <v>303</v>
      </c>
      <c r="AC155" t="s">
        <v>171</v>
      </c>
      <c r="AD155" t="s">
        <v>182</v>
      </c>
      <c r="AE155" t="s">
        <v>183</v>
      </c>
      <c r="AF155">
        <v>0</v>
      </c>
    </row>
    <row r="156" spans="1:32">
      <c r="A156">
        <v>123</v>
      </c>
      <c r="B156">
        <v>928</v>
      </c>
      <c r="C156" t="s">
        <v>2293</v>
      </c>
      <c r="D156" t="s">
        <v>169</v>
      </c>
      <c r="E156" t="s">
        <v>2165</v>
      </c>
      <c r="F156" t="s">
        <v>8</v>
      </c>
      <c r="G156" t="s">
        <v>508</v>
      </c>
      <c r="H156" t="s">
        <v>216</v>
      </c>
      <c r="I156" t="s">
        <v>239</v>
      </c>
      <c r="J156" t="s">
        <v>297</v>
      </c>
      <c r="K156" t="s">
        <v>2294</v>
      </c>
      <c r="L156" s="84">
        <v>43519</v>
      </c>
      <c r="M156" t="s">
        <v>381</v>
      </c>
      <c r="N156" t="s">
        <v>665</v>
      </c>
      <c r="O156">
        <v>9</v>
      </c>
      <c r="P156" t="s">
        <v>2295</v>
      </c>
      <c r="Q156" t="s">
        <v>2296</v>
      </c>
      <c r="R156" t="s">
        <v>2297</v>
      </c>
      <c r="S156" t="s">
        <v>2298</v>
      </c>
      <c r="T156" t="s">
        <v>31</v>
      </c>
      <c r="U156" t="s">
        <v>85</v>
      </c>
      <c r="V156">
        <v>76</v>
      </c>
      <c r="W156">
        <v>82</v>
      </c>
      <c r="X156">
        <v>120</v>
      </c>
      <c r="Y156">
        <v>111</v>
      </c>
      <c r="Z156">
        <v>175</v>
      </c>
      <c r="AA156">
        <v>165</v>
      </c>
      <c r="AB156" t="s">
        <v>2089</v>
      </c>
      <c r="AC156" t="s">
        <v>196</v>
      </c>
      <c r="AD156" t="s">
        <v>272</v>
      </c>
      <c r="AE156" t="s">
        <v>183</v>
      </c>
      <c r="AF156">
        <v>0</v>
      </c>
    </row>
    <row r="157" spans="1:32">
      <c r="A157">
        <v>123</v>
      </c>
      <c r="B157">
        <v>928</v>
      </c>
      <c r="C157" t="s">
        <v>2293</v>
      </c>
      <c r="D157" t="s">
        <v>169</v>
      </c>
      <c r="E157" t="s">
        <v>2165</v>
      </c>
      <c r="F157" t="s">
        <v>7</v>
      </c>
      <c r="G157" t="s">
        <v>501</v>
      </c>
      <c r="H157" t="s">
        <v>260</v>
      </c>
      <c r="I157" t="s">
        <v>223</v>
      </c>
      <c r="J157" t="s">
        <v>260</v>
      </c>
      <c r="K157" t="s">
        <v>2294</v>
      </c>
      <c r="L157" s="84">
        <v>43519</v>
      </c>
      <c r="M157" t="s">
        <v>381</v>
      </c>
      <c r="N157" t="s">
        <v>665</v>
      </c>
      <c r="O157">
        <v>9</v>
      </c>
      <c r="P157" t="s">
        <v>2295</v>
      </c>
      <c r="Q157" t="s">
        <v>2296</v>
      </c>
      <c r="R157" t="s">
        <v>2297</v>
      </c>
      <c r="S157" t="s">
        <v>2298</v>
      </c>
      <c r="T157" t="s">
        <v>32</v>
      </c>
      <c r="U157" t="s">
        <v>85</v>
      </c>
      <c r="V157">
        <v>76</v>
      </c>
      <c r="W157">
        <v>82</v>
      </c>
      <c r="X157">
        <v>120</v>
      </c>
      <c r="Y157">
        <v>111</v>
      </c>
      <c r="Z157">
        <v>175</v>
      </c>
      <c r="AA157">
        <v>165</v>
      </c>
      <c r="AB157" t="s">
        <v>2089</v>
      </c>
      <c r="AC157" t="s">
        <v>196</v>
      </c>
      <c r="AD157" t="s">
        <v>272</v>
      </c>
      <c r="AE157" t="s">
        <v>183</v>
      </c>
      <c r="AF157">
        <v>0</v>
      </c>
    </row>
    <row r="158" spans="1:32">
      <c r="A158">
        <v>123</v>
      </c>
      <c r="B158">
        <v>928</v>
      </c>
      <c r="C158" t="s">
        <v>2293</v>
      </c>
      <c r="D158" t="s">
        <v>169</v>
      </c>
      <c r="E158" t="s">
        <v>2165</v>
      </c>
      <c r="F158" t="s">
        <v>6</v>
      </c>
      <c r="G158" t="s">
        <v>509</v>
      </c>
      <c r="H158" t="s">
        <v>226</v>
      </c>
      <c r="I158" t="s">
        <v>220</v>
      </c>
      <c r="J158" t="s">
        <v>221</v>
      </c>
      <c r="K158" t="s">
        <v>2294</v>
      </c>
      <c r="L158" s="84">
        <v>43519</v>
      </c>
      <c r="M158" t="s">
        <v>381</v>
      </c>
      <c r="N158" t="s">
        <v>665</v>
      </c>
      <c r="O158">
        <v>9</v>
      </c>
      <c r="P158" t="s">
        <v>2295</v>
      </c>
      <c r="Q158" t="s">
        <v>2296</v>
      </c>
      <c r="R158" t="s">
        <v>2297</v>
      </c>
      <c r="S158" t="s">
        <v>2298</v>
      </c>
      <c r="T158" t="s">
        <v>34</v>
      </c>
      <c r="U158" t="s">
        <v>85</v>
      </c>
      <c r="V158">
        <v>76</v>
      </c>
      <c r="W158">
        <v>82</v>
      </c>
      <c r="X158">
        <v>120</v>
      </c>
      <c r="Y158">
        <v>111</v>
      </c>
      <c r="Z158">
        <v>175</v>
      </c>
      <c r="AA158">
        <v>165</v>
      </c>
      <c r="AB158" t="s">
        <v>2089</v>
      </c>
      <c r="AC158" t="s">
        <v>196</v>
      </c>
      <c r="AD158" t="s">
        <v>272</v>
      </c>
      <c r="AE158" t="s">
        <v>183</v>
      </c>
      <c r="AF158">
        <v>0</v>
      </c>
    </row>
    <row r="159" spans="1:32">
      <c r="A159">
        <v>123</v>
      </c>
      <c r="B159">
        <v>928</v>
      </c>
      <c r="C159" t="s">
        <v>2293</v>
      </c>
      <c r="D159" t="s">
        <v>169</v>
      </c>
      <c r="E159" t="s">
        <v>2165</v>
      </c>
      <c r="F159" t="s">
        <v>197</v>
      </c>
      <c r="G159" t="s">
        <v>512</v>
      </c>
      <c r="H159" t="s">
        <v>192</v>
      </c>
      <c r="I159" t="s">
        <v>188</v>
      </c>
      <c r="J159" t="s">
        <v>192</v>
      </c>
      <c r="K159" t="s">
        <v>2294</v>
      </c>
      <c r="L159" s="84">
        <v>43519</v>
      </c>
      <c r="M159" t="s">
        <v>381</v>
      </c>
      <c r="N159" t="s">
        <v>665</v>
      </c>
      <c r="O159">
        <v>9</v>
      </c>
      <c r="P159" t="s">
        <v>2295</v>
      </c>
      <c r="Q159" t="s">
        <v>2296</v>
      </c>
      <c r="R159" t="s">
        <v>2297</v>
      </c>
      <c r="S159" t="s">
        <v>2298</v>
      </c>
      <c r="T159" t="s">
        <v>38</v>
      </c>
      <c r="U159" t="s">
        <v>85</v>
      </c>
      <c r="V159">
        <v>76</v>
      </c>
      <c r="W159">
        <v>82</v>
      </c>
      <c r="X159">
        <v>120</v>
      </c>
      <c r="Y159">
        <v>111</v>
      </c>
      <c r="Z159">
        <v>175</v>
      </c>
      <c r="AA159">
        <v>165</v>
      </c>
      <c r="AB159" t="s">
        <v>2089</v>
      </c>
      <c r="AC159" t="s">
        <v>196</v>
      </c>
      <c r="AD159" t="s">
        <v>272</v>
      </c>
      <c r="AE159" t="s">
        <v>183</v>
      </c>
      <c r="AF159">
        <v>0</v>
      </c>
    </row>
    <row r="160" spans="1:32">
      <c r="A160">
        <v>123</v>
      </c>
      <c r="B160">
        <v>928</v>
      </c>
      <c r="C160" t="s">
        <v>2293</v>
      </c>
      <c r="D160" t="s">
        <v>169</v>
      </c>
      <c r="E160" t="s">
        <v>2165</v>
      </c>
      <c r="F160" t="s">
        <v>193</v>
      </c>
      <c r="G160" t="s">
        <v>510</v>
      </c>
      <c r="H160" t="s">
        <v>192</v>
      </c>
      <c r="I160" t="s">
        <v>212</v>
      </c>
      <c r="J160" t="s">
        <v>212</v>
      </c>
      <c r="K160" t="s">
        <v>2294</v>
      </c>
      <c r="L160" s="84">
        <v>43519</v>
      </c>
      <c r="M160" t="s">
        <v>381</v>
      </c>
      <c r="N160" t="s">
        <v>665</v>
      </c>
      <c r="O160">
        <v>9</v>
      </c>
      <c r="P160" t="s">
        <v>2295</v>
      </c>
      <c r="Q160" t="s">
        <v>2296</v>
      </c>
      <c r="R160" t="s">
        <v>2297</v>
      </c>
      <c r="S160" t="s">
        <v>2298</v>
      </c>
      <c r="T160" t="s">
        <v>36</v>
      </c>
      <c r="U160" t="s">
        <v>85</v>
      </c>
      <c r="V160">
        <v>76</v>
      </c>
      <c r="W160">
        <v>82</v>
      </c>
      <c r="X160">
        <v>120</v>
      </c>
      <c r="Y160">
        <v>111</v>
      </c>
      <c r="Z160">
        <v>175</v>
      </c>
      <c r="AA160">
        <v>165</v>
      </c>
      <c r="AB160" t="s">
        <v>2089</v>
      </c>
      <c r="AC160" t="s">
        <v>196</v>
      </c>
      <c r="AD160" t="s">
        <v>272</v>
      </c>
      <c r="AE160" t="s">
        <v>183</v>
      </c>
      <c r="AF160">
        <v>0</v>
      </c>
    </row>
    <row r="161" spans="1:32">
      <c r="A161">
        <v>123</v>
      </c>
      <c r="B161">
        <v>928</v>
      </c>
      <c r="C161" t="s">
        <v>2293</v>
      </c>
      <c r="D161" t="s">
        <v>169</v>
      </c>
      <c r="E161" t="s">
        <v>2165</v>
      </c>
      <c r="F161" t="s">
        <v>37</v>
      </c>
      <c r="G161" t="s">
        <v>511</v>
      </c>
      <c r="H161" t="s">
        <v>192</v>
      </c>
      <c r="I161" t="s">
        <v>173</v>
      </c>
      <c r="J161" t="s">
        <v>192</v>
      </c>
      <c r="K161" t="s">
        <v>2294</v>
      </c>
      <c r="L161" s="84">
        <v>43519</v>
      </c>
      <c r="M161" t="s">
        <v>381</v>
      </c>
      <c r="N161" t="s">
        <v>665</v>
      </c>
      <c r="O161">
        <v>9</v>
      </c>
      <c r="P161" t="s">
        <v>2295</v>
      </c>
      <c r="Q161" t="s">
        <v>2296</v>
      </c>
      <c r="R161" t="s">
        <v>2297</v>
      </c>
      <c r="S161" t="s">
        <v>2298</v>
      </c>
      <c r="T161" t="s">
        <v>37</v>
      </c>
      <c r="U161" t="s">
        <v>85</v>
      </c>
      <c r="V161">
        <v>76</v>
      </c>
      <c r="W161">
        <v>82</v>
      </c>
      <c r="X161">
        <v>120</v>
      </c>
      <c r="Y161">
        <v>111</v>
      </c>
      <c r="Z161">
        <v>175</v>
      </c>
      <c r="AA161">
        <v>165</v>
      </c>
      <c r="AB161" t="s">
        <v>2089</v>
      </c>
      <c r="AC161" t="s">
        <v>196</v>
      </c>
      <c r="AD161" t="s">
        <v>272</v>
      </c>
      <c r="AE161" t="s">
        <v>183</v>
      </c>
      <c r="AF161">
        <v>0</v>
      </c>
    </row>
    <row r="162" spans="1:32">
      <c r="A162">
        <v>123</v>
      </c>
      <c r="B162">
        <v>928</v>
      </c>
      <c r="C162" t="s">
        <v>2293</v>
      </c>
      <c r="D162" t="s">
        <v>169</v>
      </c>
      <c r="E162" t="s">
        <v>2165</v>
      </c>
      <c r="F162" t="s">
        <v>5</v>
      </c>
      <c r="G162" t="s">
        <v>2824</v>
      </c>
      <c r="H162" t="s">
        <v>228</v>
      </c>
      <c r="I162" t="s">
        <v>218</v>
      </c>
      <c r="J162" t="s">
        <v>297</v>
      </c>
      <c r="K162" t="s">
        <v>2294</v>
      </c>
      <c r="L162" s="84">
        <v>43519</v>
      </c>
      <c r="M162" t="s">
        <v>381</v>
      </c>
      <c r="N162" t="s">
        <v>665</v>
      </c>
      <c r="O162">
        <v>9</v>
      </c>
      <c r="P162" t="s">
        <v>2295</v>
      </c>
      <c r="Q162" t="s">
        <v>2296</v>
      </c>
      <c r="R162" t="s">
        <v>2297</v>
      </c>
      <c r="S162" t="s">
        <v>2298</v>
      </c>
      <c r="T162" t="s">
        <v>33</v>
      </c>
      <c r="U162" t="s">
        <v>85</v>
      </c>
      <c r="V162">
        <v>76</v>
      </c>
      <c r="W162">
        <v>82</v>
      </c>
      <c r="X162">
        <v>120</v>
      </c>
      <c r="Y162">
        <v>111</v>
      </c>
      <c r="Z162">
        <v>175</v>
      </c>
      <c r="AA162">
        <v>165</v>
      </c>
      <c r="AB162" t="s">
        <v>2089</v>
      </c>
      <c r="AC162" t="s">
        <v>196</v>
      </c>
      <c r="AD162" t="s">
        <v>272</v>
      </c>
      <c r="AE162" t="s">
        <v>183</v>
      </c>
      <c r="AF162">
        <v>0</v>
      </c>
    </row>
    <row r="163" spans="1:32">
      <c r="A163">
        <v>124</v>
      </c>
      <c r="B163">
        <v>1006</v>
      </c>
      <c r="C163" t="s">
        <v>2299</v>
      </c>
      <c r="D163" t="s">
        <v>169</v>
      </c>
      <c r="E163" t="s">
        <v>2165</v>
      </c>
      <c r="F163" t="s">
        <v>5</v>
      </c>
      <c r="G163" t="s">
        <v>2825</v>
      </c>
      <c r="H163" t="s">
        <v>226</v>
      </c>
      <c r="I163" t="s">
        <v>221</v>
      </c>
      <c r="J163" t="s">
        <v>236</v>
      </c>
      <c r="K163" t="s">
        <v>2300</v>
      </c>
      <c r="L163" s="84">
        <v>43471</v>
      </c>
      <c r="M163" t="s">
        <v>381</v>
      </c>
      <c r="N163" t="s">
        <v>2301</v>
      </c>
      <c r="O163">
        <v>3</v>
      </c>
      <c r="P163" t="s">
        <v>2302</v>
      </c>
      <c r="Q163" t="s">
        <v>2303</v>
      </c>
      <c r="R163" t="s">
        <v>2304</v>
      </c>
      <c r="S163" t="s">
        <v>2305</v>
      </c>
      <c r="T163" t="s">
        <v>33</v>
      </c>
      <c r="U163" t="s">
        <v>80</v>
      </c>
      <c r="V163">
        <v>66</v>
      </c>
      <c r="W163">
        <v>82</v>
      </c>
      <c r="X163">
        <v>120</v>
      </c>
      <c r="Y163">
        <v>101</v>
      </c>
      <c r="Z163">
        <v>175</v>
      </c>
      <c r="AA163">
        <v>151</v>
      </c>
      <c r="AB163" t="s">
        <v>180</v>
      </c>
      <c r="AC163" t="s">
        <v>181</v>
      </c>
      <c r="AD163" t="s">
        <v>182</v>
      </c>
      <c r="AE163" t="s">
        <v>183</v>
      </c>
      <c r="AF163">
        <v>0</v>
      </c>
    </row>
    <row r="164" spans="1:32">
      <c r="A164">
        <v>124</v>
      </c>
      <c r="B164">
        <v>1006</v>
      </c>
      <c r="C164" t="s">
        <v>2299</v>
      </c>
      <c r="D164" t="s">
        <v>169</v>
      </c>
      <c r="E164" t="s">
        <v>2165</v>
      </c>
      <c r="F164" t="s">
        <v>37</v>
      </c>
      <c r="G164" t="s">
        <v>521</v>
      </c>
      <c r="H164" t="s">
        <v>192</v>
      </c>
      <c r="I164" t="s">
        <v>173</v>
      </c>
      <c r="J164" t="s">
        <v>212</v>
      </c>
      <c r="K164" t="s">
        <v>2300</v>
      </c>
      <c r="L164" s="84">
        <v>43471</v>
      </c>
      <c r="M164" t="s">
        <v>381</v>
      </c>
      <c r="N164" t="s">
        <v>2301</v>
      </c>
      <c r="O164">
        <v>3</v>
      </c>
      <c r="P164" t="s">
        <v>2302</v>
      </c>
      <c r="Q164" t="s">
        <v>2303</v>
      </c>
      <c r="R164" t="s">
        <v>2304</v>
      </c>
      <c r="S164" t="s">
        <v>2305</v>
      </c>
      <c r="T164" t="s">
        <v>37</v>
      </c>
      <c r="U164" t="s">
        <v>80</v>
      </c>
      <c r="V164">
        <v>66</v>
      </c>
      <c r="W164">
        <v>82</v>
      </c>
      <c r="X164">
        <v>120</v>
      </c>
      <c r="Y164">
        <v>101</v>
      </c>
      <c r="Z164">
        <v>175</v>
      </c>
      <c r="AA164">
        <v>151</v>
      </c>
      <c r="AB164" t="s">
        <v>180</v>
      </c>
      <c r="AC164" t="s">
        <v>181</v>
      </c>
      <c r="AD164" t="s">
        <v>182</v>
      </c>
      <c r="AE164" t="s">
        <v>183</v>
      </c>
      <c r="AF164">
        <v>0</v>
      </c>
    </row>
    <row r="165" spans="1:32">
      <c r="A165">
        <v>124</v>
      </c>
      <c r="B165">
        <v>1006</v>
      </c>
      <c r="C165" t="s">
        <v>2299</v>
      </c>
      <c r="D165" t="s">
        <v>169</v>
      </c>
      <c r="E165" t="s">
        <v>2165</v>
      </c>
      <c r="F165" t="s">
        <v>193</v>
      </c>
      <c r="G165" t="s">
        <v>522</v>
      </c>
      <c r="H165" t="s">
        <v>192</v>
      </c>
      <c r="I165" t="s">
        <v>212</v>
      </c>
      <c r="J165" t="s">
        <v>192</v>
      </c>
      <c r="K165" t="s">
        <v>2300</v>
      </c>
      <c r="L165" s="84">
        <v>43471</v>
      </c>
      <c r="M165" t="s">
        <v>381</v>
      </c>
      <c r="N165" t="s">
        <v>2301</v>
      </c>
      <c r="O165">
        <v>3</v>
      </c>
      <c r="P165" t="s">
        <v>2302</v>
      </c>
      <c r="Q165" t="s">
        <v>2303</v>
      </c>
      <c r="R165" t="s">
        <v>2304</v>
      </c>
      <c r="S165" t="s">
        <v>2305</v>
      </c>
      <c r="T165" t="s">
        <v>36</v>
      </c>
      <c r="U165" t="s">
        <v>80</v>
      </c>
      <c r="V165">
        <v>66</v>
      </c>
      <c r="W165">
        <v>82</v>
      </c>
      <c r="X165">
        <v>120</v>
      </c>
      <c r="Y165">
        <v>101</v>
      </c>
      <c r="Z165">
        <v>175</v>
      </c>
      <c r="AA165">
        <v>151</v>
      </c>
      <c r="AB165" t="s">
        <v>180</v>
      </c>
      <c r="AC165" t="s">
        <v>181</v>
      </c>
      <c r="AD165" t="s">
        <v>182</v>
      </c>
      <c r="AE165" t="s">
        <v>183</v>
      </c>
      <c r="AF165">
        <v>0</v>
      </c>
    </row>
    <row r="166" spans="1:32">
      <c r="A166">
        <v>124</v>
      </c>
      <c r="B166">
        <v>1006</v>
      </c>
      <c r="C166" t="s">
        <v>2299</v>
      </c>
      <c r="D166" t="s">
        <v>169</v>
      </c>
      <c r="E166" t="s">
        <v>2165</v>
      </c>
      <c r="F166" t="s">
        <v>197</v>
      </c>
      <c r="G166" t="s">
        <v>514</v>
      </c>
      <c r="H166" t="s">
        <v>192</v>
      </c>
      <c r="I166" t="s">
        <v>212</v>
      </c>
      <c r="J166" t="s">
        <v>192</v>
      </c>
      <c r="K166" t="s">
        <v>2300</v>
      </c>
      <c r="L166" s="84">
        <v>43471</v>
      </c>
      <c r="M166" t="s">
        <v>381</v>
      </c>
      <c r="N166" t="s">
        <v>2301</v>
      </c>
      <c r="O166">
        <v>3</v>
      </c>
      <c r="P166" t="s">
        <v>2302</v>
      </c>
      <c r="Q166" t="s">
        <v>2303</v>
      </c>
      <c r="R166" t="s">
        <v>2304</v>
      </c>
      <c r="S166" t="s">
        <v>2305</v>
      </c>
      <c r="T166" t="s">
        <v>38</v>
      </c>
      <c r="U166" t="s">
        <v>80</v>
      </c>
      <c r="V166">
        <v>66</v>
      </c>
      <c r="W166">
        <v>82</v>
      </c>
      <c r="X166">
        <v>120</v>
      </c>
      <c r="Y166">
        <v>101</v>
      </c>
      <c r="Z166">
        <v>175</v>
      </c>
      <c r="AA166">
        <v>151</v>
      </c>
      <c r="AB166" t="s">
        <v>180</v>
      </c>
      <c r="AC166" t="s">
        <v>181</v>
      </c>
      <c r="AD166" t="s">
        <v>182</v>
      </c>
      <c r="AE166" t="s">
        <v>183</v>
      </c>
      <c r="AF166">
        <v>0</v>
      </c>
    </row>
    <row r="167" spans="1:32">
      <c r="A167">
        <v>124</v>
      </c>
      <c r="B167">
        <v>1006</v>
      </c>
      <c r="C167" t="s">
        <v>2299</v>
      </c>
      <c r="D167" t="s">
        <v>169</v>
      </c>
      <c r="E167" t="s">
        <v>2165</v>
      </c>
      <c r="F167" t="s">
        <v>6</v>
      </c>
      <c r="G167" t="s">
        <v>523</v>
      </c>
      <c r="H167" t="s">
        <v>192</v>
      </c>
      <c r="I167" t="s">
        <v>236</v>
      </c>
      <c r="J167" t="s">
        <v>171</v>
      </c>
      <c r="K167" t="s">
        <v>2300</v>
      </c>
      <c r="L167" s="84">
        <v>43471</v>
      </c>
      <c r="M167" t="s">
        <v>381</v>
      </c>
      <c r="N167" t="s">
        <v>2301</v>
      </c>
      <c r="O167">
        <v>3</v>
      </c>
      <c r="P167" t="s">
        <v>2302</v>
      </c>
      <c r="Q167" t="s">
        <v>2303</v>
      </c>
      <c r="R167" t="s">
        <v>2304</v>
      </c>
      <c r="S167" t="s">
        <v>2305</v>
      </c>
      <c r="T167" t="s">
        <v>34</v>
      </c>
      <c r="U167" t="s">
        <v>80</v>
      </c>
      <c r="V167">
        <v>66</v>
      </c>
      <c r="W167">
        <v>82</v>
      </c>
      <c r="X167">
        <v>120</v>
      </c>
      <c r="Y167">
        <v>101</v>
      </c>
      <c r="Z167">
        <v>175</v>
      </c>
      <c r="AA167">
        <v>151</v>
      </c>
      <c r="AB167" t="s">
        <v>180</v>
      </c>
      <c r="AC167" t="s">
        <v>181</v>
      </c>
      <c r="AD167" t="s">
        <v>182</v>
      </c>
      <c r="AE167" t="s">
        <v>183</v>
      </c>
      <c r="AF167">
        <v>0</v>
      </c>
    </row>
    <row r="168" spans="1:32">
      <c r="A168">
        <v>124</v>
      </c>
      <c r="B168">
        <v>1006</v>
      </c>
      <c r="C168" t="s">
        <v>2299</v>
      </c>
      <c r="D168" t="s">
        <v>169</v>
      </c>
      <c r="E168" t="s">
        <v>2165</v>
      </c>
      <c r="F168" t="s">
        <v>7</v>
      </c>
      <c r="G168" t="s">
        <v>525</v>
      </c>
      <c r="H168" t="s">
        <v>173</v>
      </c>
      <c r="I168" t="s">
        <v>181</v>
      </c>
      <c r="J168" t="s">
        <v>192</v>
      </c>
      <c r="K168" t="s">
        <v>2300</v>
      </c>
      <c r="L168" s="84">
        <v>43471</v>
      </c>
      <c r="M168" t="s">
        <v>381</v>
      </c>
      <c r="N168" t="s">
        <v>2301</v>
      </c>
      <c r="O168">
        <v>3</v>
      </c>
      <c r="P168" t="s">
        <v>2302</v>
      </c>
      <c r="Q168" t="s">
        <v>2303</v>
      </c>
      <c r="R168" t="s">
        <v>2304</v>
      </c>
      <c r="S168" t="s">
        <v>2305</v>
      </c>
      <c r="T168" t="s">
        <v>32</v>
      </c>
      <c r="U168" t="s">
        <v>80</v>
      </c>
      <c r="V168">
        <v>66</v>
      </c>
      <c r="W168">
        <v>82</v>
      </c>
      <c r="X168">
        <v>120</v>
      </c>
      <c r="Y168">
        <v>101</v>
      </c>
      <c r="Z168">
        <v>175</v>
      </c>
      <c r="AA168">
        <v>151</v>
      </c>
      <c r="AB168" t="s">
        <v>180</v>
      </c>
      <c r="AC168" t="s">
        <v>181</v>
      </c>
      <c r="AD168" t="s">
        <v>182</v>
      </c>
      <c r="AE168" t="s">
        <v>183</v>
      </c>
      <c r="AF168">
        <v>0</v>
      </c>
    </row>
    <row r="169" spans="1:32">
      <c r="A169">
        <v>124</v>
      </c>
      <c r="B169">
        <v>1006</v>
      </c>
      <c r="C169" t="s">
        <v>2299</v>
      </c>
      <c r="D169" t="s">
        <v>169</v>
      </c>
      <c r="E169" t="s">
        <v>2165</v>
      </c>
      <c r="F169" t="s">
        <v>8</v>
      </c>
      <c r="G169" t="s">
        <v>524</v>
      </c>
      <c r="H169" t="s">
        <v>192</v>
      </c>
      <c r="I169" t="s">
        <v>324</v>
      </c>
      <c r="J169" t="s">
        <v>173</v>
      </c>
      <c r="K169" t="s">
        <v>2300</v>
      </c>
      <c r="L169" s="84">
        <v>43471</v>
      </c>
      <c r="M169" t="s">
        <v>381</v>
      </c>
      <c r="N169" t="s">
        <v>2301</v>
      </c>
      <c r="O169">
        <v>3</v>
      </c>
      <c r="P169" t="s">
        <v>2302</v>
      </c>
      <c r="Q169" t="s">
        <v>2303</v>
      </c>
      <c r="R169" t="s">
        <v>2304</v>
      </c>
      <c r="S169" t="s">
        <v>2305</v>
      </c>
      <c r="T169" t="s">
        <v>31</v>
      </c>
      <c r="U169" t="s">
        <v>80</v>
      </c>
      <c r="V169">
        <v>66</v>
      </c>
      <c r="W169">
        <v>82</v>
      </c>
      <c r="X169">
        <v>120</v>
      </c>
      <c r="Y169">
        <v>101</v>
      </c>
      <c r="Z169">
        <v>175</v>
      </c>
      <c r="AA169">
        <v>151</v>
      </c>
      <c r="AB169" t="s">
        <v>180</v>
      </c>
      <c r="AC169" t="s">
        <v>181</v>
      </c>
      <c r="AD169" t="s">
        <v>182</v>
      </c>
      <c r="AE169" t="s">
        <v>183</v>
      </c>
      <c r="AF169">
        <v>0</v>
      </c>
    </row>
    <row r="170" spans="1:32">
      <c r="A170">
        <v>125</v>
      </c>
      <c r="B170">
        <v>1128</v>
      </c>
      <c r="C170" t="s">
        <v>2306</v>
      </c>
      <c r="D170" t="s">
        <v>169</v>
      </c>
      <c r="E170" t="s">
        <v>2165</v>
      </c>
      <c r="F170" t="s">
        <v>8</v>
      </c>
      <c r="G170" t="s">
        <v>533</v>
      </c>
      <c r="H170" t="s">
        <v>189</v>
      </c>
      <c r="I170" t="s">
        <v>185</v>
      </c>
      <c r="J170" t="s">
        <v>239</v>
      </c>
      <c r="K170" t="s">
        <v>2307</v>
      </c>
      <c r="L170" s="84">
        <v>43217</v>
      </c>
      <c r="M170" t="s">
        <v>381</v>
      </c>
      <c r="N170" t="s">
        <v>2308</v>
      </c>
      <c r="O170">
        <v>1</v>
      </c>
      <c r="P170" t="s">
        <v>2309</v>
      </c>
      <c r="Q170" t="s">
        <v>2310</v>
      </c>
      <c r="R170" t="s">
        <v>2311</v>
      </c>
      <c r="S170" t="s">
        <v>2312</v>
      </c>
      <c r="T170" t="s">
        <v>31</v>
      </c>
      <c r="U170" t="s">
        <v>78</v>
      </c>
      <c r="V170">
        <v>46</v>
      </c>
      <c r="W170">
        <v>82</v>
      </c>
      <c r="X170">
        <v>120</v>
      </c>
      <c r="Y170">
        <v>80</v>
      </c>
      <c r="Z170">
        <v>175</v>
      </c>
      <c r="AA170">
        <v>129</v>
      </c>
      <c r="AB170" t="s">
        <v>413</v>
      </c>
      <c r="AC170" t="s">
        <v>188</v>
      </c>
      <c r="AD170" t="s">
        <v>182</v>
      </c>
      <c r="AE170" t="s">
        <v>183</v>
      </c>
      <c r="AF170">
        <v>0</v>
      </c>
    </row>
    <row r="171" spans="1:32">
      <c r="A171">
        <v>125</v>
      </c>
      <c r="B171">
        <v>1128</v>
      </c>
      <c r="C171" t="s">
        <v>2306</v>
      </c>
      <c r="D171" t="s">
        <v>169</v>
      </c>
      <c r="E171" t="s">
        <v>2165</v>
      </c>
      <c r="F171" t="s">
        <v>7</v>
      </c>
      <c r="G171" t="s">
        <v>527</v>
      </c>
      <c r="H171" t="s">
        <v>239</v>
      </c>
      <c r="I171" t="s">
        <v>239</v>
      </c>
      <c r="J171" t="s">
        <v>260</v>
      </c>
      <c r="K171" t="s">
        <v>2307</v>
      </c>
      <c r="L171" s="84">
        <v>43217</v>
      </c>
      <c r="M171" t="s">
        <v>381</v>
      </c>
      <c r="N171" t="s">
        <v>2308</v>
      </c>
      <c r="O171">
        <v>1</v>
      </c>
      <c r="P171" t="s">
        <v>2309</v>
      </c>
      <c r="Q171" t="s">
        <v>2310</v>
      </c>
      <c r="R171" t="s">
        <v>2311</v>
      </c>
      <c r="S171" t="s">
        <v>2312</v>
      </c>
      <c r="T171" t="s">
        <v>32</v>
      </c>
      <c r="U171" t="s">
        <v>78</v>
      </c>
      <c r="V171">
        <v>46</v>
      </c>
      <c r="W171">
        <v>82</v>
      </c>
      <c r="X171">
        <v>120</v>
      </c>
      <c r="Y171">
        <v>80</v>
      </c>
      <c r="Z171">
        <v>175</v>
      </c>
      <c r="AA171">
        <v>129</v>
      </c>
      <c r="AB171" t="s">
        <v>413</v>
      </c>
      <c r="AC171" t="s">
        <v>188</v>
      </c>
      <c r="AD171" t="s">
        <v>182</v>
      </c>
      <c r="AE171" t="s">
        <v>183</v>
      </c>
      <c r="AF171">
        <v>0</v>
      </c>
    </row>
    <row r="172" spans="1:32">
      <c r="A172">
        <v>125</v>
      </c>
      <c r="B172">
        <v>1128</v>
      </c>
      <c r="C172" t="s">
        <v>2306</v>
      </c>
      <c r="D172" t="s">
        <v>169</v>
      </c>
      <c r="E172" t="s">
        <v>2165</v>
      </c>
      <c r="F172" t="s">
        <v>6</v>
      </c>
      <c r="G172" t="s">
        <v>534</v>
      </c>
      <c r="H172" t="s">
        <v>274</v>
      </c>
      <c r="I172" t="s">
        <v>297</v>
      </c>
      <c r="J172" t="s">
        <v>274</v>
      </c>
      <c r="K172" t="s">
        <v>2307</v>
      </c>
      <c r="L172" s="84">
        <v>43217</v>
      </c>
      <c r="M172" t="s">
        <v>381</v>
      </c>
      <c r="N172" t="s">
        <v>2308</v>
      </c>
      <c r="O172">
        <v>1</v>
      </c>
      <c r="P172" t="s">
        <v>2309</v>
      </c>
      <c r="Q172" t="s">
        <v>2310</v>
      </c>
      <c r="R172" t="s">
        <v>2311</v>
      </c>
      <c r="S172" t="s">
        <v>2312</v>
      </c>
      <c r="T172" t="s">
        <v>34</v>
      </c>
      <c r="U172" t="s">
        <v>78</v>
      </c>
      <c r="V172">
        <v>46</v>
      </c>
      <c r="W172">
        <v>82</v>
      </c>
      <c r="X172">
        <v>120</v>
      </c>
      <c r="Y172">
        <v>80</v>
      </c>
      <c r="Z172">
        <v>175</v>
      </c>
      <c r="AA172">
        <v>129</v>
      </c>
      <c r="AB172" t="s">
        <v>413</v>
      </c>
      <c r="AC172" t="s">
        <v>188</v>
      </c>
      <c r="AD172" t="s">
        <v>182</v>
      </c>
      <c r="AE172" t="s">
        <v>183</v>
      </c>
      <c r="AF172">
        <v>0</v>
      </c>
    </row>
    <row r="173" spans="1:32">
      <c r="A173">
        <v>125</v>
      </c>
      <c r="B173">
        <v>1128</v>
      </c>
      <c r="C173" t="s">
        <v>2306</v>
      </c>
      <c r="D173" t="s">
        <v>169</v>
      </c>
      <c r="E173" t="s">
        <v>2165</v>
      </c>
      <c r="F173" t="s">
        <v>197</v>
      </c>
      <c r="G173" t="s">
        <v>537</v>
      </c>
      <c r="H173" t="s">
        <v>192</v>
      </c>
      <c r="I173" t="s">
        <v>212</v>
      </c>
      <c r="J173" t="s">
        <v>212</v>
      </c>
      <c r="K173" t="s">
        <v>2307</v>
      </c>
      <c r="L173" s="84">
        <v>43217</v>
      </c>
      <c r="M173" t="s">
        <v>381</v>
      </c>
      <c r="N173" t="s">
        <v>2308</v>
      </c>
      <c r="O173">
        <v>1</v>
      </c>
      <c r="P173" t="s">
        <v>2309</v>
      </c>
      <c r="Q173" t="s">
        <v>2310</v>
      </c>
      <c r="R173" t="s">
        <v>2311</v>
      </c>
      <c r="S173" t="s">
        <v>2312</v>
      </c>
      <c r="T173" t="s">
        <v>38</v>
      </c>
      <c r="U173" t="s">
        <v>78</v>
      </c>
      <c r="V173">
        <v>46</v>
      </c>
      <c r="W173">
        <v>82</v>
      </c>
      <c r="X173">
        <v>120</v>
      </c>
      <c r="Y173">
        <v>80</v>
      </c>
      <c r="Z173">
        <v>175</v>
      </c>
      <c r="AA173">
        <v>129</v>
      </c>
      <c r="AB173" t="s">
        <v>413</v>
      </c>
      <c r="AC173" t="s">
        <v>188</v>
      </c>
      <c r="AD173" t="s">
        <v>182</v>
      </c>
      <c r="AE173" t="s">
        <v>183</v>
      </c>
      <c r="AF173">
        <v>0</v>
      </c>
    </row>
    <row r="174" spans="1:32">
      <c r="A174">
        <v>125</v>
      </c>
      <c r="B174">
        <v>1128</v>
      </c>
      <c r="C174" t="s">
        <v>2306</v>
      </c>
      <c r="D174" t="s">
        <v>169</v>
      </c>
      <c r="E174" t="s">
        <v>2165</v>
      </c>
      <c r="F174" t="s">
        <v>193</v>
      </c>
      <c r="G174" t="s">
        <v>535</v>
      </c>
      <c r="H174" t="s">
        <v>192</v>
      </c>
      <c r="I174" t="s">
        <v>212</v>
      </c>
      <c r="J174" t="s">
        <v>212</v>
      </c>
      <c r="K174" t="s">
        <v>2307</v>
      </c>
      <c r="L174" s="84">
        <v>43217</v>
      </c>
      <c r="M174" t="s">
        <v>381</v>
      </c>
      <c r="N174" t="s">
        <v>2308</v>
      </c>
      <c r="O174">
        <v>1</v>
      </c>
      <c r="P174" t="s">
        <v>2309</v>
      </c>
      <c r="Q174" t="s">
        <v>2310</v>
      </c>
      <c r="R174" t="s">
        <v>2311</v>
      </c>
      <c r="S174" t="s">
        <v>2312</v>
      </c>
      <c r="T174" t="s">
        <v>36</v>
      </c>
      <c r="U174" t="s">
        <v>78</v>
      </c>
      <c r="V174">
        <v>46</v>
      </c>
      <c r="W174">
        <v>82</v>
      </c>
      <c r="X174">
        <v>120</v>
      </c>
      <c r="Y174">
        <v>80</v>
      </c>
      <c r="Z174">
        <v>175</v>
      </c>
      <c r="AA174">
        <v>129</v>
      </c>
      <c r="AB174" t="s">
        <v>413</v>
      </c>
      <c r="AC174" t="s">
        <v>188</v>
      </c>
      <c r="AD174" t="s">
        <v>182</v>
      </c>
      <c r="AE174" t="s">
        <v>183</v>
      </c>
      <c r="AF174">
        <v>0</v>
      </c>
    </row>
    <row r="175" spans="1:32">
      <c r="A175">
        <v>125</v>
      </c>
      <c r="B175">
        <v>1128</v>
      </c>
      <c r="C175" t="s">
        <v>2306</v>
      </c>
      <c r="D175" t="s">
        <v>169</v>
      </c>
      <c r="E175" t="s">
        <v>2165</v>
      </c>
      <c r="F175" t="s">
        <v>37</v>
      </c>
      <c r="G175" t="s">
        <v>536</v>
      </c>
      <c r="H175" t="s">
        <v>192</v>
      </c>
      <c r="I175" t="s">
        <v>173</v>
      </c>
      <c r="J175" t="s">
        <v>212</v>
      </c>
      <c r="K175" t="s">
        <v>2307</v>
      </c>
      <c r="L175" s="84">
        <v>43217</v>
      </c>
      <c r="M175" t="s">
        <v>381</v>
      </c>
      <c r="N175" t="s">
        <v>2308</v>
      </c>
      <c r="O175">
        <v>1</v>
      </c>
      <c r="P175" t="s">
        <v>2309</v>
      </c>
      <c r="Q175" t="s">
        <v>2310</v>
      </c>
      <c r="R175" t="s">
        <v>2311</v>
      </c>
      <c r="S175" t="s">
        <v>2312</v>
      </c>
      <c r="T175" t="s">
        <v>37</v>
      </c>
      <c r="U175" t="s">
        <v>78</v>
      </c>
      <c r="V175">
        <v>46</v>
      </c>
      <c r="W175">
        <v>82</v>
      </c>
      <c r="X175">
        <v>120</v>
      </c>
      <c r="Y175">
        <v>80</v>
      </c>
      <c r="Z175">
        <v>175</v>
      </c>
      <c r="AA175">
        <v>129</v>
      </c>
      <c r="AB175" t="s">
        <v>413</v>
      </c>
      <c r="AC175" t="s">
        <v>188</v>
      </c>
      <c r="AD175" t="s">
        <v>182</v>
      </c>
      <c r="AE175" t="s">
        <v>183</v>
      </c>
      <c r="AF175">
        <v>0</v>
      </c>
    </row>
    <row r="176" spans="1:32">
      <c r="A176">
        <v>125</v>
      </c>
      <c r="B176">
        <v>1128</v>
      </c>
      <c r="C176" t="s">
        <v>2306</v>
      </c>
      <c r="D176" t="s">
        <v>169</v>
      </c>
      <c r="E176" t="s">
        <v>2165</v>
      </c>
      <c r="F176" t="s">
        <v>5</v>
      </c>
      <c r="G176" t="s">
        <v>2826</v>
      </c>
      <c r="H176" t="s">
        <v>274</v>
      </c>
      <c r="I176" t="s">
        <v>497</v>
      </c>
      <c r="J176" t="s">
        <v>218</v>
      </c>
      <c r="K176" t="s">
        <v>2307</v>
      </c>
      <c r="L176" s="84">
        <v>43217</v>
      </c>
      <c r="M176" t="s">
        <v>381</v>
      </c>
      <c r="N176" t="s">
        <v>2308</v>
      </c>
      <c r="O176">
        <v>1</v>
      </c>
      <c r="P176" t="s">
        <v>2309</v>
      </c>
      <c r="Q176" t="s">
        <v>2310</v>
      </c>
      <c r="R176" t="s">
        <v>2311</v>
      </c>
      <c r="S176" t="s">
        <v>2312</v>
      </c>
      <c r="T176" t="s">
        <v>33</v>
      </c>
      <c r="U176" t="s">
        <v>78</v>
      </c>
      <c r="V176">
        <v>46</v>
      </c>
      <c r="W176">
        <v>82</v>
      </c>
      <c r="X176">
        <v>120</v>
      </c>
      <c r="Y176">
        <v>80</v>
      </c>
      <c r="Z176">
        <v>175</v>
      </c>
      <c r="AA176">
        <v>129</v>
      </c>
      <c r="AB176" t="s">
        <v>413</v>
      </c>
      <c r="AC176" t="s">
        <v>188</v>
      </c>
      <c r="AD176" t="s">
        <v>182</v>
      </c>
      <c r="AE176" t="s">
        <v>183</v>
      </c>
      <c r="AF176">
        <v>0</v>
      </c>
    </row>
    <row r="177" spans="1:32">
      <c r="A177">
        <v>126</v>
      </c>
      <c r="B177">
        <v>1168</v>
      </c>
      <c r="C177" t="s">
        <v>2313</v>
      </c>
      <c r="D177" t="s">
        <v>169</v>
      </c>
      <c r="E177" t="s">
        <v>2165</v>
      </c>
      <c r="F177" t="s">
        <v>5</v>
      </c>
      <c r="G177" t="s">
        <v>2827</v>
      </c>
      <c r="H177" t="s">
        <v>238</v>
      </c>
      <c r="I177" t="s">
        <v>243</v>
      </c>
      <c r="J177" t="s">
        <v>189</v>
      </c>
      <c r="K177" t="s">
        <v>2314</v>
      </c>
      <c r="L177" s="84">
        <v>43463</v>
      </c>
      <c r="M177" t="s">
        <v>381</v>
      </c>
      <c r="N177" t="s">
        <v>2315</v>
      </c>
      <c r="O177">
        <v>1</v>
      </c>
      <c r="P177" t="s">
        <v>2316</v>
      </c>
      <c r="Q177" t="s">
        <v>2317</v>
      </c>
      <c r="R177" t="s">
        <v>2318</v>
      </c>
      <c r="S177" t="s">
        <v>2319</v>
      </c>
      <c r="T177" t="s">
        <v>33</v>
      </c>
      <c r="U177" t="s">
        <v>78</v>
      </c>
      <c r="V177">
        <v>56</v>
      </c>
      <c r="W177">
        <v>82</v>
      </c>
      <c r="X177">
        <v>120</v>
      </c>
      <c r="Y177">
        <v>77</v>
      </c>
      <c r="Z177">
        <v>175</v>
      </c>
      <c r="AA177">
        <v>121</v>
      </c>
      <c r="AB177" t="s">
        <v>398</v>
      </c>
      <c r="AC177" t="s">
        <v>223</v>
      </c>
      <c r="AD177" t="s">
        <v>210</v>
      </c>
      <c r="AE177" t="s">
        <v>183</v>
      </c>
      <c r="AF177">
        <v>0</v>
      </c>
    </row>
    <row r="178" spans="1:32">
      <c r="A178">
        <v>126</v>
      </c>
      <c r="B178">
        <v>1168</v>
      </c>
      <c r="C178" t="s">
        <v>2313</v>
      </c>
      <c r="D178" t="s">
        <v>169</v>
      </c>
      <c r="E178" t="s">
        <v>2165</v>
      </c>
      <c r="F178" t="s">
        <v>37</v>
      </c>
      <c r="G178" t="s">
        <v>547</v>
      </c>
      <c r="H178" t="s">
        <v>192</v>
      </c>
      <c r="I178" t="s">
        <v>181</v>
      </c>
      <c r="J178" t="s">
        <v>192</v>
      </c>
      <c r="K178" t="s">
        <v>2314</v>
      </c>
      <c r="L178" s="84">
        <v>43463</v>
      </c>
      <c r="M178" t="s">
        <v>381</v>
      </c>
      <c r="N178" t="s">
        <v>2315</v>
      </c>
      <c r="O178">
        <v>1</v>
      </c>
      <c r="P178" t="s">
        <v>2316</v>
      </c>
      <c r="Q178" t="s">
        <v>2317</v>
      </c>
      <c r="R178" t="s">
        <v>2318</v>
      </c>
      <c r="S178" t="s">
        <v>2319</v>
      </c>
      <c r="T178" t="s">
        <v>37</v>
      </c>
      <c r="U178" t="s">
        <v>78</v>
      </c>
      <c r="V178">
        <v>56</v>
      </c>
      <c r="W178">
        <v>82</v>
      </c>
      <c r="X178">
        <v>120</v>
      </c>
      <c r="Y178">
        <v>77</v>
      </c>
      <c r="Z178">
        <v>175</v>
      </c>
      <c r="AA178">
        <v>121</v>
      </c>
      <c r="AB178" t="s">
        <v>398</v>
      </c>
      <c r="AC178" t="s">
        <v>223</v>
      </c>
      <c r="AD178" t="s">
        <v>210</v>
      </c>
      <c r="AE178" t="s">
        <v>183</v>
      </c>
      <c r="AF178">
        <v>0</v>
      </c>
    </row>
    <row r="179" spans="1:32">
      <c r="A179">
        <v>126</v>
      </c>
      <c r="B179">
        <v>1168</v>
      </c>
      <c r="C179" t="s">
        <v>2313</v>
      </c>
      <c r="D179" t="s">
        <v>169</v>
      </c>
      <c r="E179" t="s">
        <v>2165</v>
      </c>
      <c r="F179" t="s">
        <v>193</v>
      </c>
      <c r="G179" t="s">
        <v>548</v>
      </c>
      <c r="H179" t="s">
        <v>192</v>
      </c>
      <c r="I179" t="s">
        <v>188</v>
      </c>
      <c r="J179" t="s">
        <v>192</v>
      </c>
      <c r="K179" t="s">
        <v>2314</v>
      </c>
      <c r="L179" s="84">
        <v>43463</v>
      </c>
      <c r="M179" t="s">
        <v>381</v>
      </c>
      <c r="N179" t="s">
        <v>2315</v>
      </c>
      <c r="O179">
        <v>1</v>
      </c>
      <c r="P179" t="s">
        <v>2316</v>
      </c>
      <c r="Q179" t="s">
        <v>2317</v>
      </c>
      <c r="R179" t="s">
        <v>2318</v>
      </c>
      <c r="S179" t="s">
        <v>2319</v>
      </c>
      <c r="T179" t="s">
        <v>36</v>
      </c>
      <c r="U179" t="s">
        <v>78</v>
      </c>
      <c r="V179">
        <v>56</v>
      </c>
      <c r="W179">
        <v>82</v>
      </c>
      <c r="X179">
        <v>120</v>
      </c>
      <c r="Y179">
        <v>77</v>
      </c>
      <c r="Z179">
        <v>175</v>
      </c>
      <c r="AA179">
        <v>121</v>
      </c>
      <c r="AB179" t="s">
        <v>398</v>
      </c>
      <c r="AC179" t="s">
        <v>223</v>
      </c>
      <c r="AD179" t="s">
        <v>210</v>
      </c>
      <c r="AE179" t="s">
        <v>183</v>
      </c>
      <c r="AF179">
        <v>0</v>
      </c>
    </row>
    <row r="180" spans="1:32">
      <c r="A180">
        <v>126</v>
      </c>
      <c r="B180">
        <v>1168</v>
      </c>
      <c r="C180" t="s">
        <v>2313</v>
      </c>
      <c r="D180" t="s">
        <v>169</v>
      </c>
      <c r="E180" t="s">
        <v>2165</v>
      </c>
      <c r="F180" t="s">
        <v>197</v>
      </c>
      <c r="G180" t="s">
        <v>539</v>
      </c>
      <c r="H180" t="s">
        <v>192</v>
      </c>
      <c r="I180" t="s">
        <v>212</v>
      </c>
      <c r="J180" t="s">
        <v>212</v>
      </c>
      <c r="K180" t="s">
        <v>2314</v>
      </c>
      <c r="L180" s="84">
        <v>43463</v>
      </c>
      <c r="M180" t="s">
        <v>381</v>
      </c>
      <c r="N180" t="s">
        <v>2315</v>
      </c>
      <c r="O180">
        <v>1</v>
      </c>
      <c r="P180" t="s">
        <v>2316</v>
      </c>
      <c r="Q180" t="s">
        <v>2317</v>
      </c>
      <c r="R180" t="s">
        <v>2318</v>
      </c>
      <c r="S180" t="s">
        <v>2319</v>
      </c>
      <c r="T180" t="s">
        <v>38</v>
      </c>
      <c r="U180" t="s">
        <v>78</v>
      </c>
      <c r="V180">
        <v>56</v>
      </c>
      <c r="W180">
        <v>82</v>
      </c>
      <c r="X180">
        <v>120</v>
      </c>
      <c r="Y180">
        <v>77</v>
      </c>
      <c r="Z180">
        <v>175</v>
      </c>
      <c r="AA180">
        <v>121</v>
      </c>
      <c r="AB180" t="s">
        <v>398</v>
      </c>
      <c r="AC180" t="s">
        <v>223</v>
      </c>
      <c r="AD180" t="s">
        <v>210</v>
      </c>
      <c r="AE180" t="s">
        <v>183</v>
      </c>
      <c r="AF180">
        <v>0</v>
      </c>
    </row>
    <row r="181" spans="1:32">
      <c r="A181">
        <v>126</v>
      </c>
      <c r="B181">
        <v>1168</v>
      </c>
      <c r="C181" t="s">
        <v>2313</v>
      </c>
      <c r="D181" t="s">
        <v>169</v>
      </c>
      <c r="E181" t="s">
        <v>2165</v>
      </c>
      <c r="F181" t="s">
        <v>6</v>
      </c>
      <c r="G181" t="s">
        <v>549</v>
      </c>
      <c r="H181" t="s">
        <v>191</v>
      </c>
      <c r="I181" t="s">
        <v>236</v>
      </c>
      <c r="J181" t="s">
        <v>171</v>
      </c>
      <c r="K181" t="s">
        <v>2314</v>
      </c>
      <c r="L181" s="84">
        <v>43463</v>
      </c>
      <c r="M181" t="s">
        <v>381</v>
      </c>
      <c r="N181" t="s">
        <v>2315</v>
      </c>
      <c r="O181">
        <v>1</v>
      </c>
      <c r="P181" t="s">
        <v>2316</v>
      </c>
      <c r="Q181" t="s">
        <v>2317</v>
      </c>
      <c r="R181" t="s">
        <v>2318</v>
      </c>
      <c r="S181" t="s">
        <v>2319</v>
      </c>
      <c r="T181" t="s">
        <v>34</v>
      </c>
      <c r="U181" t="s">
        <v>78</v>
      </c>
      <c r="V181">
        <v>56</v>
      </c>
      <c r="W181">
        <v>82</v>
      </c>
      <c r="X181">
        <v>120</v>
      </c>
      <c r="Y181">
        <v>77</v>
      </c>
      <c r="Z181">
        <v>175</v>
      </c>
      <c r="AA181">
        <v>121</v>
      </c>
      <c r="AB181" t="s">
        <v>398</v>
      </c>
      <c r="AC181" t="s">
        <v>223</v>
      </c>
      <c r="AD181" t="s">
        <v>210</v>
      </c>
      <c r="AE181" t="s">
        <v>183</v>
      </c>
      <c r="AF181">
        <v>0</v>
      </c>
    </row>
    <row r="182" spans="1:32">
      <c r="A182">
        <v>126</v>
      </c>
      <c r="B182">
        <v>1168</v>
      </c>
      <c r="C182" t="s">
        <v>2313</v>
      </c>
      <c r="D182" t="s">
        <v>169</v>
      </c>
      <c r="E182" t="s">
        <v>2165</v>
      </c>
      <c r="F182" t="s">
        <v>7</v>
      </c>
      <c r="G182" t="s">
        <v>551</v>
      </c>
      <c r="H182" t="s">
        <v>189</v>
      </c>
      <c r="I182" t="s">
        <v>376</v>
      </c>
      <c r="J182" t="s">
        <v>260</v>
      </c>
      <c r="K182" t="s">
        <v>2314</v>
      </c>
      <c r="L182" s="84">
        <v>43463</v>
      </c>
      <c r="M182" t="s">
        <v>381</v>
      </c>
      <c r="N182" t="s">
        <v>2315</v>
      </c>
      <c r="O182">
        <v>1</v>
      </c>
      <c r="P182" t="s">
        <v>2316</v>
      </c>
      <c r="Q182" t="s">
        <v>2317</v>
      </c>
      <c r="R182" t="s">
        <v>2318</v>
      </c>
      <c r="S182" t="s">
        <v>2319</v>
      </c>
      <c r="T182" t="s">
        <v>32</v>
      </c>
      <c r="U182" t="s">
        <v>78</v>
      </c>
      <c r="V182">
        <v>56</v>
      </c>
      <c r="W182">
        <v>82</v>
      </c>
      <c r="X182">
        <v>120</v>
      </c>
      <c r="Y182">
        <v>77</v>
      </c>
      <c r="Z182">
        <v>175</v>
      </c>
      <c r="AA182">
        <v>121</v>
      </c>
      <c r="AB182" t="s">
        <v>398</v>
      </c>
      <c r="AC182" t="s">
        <v>223</v>
      </c>
      <c r="AD182" t="s">
        <v>210</v>
      </c>
      <c r="AE182" t="s">
        <v>183</v>
      </c>
      <c r="AF182">
        <v>0</v>
      </c>
    </row>
    <row r="183" spans="1:32">
      <c r="A183">
        <v>126</v>
      </c>
      <c r="B183">
        <v>1168</v>
      </c>
      <c r="C183" t="s">
        <v>2313</v>
      </c>
      <c r="D183" t="s">
        <v>169</v>
      </c>
      <c r="E183" t="s">
        <v>2165</v>
      </c>
      <c r="F183" t="s">
        <v>8</v>
      </c>
      <c r="G183" t="s">
        <v>550</v>
      </c>
      <c r="H183" t="s">
        <v>218</v>
      </c>
      <c r="I183" t="s">
        <v>186</v>
      </c>
      <c r="J183" t="s">
        <v>259</v>
      </c>
      <c r="K183" t="s">
        <v>2314</v>
      </c>
      <c r="L183" s="84">
        <v>43463</v>
      </c>
      <c r="M183" t="s">
        <v>381</v>
      </c>
      <c r="N183" t="s">
        <v>2315</v>
      </c>
      <c r="O183">
        <v>1</v>
      </c>
      <c r="P183" t="s">
        <v>2316</v>
      </c>
      <c r="Q183" t="s">
        <v>2317</v>
      </c>
      <c r="R183" t="s">
        <v>2318</v>
      </c>
      <c r="S183" t="s">
        <v>2319</v>
      </c>
      <c r="T183" t="s">
        <v>31</v>
      </c>
      <c r="U183" t="s">
        <v>78</v>
      </c>
      <c r="V183">
        <v>56</v>
      </c>
      <c r="W183">
        <v>82</v>
      </c>
      <c r="X183">
        <v>120</v>
      </c>
      <c r="Y183">
        <v>77</v>
      </c>
      <c r="Z183">
        <v>175</v>
      </c>
      <c r="AA183">
        <v>121</v>
      </c>
      <c r="AB183" t="s">
        <v>398</v>
      </c>
      <c r="AC183" t="s">
        <v>223</v>
      </c>
      <c r="AD183" t="s">
        <v>210</v>
      </c>
      <c r="AE183" t="s">
        <v>183</v>
      </c>
      <c r="AF183">
        <v>0</v>
      </c>
    </row>
    <row r="184" spans="1:32">
      <c r="A184">
        <v>127</v>
      </c>
      <c r="B184">
        <v>903</v>
      </c>
      <c r="C184" t="s">
        <v>2320</v>
      </c>
      <c r="D184" t="s">
        <v>169</v>
      </c>
      <c r="E184" t="s">
        <v>2165</v>
      </c>
      <c r="F184" t="s">
        <v>8</v>
      </c>
      <c r="G184" t="s">
        <v>560</v>
      </c>
      <c r="H184" t="s">
        <v>172</v>
      </c>
      <c r="I184" t="s">
        <v>462</v>
      </c>
      <c r="J184" t="s">
        <v>462</v>
      </c>
      <c r="K184" t="s">
        <v>2321</v>
      </c>
      <c r="L184" s="84">
        <v>43659</v>
      </c>
      <c r="M184" t="s">
        <v>381</v>
      </c>
      <c r="N184" t="s">
        <v>2322</v>
      </c>
      <c r="O184">
        <v>2</v>
      </c>
      <c r="P184" t="s">
        <v>951</v>
      </c>
      <c r="Q184" t="s">
        <v>952</v>
      </c>
      <c r="R184" t="s">
        <v>2323</v>
      </c>
      <c r="S184" t="s">
        <v>2324</v>
      </c>
      <c r="T184" t="s">
        <v>31</v>
      </c>
      <c r="U184" t="s">
        <v>79</v>
      </c>
      <c r="V184">
        <v>52</v>
      </c>
      <c r="W184">
        <v>82</v>
      </c>
      <c r="X184">
        <v>120</v>
      </c>
      <c r="Y184">
        <v>81</v>
      </c>
      <c r="Z184">
        <v>175</v>
      </c>
      <c r="AA184">
        <v>123</v>
      </c>
      <c r="AB184" t="s">
        <v>2325</v>
      </c>
      <c r="AC184" t="s">
        <v>201</v>
      </c>
      <c r="AD184" t="s">
        <v>210</v>
      </c>
      <c r="AE184" t="s">
        <v>183</v>
      </c>
      <c r="AF184">
        <v>1</v>
      </c>
    </row>
    <row r="185" spans="1:32">
      <c r="A185">
        <v>127</v>
      </c>
      <c r="B185">
        <v>903</v>
      </c>
      <c r="C185" t="s">
        <v>2320</v>
      </c>
      <c r="D185" t="s">
        <v>169</v>
      </c>
      <c r="E185" t="s">
        <v>2165</v>
      </c>
      <c r="F185" t="s">
        <v>7</v>
      </c>
      <c r="G185" t="s">
        <v>553</v>
      </c>
      <c r="H185" t="s">
        <v>181</v>
      </c>
      <c r="I185" t="s">
        <v>212</v>
      </c>
      <c r="J185" t="s">
        <v>415</v>
      </c>
      <c r="K185" t="s">
        <v>2321</v>
      </c>
      <c r="L185" s="84">
        <v>43659</v>
      </c>
      <c r="M185" t="s">
        <v>381</v>
      </c>
      <c r="N185" t="s">
        <v>2322</v>
      </c>
      <c r="O185">
        <v>2</v>
      </c>
      <c r="P185" t="s">
        <v>951</v>
      </c>
      <c r="Q185" t="s">
        <v>952</v>
      </c>
      <c r="R185" t="s">
        <v>2323</v>
      </c>
      <c r="S185" t="s">
        <v>2324</v>
      </c>
      <c r="T185" t="s">
        <v>32</v>
      </c>
      <c r="U185" t="s">
        <v>79</v>
      </c>
      <c r="V185">
        <v>52</v>
      </c>
      <c r="W185">
        <v>82</v>
      </c>
      <c r="X185">
        <v>120</v>
      </c>
      <c r="Y185">
        <v>81</v>
      </c>
      <c r="Z185">
        <v>175</v>
      </c>
      <c r="AA185">
        <v>123</v>
      </c>
      <c r="AB185" t="s">
        <v>2325</v>
      </c>
      <c r="AC185" t="s">
        <v>201</v>
      </c>
      <c r="AD185" t="s">
        <v>210</v>
      </c>
      <c r="AE185" t="s">
        <v>183</v>
      </c>
      <c r="AF185">
        <v>1</v>
      </c>
    </row>
    <row r="186" spans="1:32">
      <c r="A186">
        <v>127</v>
      </c>
      <c r="B186">
        <v>903</v>
      </c>
      <c r="C186" t="s">
        <v>2320</v>
      </c>
      <c r="D186" t="s">
        <v>169</v>
      </c>
      <c r="E186" t="s">
        <v>2165</v>
      </c>
      <c r="F186" t="s">
        <v>6</v>
      </c>
      <c r="G186" t="s">
        <v>561</v>
      </c>
      <c r="H186" t="s">
        <v>188</v>
      </c>
      <c r="I186" t="s">
        <v>173</v>
      </c>
      <c r="J186" t="s">
        <v>403</v>
      </c>
      <c r="K186" t="s">
        <v>2321</v>
      </c>
      <c r="L186" s="84">
        <v>43659</v>
      </c>
      <c r="M186" t="s">
        <v>381</v>
      </c>
      <c r="N186" t="s">
        <v>2322</v>
      </c>
      <c r="O186">
        <v>2</v>
      </c>
      <c r="P186" t="s">
        <v>951</v>
      </c>
      <c r="Q186" t="s">
        <v>952</v>
      </c>
      <c r="R186" t="s">
        <v>2323</v>
      </c>
      <c r="S186" t="s">
        <v>2324</v>
      </c>
      <c r="T186" t="s">
        <v>34</v>
      </c>
      <c r="U186" t="s">
        <v>79</v>
      </c>
      <c r="V186">
        <v>52</v>
      </c>
      <c r="W186">
        <v>82</v>
      </c>
      <c r="X186">
        <v>120</v>
      </c>
      <c r="Y186">
        <v>81</v>
      </c>
      <c r="Z186">
        <v>175</v>
      </c>
      <c r="AA186">
        <v>123</v>
      </c>
      <c r="AB186" t="s">
        <v>2325</v>
      </c>
      <c r="AC186" t="s">
        <v>201</v>
      </c>
      <c r="AD186" t="s">
        <v>210</v>
      </c>
      <c r="AE186" t="s">
        <v>183</v>
      </c>
      <c r="AF186">
        <v>1</v>
      </c>
    </row>
    <row r="187" spans="1:32">
      <c r="A187">
        <v>127</v>
      </c>
      <c r="B187">
        <v>903</v>
      </c>
      <c r="C187" t="s">
        <v>2320</v>
      </c>
      <c r="D187" t="s">
        <v>169</v>
      </c>
      <c r="E187" t="s">
        <v>2165</v>
      </c>
      <c r="F187" t="s">
        <v>197</v>
      </c>
      <c r="G187" t="s">
        <v>564</v>
      </c>
      <c r="H187" t="s">
        <v>192</v>
      </c>
      <c r="I187" t="s">
        <v>192</v>
      </c>
      <c r="J187" t="s">
        <v>192</v>
      </c>
      <c r="K187" t="s">
        <v>2321</v>
      </c>
      <c r="L187" s="84">
        <v>43659</v>
      </c>
      <c r="M187" t="s">
        <v>381</v>
      </c>
      <c r="N187" t="s">
        <v>2322</v>
      </c>
      <c r="O187">
        <v>2</v>
      </c>
      <c r="P187" t="s">
        <v>951</v>
      </c>
      <c r="Q187" t="s">
        <v>952</v>
      </c>
      <c r="R187" t="s">
        <v>2323</v>
      </c>
      <c r="S187" t="s">
        <v>2324</v>
      </c>
      <c r="T187" t="s">
        <v>38</v>
      </c>
      <c r="U187" t="s">
        <v>79</v>
      </c>
      <c r="V187">
        <v>52</v>
      </c>
      <c r="W187">
        <v>82</v>
      </c>
      <c r="X187">
        <v>120</v>
      </c>
      <c r="Y187">
        <v>81</v>
      </c>
      <c r="Z187">
        <v>175</v>
      </c>
      <c r="AA187">
        <v>123</v>
      </c>
      <c r="AB187" t="s">
        <v>2325</v>
      </c>
      <c r="AC187" t="s">
        <v>201</v>
      </c>
      <c r="AD187" t="s">
        <v>210</v>
      </c>
      <c r="AE187" t="s">
        <v>183</v>
      </c>
      <c r="AF187">
        <v>1</v>
      </c>
    </row>
    <row r="188" spans="1:32">
      <c r="A188">
        <v>127</v>
      </c>
      <c r="B188">
        <v>903</v>
      </c>
      <c r="C188" t="s">
        <v>2320</v>
      </c>
      <c r="D188" t="s">
        <v>169</v>
      </c>
      <c r="E188" t="s">
        <v>2165</v>
      </c>
      <c r="F188" t="s">
        <v>193</v>
      </c>
      <c r="G188" t="s">
        <v>562</v>
      </c>
      <c r="H188" t="s">
        <v>192</v>
      </c>
      <c r="I188" t="s">
        <v>188</v>
      </c>
      <c r="J188" t="s">
        <v>212</v>
      </c>
      <c r="K188" t="s">
        <v>2321</v>
      </c>
      <c r="L188" s="84">
        <v>43659</v>
      </c>
      <c r="M188" t="s">
        <v>381</v>
      </c>
      <c r="N188" t="s">
        <v>2322</v>
      </c>
      <c r="O188">
        <v>2</v>
      </c>
      <c r="P188" t="s">
        <v>951</v>
      </c>
      <c r="Q188" t="s">
        <v>952</v>
      </c>
      <c r="R188" t="s">
        <v>2323</v>
      </c>
      <c r="S188" t="s">
        <v>2324</v>
      </c>
      <c r="T188" t="s">
        <v>36</v>
      </c>
      <c r="U188" t="s">
        <v>79</v>
      </c>
      <c r="V188">
        <v>52</v>
      </c>
      <c r="W188">
        <v>82</v>
      </c>
      <c r="X188">
        <v>120</v>
      </c>
      <c r="Y188">
        <v>81</v>
      </c>
      <c r="Z188">
        <v>175</v>
      </c>
      <c r="AA188">
        <v>123</v>
      </c>
      <c r="AB188" t="s">
        <v>2325</v>
      </c>
      <c r="AC188" t="s">
        <v>201</v>
      </c>
      <c r="AD188" t="s">
        <v>210</v>
      </c>
      <c r="AE188" t="s">
        <v>183</v>
      </c>
      <c r="AF188">
        <v>1</v>
      </c>
    </row>
    <row r="189" spans="1:32">
      <c r="A189">
        <v>127</v>
      </c>
      <c r="B189">
        <v>903</v>
      </c>
      <c r="C189" t="s">
        <v>2320</v>
      </c>
      <c r="D189" t="s">
        <v>169</v>
      </c>
      <c r="E189" t="s">
        <v>2165</v>
      </c>
      <c r="F189" t="s">
        <v>37</v>
      </c>
      <c r="G189" t="s">
        <v>563</v>
      </c>
      <c r="H189" t="s">
        <v>192</v>
      </c>
      <c r="I189" t="s">
        <v>181</v>
      </c>
      <c r="J189" t="s">
        <v>212</v>
      </c>
      <c r="K189" t="s">
        <v>2321</v>
      </c>
      <c r="L189" s="84">
        <v>43659</v>
      </c>
      <c r="M189" t="s">
        <v>381</v>
      </c>
      <c r="N189" t="s">
        <v>2322</v>
      </c>
      <c r="O189">
        <v>2</v>
      </c>
      <c r="P189" t="s">
        <v>951</v>
      </c>
      <c r="Q189" t="s">
        <v>952</v>
      </c>
      <c r="R189" t="s">
        <v>2323</v>
      </c>
      <c r="S189" t="s">
        <v>2324</v>
      </c>
      <c r="T189" t="s">
        <v>37</v>
      </c>
      <c r="U189" t="s">
        <v>79</v>
      </c>
      <c r="V189">
        <v>52</v>
      </c>
      <c r="W189">
        <v>82</v>
      </c>
      <c r="X189">
        <v>120</v>
      </c>
      <c r="Y189">
        <v>81</v>
      </c>
      <c r="Z189">
        <v>175</v>
      </c>
      <c r="AA189">
        <v>123</v>
      </c>
      <c r="AB189" t="s">
        <v>2325</v>
      </c>
      <c r="AC189" t="s">
        <v>201</v>
      </c>
      <c r="AD189" t="s">
        <v>210</v>
      </c>
      <c r="AE189" t="s">
        <v>183</v>
      </c>
      <c r="AF189">
        <v>1</v>
      </c>
    </row>
    <row r="190" spans="1:32">
      <c r="A190">
        <v>127</v>
      </c>
      <c r="B190">
        <v>903</v>
      </c>
      <c r="C190" t="s">
        <v>2320</v>
      </c>
      <c r="D190" t="s">
        <v>169</v>
      </c>
      <c r="E190" t="s">
        <v>2165</v>
      </c>
      <c r="F190" t="s">
        <v>5</v>
      </c>
      <c r="G190" t="s">
        <v>2828</v>
      </c>
      <c r="H190" t="s">
        <v>173</v>
      </c>
      <c r="I190" t="s">
        <v>415</v>
      </c>
      <c r="J190" t="s">
        <v>181</v>
      </c>
      <c r="K190" t="s">
        <v>2321</v>
      </c>
      <c r="L190" s="84">
        <v>43659</v>
      </c>
      <c r="M190" t="s">
        <v>381</v>
      </c>
      <c r="N190" t="s">
        <v>2322</v>
      </c>
      <c r="O190">
        <v>2</v>
      </c>
      <c r="P190" t="s">
        <v>951</v>
      </c>
      <c r="Q190" t="s">
        <v>952</v>
      </c>
      <c r="R190" t="s">
        <v>2323</v>
      </c>
      <c r="S190" t="s">
        <v>2324</v>
      </c>
      <c r="T190" t="s">
        <v>33</v>
      </c>
      <c r="U190" t="s">
        <v>79</v>
      </c>
      <c r="V190">
        <v>52</v>
      </c>
      <c r="W190">
        <v>82</v>
      </c>
      <c r="X190">
        <v>120</v>
      </c>
      <c r="Y190">
        <v>81</v>
      </c>
      <c r="Z190">
        <v>175</v>
      </c>
      <c r="AA190">
        <v>123</v>
      </c>
      <c r="AB190" t="s">
        <v>2325</v>
      </c>
      <c r="AC190" t="s">
        <v>201</v>
      </c>
      <c r="AD190" t="s">
        <v>210</v>
      </c>
      <c r="AE190" t="s">
        <v>183</v>
      </c>
      <c r="AF190">
        <v>1</v>
      </c>
    </row>
    <row r="191" spans="1:32">
      <c r="A191">
        <v>128</v>
      </c>
      <c r="B191">
        <v>902</v>
      </c>
      <c r="C191" t="s">
        <v>2326</v>
      </c>
      <c r="D191" t="s">
        <v>169</v>
      </c>
      <c r="E191" t="s">
        <v>2165</v>
      </c>
      <c r="F191" t="s">
        <v>5</v>
      </c>
      <c r="G191" t="s">
        <v>2829</v>
      </c>
      <c r="H191" t="s">
        <v>374</v>
      </c>
      <c r="I191" t="s">
        <v>172</v>
      </c>
      <c r="J191" t="s">
        <v>376</v>
      </c>
      <c r="K191" t="s">
        <v>2327</v>
      </c>
      <c r="L191" s="84">
        <v>43398</v>
      </c>
      <c r="M191" t="s">
        <v>381</v>
      </c>
      <c r="N191" t="s">
        <v>2328</v>
      </c>
      <c r="O191">
        <v>3</v>
      </c>
      <c r="P191" t="s">
        <v>2329</v>
      </c>
      <c r="Q191" t="s">
        <v>2330</v>
      </c>
      <c r="R191" t="s">
        <v>2331</v>
      </c>
      <c r="S191" t="s">
        <v>2332</v>
      </c>
      <c r="T191" t="s">
        <v>33</v>
      </c>
      <c r="U191" t="s">
        <v>80</v>
      </c>
      <c r="V191">
        <v>51</v>
      </c>
      <c r="W191">
        <v>82</v>
      </c>
      <c r="X191">
        <v>120</v>
      </c>
      <c r="Y191">
        <v>77</v>
      </c>
      <c r="Z191">
        <v>175</v>
      </c>
      <c r="AA191">
        <v>110</v>
      </c>
      <c r="AB191" t="s">
        <v>2089</v>
      </c>
      <c r="AC191" t="s">
        <v>245</v>
      </c>
      <c r="AD191" t="s">
        <v>182</v>
      </c>
      <c r="AE191" t="s">
        <v>183</v>
      </c>
      <c r="AF191">
        <v>4</v>
      </c>
    </row>
    <row r="192" spans="1:32">
      <c r="A192">
        <v>128</v>
      </c>
      <c r="B192">
        <v>902</v>
      </c>
      <c r="C192" t="s">
        <v>2326</v>
      </c>
      <c r="D192" t="s">
        <v>169</v>
      </c>
      <c r="E192" t="s">
        <v>2165</v>
      </c>
      <c r="F192" t="s">
        <v>37</v>
      </c>
      <c r="G192" t="s">
        <v>572</v>
      </c>
      <c r="H192" t="s">
        <v>192</v>
      </c>
      <c r="I192" t="s">
        <v>181</v>
      </c>
      <c r="J192" t="s">
        <v>192</v>
      </c>
      <c r="K192" t="s">
        <v>2327</v>
      </c>
      <c r="L192" s="84">
        <v>43398</v>
      </c>
      <c r="M192" t="s">
        <v>381</v>
      </c>
      <c r="N192" t="s">
        <v>2328</v>
      </c>
      <c r="O192">
        <v>3</v>
      </c>
      <c r="P192" t="s">
        <v>2329</v>
      </c>
      <c r="Q192" t="s">
        <v>2330</v>
      </c>
      <c r="R192" t="s">
        <v>2331</v>
      </c>
      <c r="S192" t="s">
        <v>2332</v>
      </c>
      <c r="T192" t="s">
        <v>37</v>
      </c>
      <c r="U192" t="s">
        <v>80</v>
      </c>
      <c r="V192">
        <v>51</v>
      </c>
      <c r="W192">
        <v>82</v>
      </c>
      <c r="X192">
        <v>120</v>
      </c>
      <c r="Y192">
        <v>77</v>
      </c>
      <c r="Z192">
        <v>175</v>
      </c>
      <c r="AA192">
        <v>110</v>
      </c>
      <c r="AB192" t="s">
        <v>2089</v>
      </c>
      <c r="AC192" t="s">
        <v>245</v>
      </c>
      <c r="AD192" t="s">
        <v>182</v>
      </c>
      <c r="AE192" t="s">
        <v>183</v>
      </c>
      <c r="AF192">
        <v>4</v>
      </c>
    </row>
    <row r="193" spans="1:32">
      <c r="A193">
        <v>128</v>
      </c>
      <c r="B193">
        <v>902</v>
      </c>
      <c r="C193" t="s">
        <v>2326</v>
      </c>
      <c r="D193" t="s">
        <v>169</v>
      </c>
      <c r="E193" t="s">
        <v>2165</v>
      </c>
      <c r="F193" t="s">
        <v>193</v>
      </c>
      <c r="G193" t="s">
        <v>573</v>
      </c>
      <c r="H193" t="s">
        <v>192</v>
      </c>
      <c r="I193" t="s">
        <v>188</v>
      </c>
      <c r="J193" t="s">
        <v>212</v>
      </c>
      <c r="K193" t="s">
        <v>2327</v>
      </c>
      <c r="L193" s="84">
        <v>43398</v>
      </c>
      <c r="M193" t="s">
        <v>381</v>
      </c>
      <c r="N193" t="s">
        <v>2328</v>
      </c>
      <c r="O193">
        <v>3</v>
      </c>
      <c r="P193" t="s">
        <v>2329</v>
      </c>
      <c r="Q193" t="s">
        <v>2330</v>
      </c>
      <c r="R193" t="s">
        <v>2331</v>
      </c>
      <c r="S193" t="s">
        <v>2332</v>
      </c>
      <c r="T193" t="s">
        <v>36</v>
      </c>
      <c r="U193" t="s">
        <v>80</v>
      </c>
      <c r="V193">
        <v>51</v>
      </c>
      <c r="W193">
        <v>82</v>
      </c>
      <c r="X193">
        <v>120</v>
      </c>
      <c r="Y193">
        <v>77</v>
      </c>
      <c r="Z193">
        <v>175</v>
      </c>
      <c r="AA193">
        <v>110</v>
      </c>
      <c r="AB193" t="s">
        <v>2089</v>
      </c>
      <c r="AC193" t="s">
        <v>245</v>
      </c>
      <c r="AD193" t="s">
        <v>182</v>
      </c>
      <c r="AE193" t="s">
        <v>183</v>
      </c>
      <c r="AF193">
        <v>4</v>
      </c>
    </row>
    <row r="194" spans="1:32">
      <c r="A194">
        <v>128</v>
      </c>
      <c r="B194">
        <v>902</v>
      </c>
      <c r="C194" t="s">
        <v>2326</v>
      </c>
      <c r="D194" t="s">
        <v>169</v>
      </c>
      <c r="E194" t="s">
        <v>2165</v>
      </c>
      <c r="F194" t="s">
        <v>197</v>
      </c>
      <c r="G194" t="s">
        <v>566</v>
      </c>
      <c r="H194" t="s">
        <v>192</v>
      </c>
      <c r="I194" t="s">
        <v>188</v>
      </c>
      <c r="J194" t="s">
        <v>212</v>
      </c>
      <c r="K194" t="s">
        <v>2327</v>
      </c>
      <c r="L194" s="84">
        <v>43398</v>
      </c>
      <c r="M194" t="s">
        <v>381</v>
      </c>
      <c r="N194" t="s">
        <v>2328</v>
      </c>
      <c r="O194">
        <v>3</v>
      </c>
      <c r="P194" t="s">
        <v>2329</v>
      </c>
      <c r="Q194" t="s">
        <v>2330</v>
      </c>
      <c r="R194" t="s">
        <v>2331</v>
      </c>
      <c r="S194" t="s">
        <v>2332</v>
      </c>
      <c r="T194" t="s">
        <v>38</v>
      </c>
      <c r="U194" t="s">
        <v>80</v>
      </c>
      <c r="V194">
        <v>51</v>
      </c>
      <c r="W194">
        <v>82</v>
      </c>
      <c r="X194">
        <v>120</v>
      </c>
      <c r="Y194">
        <v>77</v>
      </c>
      <c r="Z194">
        <v>175</v>
      </c>
      <c r="AA194">
        <v>110</v>
      </c>
      <c r="AB194" t="s">
        <v>2089</v>
      </c>
      <c r="AC194" t="s">
        <v>245</v>
      </c>
      <c r="AD194" t="s">
        <v>182</v>
      </c>
      <c r="AE194" t="s">
        <v>183</v>
      </c>
      <c r="AF194">
        <v>4</v>
      </c>
    </row>
    <row r="195" spans="1:32">
      <c r="A195">
        <v>128</v>
      </c>
      <c r="B195">
        <v>902</v>
      </c>
      <c r="C195" t="s">
        <v>2326</v>
      </c>
      <c r="D195" t="s">
        <v>169</v>
      </c>
      <c r="E195" t="s">
        <v>2165</v>
      </c>
      <c r="F195" t="s">
        <v>6</v>
      </c>
      <c r="G195" t="s">
        <v>574</v>
      </c>
      <c r="H195" t="s">
        <v>436</v>
      </c>
      <c r="I195" t="s">
        <v>227</v>
      </c>
      <c r="J195" t="s">
        <v>173</v>
      </c>
      <c r="K195" t="s">
        <v>2327</v>
      </c>
      <c r="L195" s="84">
        <v>43398</v>
      </c>
      <c r="M195" t="s">
        <v>381</v>
      </c>
      <c r="N195" t="s">
        <v>2328</v>
      </c>
      <c r="O195">
        <v>3</v>
      </c>
      <c r="P195" t="s">
        <v>2329</v>
      </c>
      <c r="Q195" t="s">
        <v>2330</v>
      </c>
      <c r="R195" t="s">
        <v>2331</v>
      </c>
      <c r="S195" t="s">
        <v>2332</v>
      </c>
      <c r="T195" t="s">
        <v>34</v>
      </c>
      <c r="U195" t="s">
        <v>80</v>
      </c>
      <c r="V195">
        <v>51</v>
      </c>
      <c r="W195">
        <v>82</v>
      </c>
      <c r="X195">
        <v>120</v>
      </c>
      <c r="Y195">
        <v>77</v>
      </c>
      <c r="Z195">
        <v>175</v>
      </c>
      <c r="AA195">
        <v>110</v>
      </c>
      <c r="AB195" t="s">
        <v>2089</v>
      </c>
      <c r="AC195" t="s">
        <v>245</v>
      </c>
      <c r="AD195" t="s">
        <v>182</v>
      </c>
      <c r="AE195" t="s">
        <v>183</v>
      </c>
      <c r="AF195">
        <v>4</v>
      </c>
    </row>
    <row r="196" spans="1:32">
      <c r="A196">
        <v>128</v>
      </c>
      <c r="B196">
        <v>902</v>
      </c>
      <c r="C196" t="s">
        <v>2326</v>
      </c>
      <c r="D196" t="s">
        <v>169</v>
      </c>
      <c r="E196" t="s">
        <v>2165</v>
      </c>
      <c r="F196" t="s">
        <v>7</v>
      </c>
      <c r="G196" t="s">
        <v>576</v>
      </c>
      <c r="H196" t="s">
        <v>407</v>
      </c>
      <c r="I196" t="s">
        <v>403</v>
      </c>
      <c r="J196" t="s">
        <v>436</v>
      </c>
      <c r="K196" t="s">
        <v>2327</v>
      </c>
      <c r="L196" s="84">
        <v>43398</v>
      </c>
      <c r="M196" t="s">
        <v>381</v>
      </c>
      <c r="N196" t="s">
        <v>2328</v>
      </c>
      <c r="O196">
        <v>3</v>
      </c>
      <c r="P196" t="s">
        <v>2329</v>
      </c>
      <c r="Q196" t="s">
        <v>2330</v>
      </c>
      <c r="R196" t="s">
        <v>2331</v>
      </c>
      <c r="S196" t="s">
        <v>2332</v>
      </c>
      <c r="T196" t="s">
        <v>32</v>
      </c>
      <c r="U196" t="s">
        <v>80</v>
      </c>
      <c r="V196">
        <v>51</v>
      </c>
      <c r="W196">
        <v>82</v>
      </c>
      <c r="X196">
        <v>120</v>
      </c>
      <c r="Y196">
        <v>77</v>
      </c>
      <c r="Z196">
        <v>175</v>
      </c>
      <c r="AA196">
        <v>110</v>
      </c>
      <c r="AB196" t="s">
        <v>2089</v>
      </c>
      <c r="AC196" t="s">
        <v>245</v>
      </c>
      <c r="AD196" t="s">
        <v>182</v>
      </c>
      <c r="AE196" t="s">
        <v>183</v>
      </c>
      <c r="AF196">
        <v>4</v>
      </c>
    </row>
    <row r="197" spans="1:32">
      <c r="A197">
        <v>128</v>
      </c>
      <c r="B197">
        <v>902</v>
      </c>
      <c r="C197" t="s">
        <v>2326</v>
      </c>
      <c r="D197" t="s">
        <v>169</v>
      </c>
      <c r="E197" t="s">
        <v>2165</v>
      </c>
      <c r="F197" t="s">
        <v>8</v>
      </c>
      <c r="G197" t="s">
        <v>575</v>
      </c>
      <c r="H197" t="s">
        <v>417</v>
      </c>
      <c r="I197" t="s">
        <v>403</v>
      </c>
      <c r="J197" t="s">
        <v>462</v>
      </c>
      <c r="K197" t="s">
        <v>2327</v>
      </c>
      <c r="L197" s="84">
        <v>43398</v>
      </c>
      <c r="M197" t="s">
        <v>381</v>
      </c>
      <c r="N197" t="s">
        <v>2328</v>
      </c>
      <c r="O197">
        <v>3</v>
      </c>
      <c r="P197" t="s">
        <v>2329</v>
      </c>
      <c r="Q197" t="s">
        <v>2330</v>
      </c>
      <c r="R197" t="s">
        <v>2331</v>
      </c>
      <c r="S197" t="s">
        <v>2332</v>
      </c>
      <c r="T197" t="s">
        <v>31</v>
      </c>
      <c r="U197" t="s">
        <v>80</v>
      </c>
      <c r="V197">
        <v>51</v>
      </c>
      <c r="W197">
        <v>82</v>
      </c>
      <c r="X197">
        <v>120</v>
      </c>
      <c r="Y197">
        <v>77</v>
      </c>
      <c r="Z197">
        <v>175</v>
      </c>
      <c r="AA197">
        <v>110</v>
      </c>
      <c r="AB197" t="s">
        <v>2089</v>
      </c>
      <c r="AC197" t="s">
        <v>245</v>
      </c>
      <c r="AD197" t="s">
        <v>182</v>
      </c>
      <c r="AE197" t="s">
        <v>183</v>
      </c>
      <c r="AF197">
        <v>4</v>
      </c>
    </row>
    <row r="198" spans="1:32">
      <c r="A198">
        <v>129</v>
      </c>
      <c r="B198">
        <v>1148</v>
      </c>
      <c r="C198" t="s">
        <v>2333</v>
      </c>
      <c r="D198" t="s">
        <v>169</v>
      </c>
      <c r="E198" t="s">
        <v>2165</v>
      </c>
      <c r="F198" t="s">
        <v>8</v>
      </c>
      <c r="G198" t="s">
        <v>583</v>
      </c>
      <c r="H198" t="s">
        <v>186</v>
      </c>
      <c r="I198" t="s">
        <v>407</v>
      </c>
      <c r="J198" t="s">
        <v>462</v>
      </c>
      <c r="K198" t="s">
        <v>2334</v>
      </c>
      <c r="L198" s="84">
        <v>43145</v>
      </c>
      <c r="M198" t="s">
        <v>381</v>
      </c>
      <c r="N198" t="s">
        <v>1471</v>
      </c>
      <c r="O198">
        <v>2</v>
      </c>
      <c r="P198" t="s">
        <v>556</v>
      </c>
      <c r="Q198" t="s">
        <v>2335</v>
      </c>
      <c r="R198" t="s">
        <v>2336</v>
      </c>
      <c r="S198" t="s">
        <v>2337</v>
      </c>
      <c r="T198" t="s">
        <v>31</v>
      </c>
      <c r="U198" t="s">
        <v>79</v>
      </c>
      <c r="V198">
        <v>37</v>
      </c>
      <c r="W198">
        <v>82</v>
      </c>
      <c r="X198">
        <v>120</v>
      </c>
      <c r="Y198">
        <v>69</v>
      </c>
      <c r="Z198">
        <v>175</v>
      </c>
      <c r="AA198">
        <v>109</v>
      </c>
      <c r="AB198" t="s">
        <v>520</v>
      </c>
      <c r="AC198" t="s">
        <v>181</v>
      </c>
      <c r="AD198" t="s">
        <v>182</v>
      </c>
      <c r="AE198" t="s">
        <v>183</v>
      </c>
      <c r="AF198">
        <v>4</v>
      </c>
    </row>
    <row r="199" spans="1:32">
      <c r="A199">
        <v>129</v>
      </c>
      <c r="B199">
        <v>1148</v>
      </c>
      <c r="C199" t="s">
        <v>2333</v>
      </c>
      <c r="D199" t="s">
        <v>169</v>
      </c>
      <c r="E199" t="s">
        <v>2165</v>
      </c>
      <c r="F199" t="s">
        <v>7</v>
      </c>
      <c r="G199" t="s">
        <v>578</v>
      </c>
      <c r="H199" t="s">
        <v>374</v>
      </c>
      <c r="I199" t="s">
        <v>914</v>
      </c>
      <c r="J199" t="s">
        <v>324</v>
      </c>
      <c r="K199" t="s">
        <v>2334</v>
      </c>
      <c r="L199" s="84">
        <v>43145</v>
      </c>
      <c r="M199" t="s">
        <v>381</v>
      </c>
      <c r="N199" t="s">
        <v>1471</v>
      </c>
      <c r="O199">
        <v>2</v>
      </c>
      <c r="P199" t="s">
        <v>556</v>
      </c>
      <c r="Q199" t="s">
        <v>2335</v>
      </c>
      <c r="R199" t="s">
        <v>2336</v>
      </c>
      <c r="S199" t="s">
        <v>2337</v>
      </c>
      <c r="T199" t="s">
        <v>32</v>
      </c>
      <c r="U199" t="s">
        <v>79</v>
      </c>
      <c r="V199">
        <v>37</v>
      </c>
      <c r="W199">
        <v>82</v>
      </c>
      <c r="X199">
        <v>120</v>
      </c>
      <c r="Y199">
        <v>69</v>
      </c>
      <c r="Z199">
        <v>175</v>
      </c>
      <c r="AA199">
        <v>109</v>
      </c>
      <c r="AB199" t="s">
        <v>520</v>
      </c>
      <c r="AC199" t="s">
        <v>181</v>
      </c>
      <c r="AD199" t="s">
        <v>182</v>
      </c>
      <c r="AE199" t="s">
        <v>183</v>
      </c>
      <c r="AF199">
        <v>4</v>
      </c>
    </row>
    <row r="200" spans="1:32">
      <c r="A200">
        <v>129</v>
      </c>
      <c r="B200">
        <v>1148</v>
      </c>
      <c r="C200" t="s">
        <v>2333</v>
      </c>
      <c r="D200" t="s">
        <v>169</v>
      </c>
      <c r="E200" t="s">
        <v>2165</v>
      </c>
      <c r="F200" t="s">
        <v>6</v>
      </c>
      <c r="G200" t="s">
        <v>584</v>
      </c>
      <c r="H200" t="s">
        <v>227</v>
      </c>
      <c r="I200" t="s">
        <v>172</v>
      </c>
      <c r="J200" t="s">
        <v>403</v>
      </c>
      <c r="K200" t="s">
        <v>2334</v>
      </c>
      <c r="L200" s="84">
        <v>43145</v>
      </c>
      <c r="M200" t="s">
        <v>381</v>
      </c>
      <c r="N200" t="s">
        <v>1471</v>
      </c>
      <c r="O200">
        <v>2</v>
      </c>
      <c r="P200" t="s">
        <v>556</v>
      </c>
      <c r="Q200" t="s">
        <v>2335</v>
      </c>
      <c r="R200" t="s">
        <v>2336</v>
      </c>
      <c r="S200" t="s">
        <v>2337</v>
      </c>
      <c r="T200" t="s">
        <v>34</v>
      </c>
      <c r="U200" t="s">
        <v>79</v>
      </c>
      <c r="V200">
        <v>37</v>
      </c>
      <c r="W200">
        <v>82</v>
      </c>
      <c r="X200">
        <v>120</v>
      </c>
      <c r="Y200">
        <v>69</v>
      </c>
      <c r="Z200">
        <v>175</v>
      </c>
      <c r="AA200">
        <v>109</v>
      </c>
      <c r="AB200" t="s">
        <v>520</v>
      </c>
      <c r="AC200" t="s">
        <v>181</v>
      </c>
      <c r="AD200" t="s">
        <v>182</v>
      </c>
      <c r="AE200" t="s">
        <v>183</v>
      </c>
      <c r="AF200">
        <v>4</v>
      </c>
    </row>
    <row r="201" spans="1:32">
      <c r="A201">
        <v>129</v>
      </c>
      <c r="B201">
        <v>1148</v>
      </c>
      <c r="C201" t="s">
        <v>2333</v>
      </c>
      <c r="D201" t="s">
        <v>169</v>
      </c>
      <c r="E201" t="s">
        <v>2165</v>
      </c>
      <c r="F201" t="s">
        <v>197</v>
      </c>
      <c r="G201" t="s">
        <v>587</v>
      </c>
      <c r="H201" t="s">
        <v>192</v>
      </c>
      <c r="I201" t="s">
        <v>188</v>
      </c>
      <c r="J201" t="s">
        <v>212</v>
      </c>
      <c r="K201" t="s">
        <v>2334</v>
      </c>
      <c r="L201" s="84">
        <v>43145</v>
      </c>
      <c r="M201" t="s">
        <v>381</v>
      </c>
      <c r="N201" t="s">
        <v>1471</v>
      </c>
      <c r="O201">
        <v>2</v>
      </c>
      <c r="P201" t="s">
        <v>556</v>
      </c>
      <c r="Q201" t="s">
        <v>2335</v>
      </c>
      <c r="R201" t="s">
        <v>2336</v>
      </c>
      <c r="S201" t="s">
        <v>2337</v>
      </c>
      <c r="T201" t="s">
        <v>38</v>
      </c>
      <c r="U201" t="s">
        <v>79</v>
      </c>
      <c r="V201">
        <v>37</v>
      </c>
      <c r="W201">
        <v>82</v>
      </c>
      <c r="X201">
        <v>120</v>
      </c>
      <c r="Y201">
        <v>69</v>
      </c>
      <c r="Z201">
        <v>175</v>
      </c>
      <c r="AA201">
        <v>109</v>
      </c>
      <c r="AB201" t="s">
        <v>520</v>
      </c>
      <c r="AC201" t="s">
        <v>181</v>
      </c>
      <c r="AD201" t="s">
        <v>182</v>
      </c>
      <c r="AE201" t="s">
        <v>183</v>
      </c>
      <c r="AF201">
        <v>4</v>
      </c>
    </row>
    <row r="202" spans="1:32">
      <c r="A202">
        <v>129</v>
      </c>
      <c r="B202">
        <v>1148</v>
      </c>
      <c r="C202" t="s">
        <v>2333</v>
      </c>
      <c r="D202" t="s">
        <v>169</v>
      </c>
      <c r="E202" t="s">
        <v>2165</v>
      </c>
      <c r="F202" t="s">
        <v>193</v>
      </c>
      <c r="G202" t="s">
        <v>585</v>
      </c>
      <c r="H202" t="s">
        <v>192</v>
      </c>
      <c r="I202" t="s">
        <v>212</v>
      </c>
      <c r="J202" t="s">
        <v>192</v>
      </c>
      <c r="K202" t="s">
        <v>2334</v>
      </c>
      <c r="L202" s="84">
        <v>43145</v>
      </c>
      <c r="M202" t="s">
        <v>381</v>
      </c>
      <c r="N202" t="s">
        <v>1471</v>
      </c>
      <c r="O202">
        <v>2</v>
      </c>
      <c r="P202" t="s">
        <v>556</v>
      </c>
      <c r="Q202" t="s">
        <v>2335</v>
      </c>
      <c r="R202" t="s">
        <v>2336</v>
      </c>
      <c r="S202" t="s">
        <v>2337</v>
      </c>
      <c r="T202" t="s">
        <v>36</v>
      </c>
      <c r="U202" t="s">
        <v>79</v>
      </c>
      <c r="V202">
        <v>37</v>
      </c>
      <c r="W202">
        <v>82</v>
      </c>
      <c r="X202">
        <v>120</v>
      </c>
      <c r="Y202">
        <v>69</v>
      </c>
      <c r="Z202">
        <v>175</v>
      </c>
      <c r="AA202">
        <v>109</v>
      </c>
      <c r="AB202" t="s">
        <v>520</v>
      </c>
      <c r="AC202" t="s">
        <v>181</v>
      </c>
      <c r="AD202" t="s">
        <v>182</v>
      </c>
      <c r="AE202" t="s">
        <v>183</v>
      </c>
      <c r="AF202">
        <v>4</v>
      </c>
    </row>
    <row r="203" spans="1:32">
      <c r="A203">
        <v>129</v>
      </c>
      <c r="B203">
        <v>1148</v>
      </c>
      <c r="C203" t="s">
        <v>2333</v>
      </c>
      <c r="D203" t="s">
        <v>169</v>
      </c>
      <c r="E203" t="s">
        <v>2165</v>
      </c>
      <c r="F203" t="s">
        <v>37</v>
      </c>
      <c r="G203" t="s">
        <v>586</v>
      </c>
      <c r="H203" t="s">
        <v>192</v>
      </c>
      <c r="I203" t="s">
        <v>181</v>
      </c>
      <c r="J203" t="s">
        <v>192</v>
      </c>
      <c r="K203" t="s">
        <v>2334</v>
      </c>
      <c r="L203" s="84">
        <v>43145</v>
      </c>
      <c r="M203" t="s">
        <v>381</v>
      </c>
      <c r="N203" t="s">
        <v>1471</v>
      </c>
      <c r="O203">
        <v>2</v>
      </c>
      <c r="P203" t="s">
        <v>556</v>
      </c>
      <c r="Q203" t="s">
        <v>2335</v>
      </c>
      <c r="R203" t="s">
        <v>2336</v>
      </c>
      <c r="S203" t="s">
        <v>2337</v>
      </c>
      <c r="T203" t="s">
        <v>37</v>
      </c>
      <c r="U203" t="s">
        <v>79</v>
      </c>
      <c r="V203">
        <v>37</v>
      </c>
      <c r="W203">
        <v>82</v>
      </c>
      <c r="X203">
        <v>120</v>
      </c>
      <c r="Y203">
        <v>69</v>
      </c>
      <c r="Z203">
        <v>175</v>
      </c>
      <c r="AA203">
        <v>109</v>
      </c>
      <c r="AB203" t="s">
        <v>520</v>
      </c>
      <c r="AC203" t="s">
        <v>181</v>
      </c>
      <c r="AD203" t="s">
        <v>182</v>
      </c>
      <c r="AE203" t="s">
        <v>183</v>
      </c>
      <c r="AF203">
        <v>4</v>
      </c>
    </row>
    <row r="204" spans="1:32">
      <c r="A204">
        <v>129</v>
      </c>
      <c r="B204">
        <v>1148</v>
      </c>
      <c r="C204" t="s">
        <v>2333</v>
      </c>
      <c r="D204" t="s">
        <v>169</v>
      </c>
      <c r="E204" t="s">
        <v>2165</v>
      </c>
      <c r="F204" t="s">
        <v>5</v>
      </c>
      <c r="G204" t="s">
        <v>2830</v>
      </c>
      <c r="H204" t="s">
        <v>227</v>
      </c>
      <c r="I204" t="s">
        <v>324</v>
      </c>
      <c r="J204" t="s">
        <v>243</v>
      </c>
      <c r="K204" t="s">
        <v>2334</v>
      </c>
      <c r="L204" s="84">
        <v>43145</v>
      </c>
      <c r="M204" t="s">
        <v>381</v>
      </c>
      <c r="N204" t="s">
        <v>1471</v>
      </c>
      <c r="O204">
        <v>2</v>
      </c>
      <c r="P204" t="s">
        <v>556</v>
      </c>
      <c r="Q204" t="s">
        <v>2335</v>
      </c>
      <c r="R204" t="s">
        <v>2336</v>
      </c>
      <c r="S204" t="s">
        <v>2337</v>
      </c>
      <c r="T204" t="s">
        <v>33</v>
      </c>
      <c r="U204" t="s">
        <v>79</v>
      </c>
      <c r="V204">
        <v>37</v>
      </c>
      <c r="W204">
        <v>82</v>
      </c>
      <c r="X204">
        <v>120</v>
      </c>
      <c r="Y204">
        <v>69</v>
      </c>
      <c r="Z204">
        <v>175</v>
      </c>
      <c r="AA204">
        <v>109</v>
      </c>
      <c r="AB204" t="s">
        <v>520</v>
      </c>
      <c r="AC204" t="s">
        <v>181</v>
      </c>
      <c r="AD204" t="s">
        <v>182</v>
      </c>
      <c r="AE204" t="s">
        <v>183</v>
      </c>
      <c r="AF204">
        <v>4</v>
      </c>
    </row>
    <row r="205" spans="1:32">
      <c r="A205">
        <v>130</v>
      </c>
      <c r="B205">
        <v>927</v>
      </c>
      <c r="C205" t="s">
        <v>2338</v>
      </c>
      <c r="D205" t="s">
        <v>169</v>
      </c>
      <c r="E205" t="s">
        <v>2165</v>
      </c>
      <c r="F205" t="s">
        <v>5</v>
      </c>
      <c r="G205" t="s">
        <v>2831</v>
      </c>
      <c r="H205" t="s">
        <v>188</v>
      </c>
      <c r="I205" t="s">
        <v>212</v>
      </c>
      <c r="J205" t="s">
        <v>171</v>
      </c>
      <c r="K205" t="s">
        <v>2339</v>
      </c>
      <c r="L205" s="84">
        <v>43375</v>
      </c>
      <c r="M205" t="s">
        <v>381</v>
      </c>
      <c r="N205" t="s">
        <v>604</v>
      </c>
      <c r="O205">
        <v>3</v>
      </c>
      <c r="P205" t="s">
        <v>2340</v>
      </c>
      <c r="Q205" t="s">
        <v>2341</v>
      </c>
      <c r="R205" t="s">
        <v>2342</v>
      </c>
      <c r="S205" t="s">
        <v>2343</v>
      </c>
      <c r="T205" t="s">
        <v>33</v>
      </c>
      <c r="U205" t="s">
        <v>80</v>
      </c>
      <c r="V205">
        <v>54</v>
      </c>
      <c r="W205">
        <v>82</v>
      </c>
      <c r="X205">
        <v>120</v>
      </c>
      <c r="Y205">
        <v>85</v>
      </c>
      <c r="Z205">
        <v>175</v>
      </c>
      <c r="AA205">
        <v>134</v>
      </c>
      <c r="AB205" t="s">
        <v>271</v>
      </c>
      <c r="AC205" t="s">
        <v>192</v>
      </c>
      <c r="AD205" t="s">
        <v>609</v>
      </c>
      <c r="AE205" t="s">
        <v>183</v>
      </c>
      <c r="AF205">
        <v>0</v>
      </c>
    </row>
    <row r="206" spans="1:32">
      <c r="A206">
        <v>130</v>
      </c>
      <c r="B206">
        <v>927</v>
      </c>
      <c r="C206" t="s">
        <v>2338</v>
      </c>
      <c r="D206" t="s">
        <v>169</v>
      </c>
      <c r="E206" t="s">
        <v>2165</v>
      </c>
      <c r="F206" t="s">
        <v>37</v>
      </c>
      <c r="G206" t="s">
        <v>596</v>
      </c>
      <c r="H206" t="s">
        <v>192</v>
      </c>
      <c r="I206" t="s">
        <v>181</v>
      </c>
      <c r="J206" t="s">
        <v>192</v>
      </c>
      <c r="K206" t="s">
        <v>2339</v>
      </c>
      <c r="L206" s="84">
        <v>43375</v>
      </c>
      <c r="M206" t="s">
        <v>381</v>
      </c>
      <c r="N206" t="s">
        <v>604</v>
      </c>
      <c r="O206">
        <v>3</v>
      </c>
      <c r="P206" t="s">
        <v>2340</v>
      </c>
      <c r="Q206" t="s">
        <v>2341</v>
      </c>
      <c r="R206" t="s">
        <v>2342</v>
      </c>
      <c r="S206" t="s">
        <v>2343</v>
      </c>
      <c r="T206" t="s">
        <v>37</v>
      </c>
      <c r="U206" t="s">
        <v>80</v>
      </c>
      <c r="V206">
        <v>54</v>
      </c>
      <c r="W206">
        <v>82</v>
      </c>
      <c r="X206">
        <v>120</v>
      </c>
      <c r="Y206">
        <v>85</v>
      </c>
      <c r="Z206">
        <v>175</v>
      </c>
      <c r="AA206">
        <v>134</v>
      </c>
      <c r="AB206" t="s">
        <v>271</v>
      </c>
      <c r="AC206" t="s">
        <v>192</v>
      </c>
      <c r="AD206" t="s">
        <v>609</v>
      </c>
      <c r="AE206" t="s">
        <v>183</v>
      </c>
      <c r="AF206">
        <v>0</v>
      </c>
    </row>
    <row r="207" spans="1:32">
      <c r="A207">
        <v>130</v>
      </c>
      <c r="B207">
        <v>927</v>
      </c>
      <c r="C207" t="s">
        <v>2338</v>
      </c>
      <c r="D207" t="s">
        <v>169</v>
      </c>
      <c r="E207" t="s">
        <v>2165</v>
      </c>
      <c r="F207" t="s">
        <v>193</v>
      </c>
      <c r="G207" t="s">
        <v>597</v>
      </c>
      <c r="H207" t="s">
        <v>192</v>
      </c>
      <c r="I207" t="s">
        <v>188</v>
      </c>
      <c r="J207" t="s">
        <v>192</v>
      </c>
      <c r="K207" t="s">
        <v>2339</v>
      </c>
      <c r="L207" s="84">
        <v>43375</v>
      </c>
      <c r="M207" t="s">
        <v>381</v>
      </c>
      <c r="N207" t="s">
        <v>604</v>
      </c>
      <c r="O207">
        <v>3</v>
      </c>
      <c r="P207" t="s">
        <v>2340</v>
      </c>
      <c r="Q207" t="s">
        <v>2341</v>
      </c>
      <c r="R207" t="s">
        <v>2342</v>
      </c>
      <c r="S207" t="s">
        <v>2343</v>
      </c>
      <c r="T207" t="s">
        <v>36</v>
      </c>
      <c r="U207" t="s">
        <v>80</v>
      </c>
      <c r="V207">
        <v>54</v>
      </c>
      <c r="W207">
        <v>82</v>
      </c>
      <c r="X207">
        <v>120</v>
      </c>
      <c r="Y207">
        <v>85</v>
      </c>
      <c r="Z207">
        <v>175</v>
      </c>
      <c r="AA207">
        <v>134</v>
      </c>
      <c r="AB207" t="s">
        <v>271</v>
      </c>
      <c r="AC207" t="s">
        <v>192</v>
      </c>
      <c r="AD207" t="s">
        <v>609</v>
      </c>
      <c r="AE207" t="s">
        <v>183</v>
      </c>
      <c r="AF207">
        <v>0</v>
      </c>
    </row>
    <row r="208" spans="1:32">
      <c r="A208">
        <v>130</v>
      </c>
      <c r="B208">
        <v>927</v>
      </c>
      <c r="C208" t="s">
        <v>2338</v>
      </c>
      <c r="D208" t="s">
        <v>169</v>
      </c>
      <c r="E208" t="s">
        <v>2165</v>
      </c>
      <c r="F208" t="s">
        <v>197</v>
      </c>
      <c r="G208" t="s">
        <v>589</v>
      </c>
      <c r="H208" t="s">
        <v>192</v>
      </c>
      <c r="I208" t="s">
        <v>188</v>
      </c>
      <c r="J208" t="s">
        <v>192</v>
      </c>
      <c r="K208" t="s">
        <v>2339</v>
      </c>
      <c r="L208" s="84">
        <v>43375</v>
      </c>
      <c r="M208" t="s">
        <v>381</v>
      </c>
      <c r="N208" t="s">
        <v>604</v>
      </c>
      <c r="O208">
        <v>3</v>
      </c>
      <c r="P208" t="s">
        <v>2340</v>
      </c>
      <c r="Q208" t="s">
        <v>2341</v>
      </c>
      <c r="R208" t="s">
        <v>2342</v>
      </c>
      <c r="S208" t="s">
        <v>2343</v>
      </c>
      <c r="T208" t="s">
        <v>38</v>
      </c>
      <c r="U208" t="s">
        <v>80</v>
      </c>
      <c r="V208">
        <v>54</v>
      </c>
      <c r="W208">
        <v>82</v>
      </c>
      <c r="X208">
        <v>120</v>
      </c>
      <c r="Y208">
        <v>85</v>
      </c>
      <c r="Z208">
        <v>175</v>
      </c>
      <c r="AA208">
        <v>134</v>
      </c>
      <c r="AB208" t="s">
        <v>271</v>
      </c>
      <c r="AC208" t="s">
        <v>192</v>
      </c>
      <c r="AD208" t="s">
        <v>609</v>
      </c>
      <c r="AE208" t="s">
        <v>183</v>
      </c>
      <c r="AF208">
        <v>0</v>
      </c>
    </row>
    <row r="209" spans="1:32">
      <c r="A209">
        <v>130</v>
      </c>
      <c r="B209">
        <v>927</v>
      </c>
      <c r="C209" t="s">
        <v>2338</v>
      </c>
      <c r="D209" t="s">
        <v>169</v>
      </c>
      <c r="E209" t="s">
        <v>2165</v>
      </c>
      <c r="F209" t="s">
        <v>6</v>
      </c>
      <c r="G209" t="s">
        <v>598</v>
      </c>
      <c r="H209" t="s">
        <v>243</v>
      </c>
      <c r="I209" t="s">
        <v>376</v>
      </c>
      <c r="J209" t="s">
        <v>324</v>
      </c>
      <c r="K209" t="s">
        <v>2339</v>
      </c>
      <c r="L209" s="84">
        <v>43375</v>
      </c>
      <c r="M209" t="s">
        <v>381</v>
      </c>
      <c r="N209" t="s">
        <v>604</v>
      </c>
      <c r="O209">
        <v>3</v>
      </c>
      <c r="P209" t="s">
        <v>2340</v>
      </c>
      <c r="Q209" t="s">
        <v>2341</v>
      </c>
      <c r="R209" t="s">
        <v>2342</v>
      </c>
      <c r="S209" t="s">
        <v>2343</v>
      </c>
      <c r="T209" t="s">
        <v>34</v>
      </c>
      <c r="U209" t="s">
        <v>80</v>
      </c>
      <c r="V209">
        <v>54</v>
      </c>
      <c r="W209">
        <v>82</v>
      </c>
      <c r="X209">
        <v>120</v>
      </c>
      <c r="Y209">
        <v>85</v>
      </c>
      <c r="Z209">
        <v>175</v>
      </c>
      <c r="AA209">
        <v>134</v>
      </c>
      <c r="AB209" t="s">
        <v>271</v>
      </c>
      <c r="AC209" t="s">
        <v>192</v>
      </c>
      <c r="AD209" t="s">
        <v>609</v>
      </c>
      <c r="AE209" t="s">
        <v>183</v>
      </c>
      <c r="AF209">
        <v>0</v>
      </c>
    </row>
    <row r="210" spans="1:32">
      <c r="A210">
        <v>130</v>
      </c>
      <c r="B210">
        <v>927</v>
      </c>
      <c r="C210" t="s">
        <v>2338</v>
      </c>
      <c r="D210" t="s">
        <v>169</v>
      </c>
      <c r="E210" t="s">
        <v>2165</v>
      </c>
      <c r="F210" t="s">
        <v>7</v>
      </c>
      <c r="G210" t="s">
        <v>600</v>
      </c>
      <c r="H210" t="s">
        <v>188</v>
      </c>
      <c r="I210" t="s">
        <v>415</v>
      </c>
      <c r="J210" t="s">
        <v>324</v>
      </c>
      <c r="K210" t="s">
        <v>2339</v>
      </c>
      <c r="L210" s="84">
        <v>43375</v>
      </c>
      <c r="M210" t="s">
        <v>381</v>
      </c>
      <c r="N210" t="s">
        <v>604</v>
      </c>
      <c r="O210">
        <v>3</v>
      </c>
      <c r="P210" t="s">
        <v>2340</v>
      </c>
      <c r="Q210" t="s">
        <v>2341</v>
      </c>
      <c r="R210" t="s">
        <v>2342</v>
      </c>
      <c r="S210" t="s">
        <v>2343</v>
      </c>
      <c r="T210" t="s">
        <v>32</v>
      </c>
      <c r="U210" t="s">
        <v>80</v>
      </c>
      <c r="V210">
        <v>54</v>
      </c>
      <c r="W210">
        <v>82</v>
      </c>
      <c r="X210">
        <v>120</v>
      </c>
      <c r="Y210">
        <v>85</v>
      </c>
      <c r="Z210">
        <v>175</v>
      </c>
      <c r="AA210">
        <v>134</v>
      </c>
      <c r="AB210" t="s">
        <v>271</v>
      </c>
      <c r="AC210" t="s">
        <v>192</v>
      </c>
      <c r="AD210" t="s">
        <v>609</v>
      </c>
      <c r="AE210" t="s">
        <v>183</v>
      </c>
      <c r="AF210">
        <v>0</v>
      </c>
    </row>
    <row r="211" spans="1:32">
      <c r="A211">
        <v>130</v>
      </c>
      <c r="B211">
        <v>927</v>
      </c>
      <c r="C211" t="s">
        <v>2338</v>
      </c>
      <c r="D211" t="s">
        <v>169</v>
      </c>
      <c r="E211" t="s">
        <v>2165</v>
      </c>
      <c r="F211" t="s">
        <v>8</v>
      </c>
      <c r="G211" t="s">
        <v>599</v>
      </c>
      <c r="H211" t="s">
        <v>212</v>
      </c>
      <c r="I211" t="s">
        <v>330</v>
      </c>
      <c r="J211" t="s">
        <v>407</v>
      </c>
      <c r="K211" t="s">
        <v>2339</v>
      </c>
      <c r="L211" s="84">
        <v>43375</v>
      </c>
      <c r="M211" t="s">
        <v>381</v>
      </c>
      <c r="N211" t="s">
        <v>604</v>
      </c>
      <c r="O211">
        <v>3</v>
      </c>
      <c r="P211" t="s">
        <v>2340</v>
      </c>
      <c r="Q211" t="s">
        <v>2341</v>
      </c>
      <c r="R211" t="s">
        <v>2342</v>
      </c>
      <c r="S211" t="s">
        <v>2343</v>
      </c>
      <c r="T211" t="s">
        <v>31</v>
      </c>
      <c r="U211" t="s">
        <v>80</v>
      </c>
      <c r="V211">
        <v>54</v>
      </c>
      <c r="W211">
        <v>82</v>
      </c>
      <c r="X211">
        <v>120</v>
      </c>
      <c r="Y211">
        <v>85</v>
      </c>
      <c r="Z211">
        <v>175</v>
      </c>
      <c r="AA211">
        <v>134</v>
      </c>
      <c r="AB211" t="s">
        <v>271</v>
      </c>
      <c r="AC211" t="s">
        <v>192</v>
      </c>
      <c r="AD211" t="s">
        <v>609</v>
      </c>
      <c r="AE211" t="s">
        <v>183</v>
      </c>
      <c r="AF211">
        <v>0</v>
      </c>
    </row>
    <row r="212" spans="1:32">
      <c r="A212">
        <v>131</v>
      </c>
      <c r="B212">
        <v>905</v>
      </c>
      <c r="C212" t="s">
        <v>2344</v>
      </c>
      <c r="D212" t="s">
        <v>169</v>
      </c>
      <c r="E212" t="s">
        <v>2165</v>
      </c>
      <c r="F212" t="s">
        <v>8</v>
      </c>
      <c r="G212" t="s">
        <v>610</v>
      </c>
      <c r="H212" t="s">
        <v>239</v>
      </c>
      <c r="I212" t="s">
        <v>212</v>
      </c>
      <c r="J212" t="s">
        <v>260</v>
      </c>
      <c r="K212" t="s">
        <v>2345</v>
      </c>
      <c r="L212" s="84">
        <v>43319</v>
      </c>
      <c r="M212" t="s">
        <v>381</v>
      </c>
      <c r="N212" t="s">
        <v>604</v>
      </c>
      <c r="O212">
        <v>3</v>
      </c>
      <c r="P212" t="s">
        <v>2346</v>
      </c>
      <c r="Q212" t="s">
        <v>2347</v>
      </c>
      <c r="R212" t="s">
        <v>2348</v>
      </c>
      <c r="S212" t="s">
        <v>2349</v>
      </c>
      <c r="T212" t="s">
        <v>31</v>
      </c>
      <c r="U212" t="s">
        <v>80</v>
      </c>
      <c r="V212">
        <v>63</v>
      </c>
      <c r="W212">
        <v>82</v>
      </c>
      <c r="X212">
        <v>120</v>
      </c>
      <c r="Y212">
        <v>93</v>
      </c>
      <c r="Z212">
        <v>175</v>
      </c>
      <c r="AA212">
        <v>140</v>
      </c>
      <c r="AB212" t="s">
        <v>670</v>
      </c>
      <c r="AC212" t="s">
        <v>243</v>
      </c>
      <c r="AD212" t="s">
        <v>210</v>
      </c>
      <c r="AE212" t="s">
        <v>183</v>
      </c>
      <c r="AF212">
        <v>0</v>
      </c>
    </row>
    <row r="213" spans="1:32">
      <c r="A213">
        <v>131</v>
      </c>
      <c r="B213">
        <v>905</v>
      </c>
      <c r="C213" t="s">
        <v>2344</v>
      </c>
      <c r="D213" t="s">
        <v>169</v>
      </c>
      <c r="E213" t="s">
        <v>2165</v>
      </c>
      <c r="F213" t="s">
        <v>7</v>
      </c>
      <c r="G213" t="s">
        <v>602</v>
      </c>
      <c r="H213" t="s">
        <v>212</v>
      </c>
      <c r="I213" t="s">
        <v>215</v>
      </c>
      <c r="J213" t="s">
        <v>259</v>
      </c>
      <c r="K213" t="s">
        <v>2345</v>
      </c>
      <c r="L213" s="84">
        <v>43319</v>
      </c>
      <c r="M213" t="s">
        <v>381</v>
      </c>
      <c r="N213" t="s">
        <v>604</v>
      </c>
      <c r="O213">
        <v>3</v>
      </c>
      <c r="P213" t="s">
        <v>2346</v>
      </c>
      <c r="Q213" t="s">
        <v>2347</v>
      </c>
      <c r="R213" t="s">
        <v>2348</v>
      </c>
      <c r="S213" t="s">
        <v>2349</v>
      </c>
      <c r="T213" t="s">
        <v>32</v>
      </c>
      <c r="U213" t="s">
        <v>80</v>
      </c>
      <c r="V213">
        <v>63</v>
      </c>
      <c r="W213">
        <v>82</v>
      </c>
      <c r="X213">
        <v>120</v>
      </c>
      <c r="Y213">
        <v>93</v>
      </c>
      <c r="Z213">
        <v>175</v>
      </c>
      <c r="AA213">
        <v>140</v>
      </c>
      <c r="AB213" t="s">
        <v>670</v>
      </c>
      <c r="AC213" t="s">
        <v>243</v>
      </c>
      <c r="AD213" t="s">
        <v>210</v>
      </c>
      <c r="AE213" t="s">
        <v>183</v>
      </c>
      <c r="AF213">
        <v>0</v>
      </c>
    </row>
    <row r="214" spans="1:32">
      <c r="A214">
        <v>131</v>
      </c>
      <c r="B214">
        <v>905</v>
      </c>
      <c r="C214" t="s">
        <v>2344</v>
      </c>
      <c r="D214" t="s">
        <v>169</v>
      </c>
      <c r="E214" t="s">
        <v>2165</v>
      </c>
      <c r="F214" t="s">
        <v>6</v>
      </c>
      <c r="G214" t="s">
        <v>611</v>
      </c>
      <c r="H214" t="s">
        <v>226</v>
      </c>
      <c r="I214" t="s">
        <v>191</v>
      </c>
      <c r="J214" t="s">
        <v>228</v>
      </c>
      <c r="K214" t="s">
        <v>2345</v>
      </c>
      <c r="L214" s="84">
        <v>43319</v>
      </c>
      <c r="M214" t="s">
        <v>381</v>
      </c>
      <c r="N214" t="s">
        <v>604</v>
      </c>
      <c r="O214">
        <v>3</v>
      </c>
      <c r="P214" t="s">
        <v>2346</v>
      </c>
      <c r="Q214" t="s">
        <v>2347</v>
      </c>
      <c r="R214" t="s">
        <v>2348</v>
      </c>
      <c r="S214" t="s">
        <v>2349</v>
      </c>
      <c r="T214" t="s">
        <v>34</v>
      </c>
      <c r="U214" t="s">
        <v>80</v>
      </c>
      <c r="V214">
        <v>63</v>
      </c>
      <c r="W214">
        <v>82</v>
      </c>
      <c r="X214">
        <v>120</v>
      </c>
      <c r="Y214">
        <v>93</v>
      </c>
      <c r="Z214">
        <v>175</v>
      </c>
      <c r="AA214">
        <v>140</v>
      </c>
      <c r="AB214" t="s">
        <v>670</v>
      </c>
      <c r="AC214" t="s">
        <v>243</v>
      </c>
      <c r="AD214" t="s">
        <v>210</v>
      </c>
      <c r="AE214" t="s">
        <v>183</v>
      </c>
      <c r="AF214">
        <v>0</v>
      </c>
    </row>
    <row r="215" spans="1:32">
      <c r="A215">
        <v>131</v>
      </c>
      <c r="B215">
        <v>905</v>
      </c>
      <c r="C215" t="s">
        <v>2344</v>
      </c>
      <c r="D215" t="s">
        <v>169</v>
      </c>
      <c r="E215" t="s">
        <v>2165</v>
      </c>
      <c r="F215" t="s">
        <v>197</v>
      </c>
      <c r="G215" t="s">
        <v>614</v>
      </c>
      <c r="H215" t="s">
        <v>192</v>
      </c>
      <c r="I215" t="s">
        <v>192</v>
      </c>
      <c r="J215" t="s">
        <v>192</v>
      </c>
      <c r="K215" t="s">
        <v>2345</v>
      </c>
      <c r="L215" s="84">
        <v>43319</v>
      </c>
      <c r="M215" t="s">
        <v>381</v>
      </c>
      <c r="N215" t="s">
        <v>604</v>
      </c>
      <c r="O215">
        <v>3</v>
      </c>
      <c r="P215" t="s">
        <v>2346</v>
      </c>
      <c r="Q215" t="s">
        <v>2347</v>
      </c>
      <c r="R215" t="s">
        <v>2348</v>
      </c>
      <c r="S215" t="s">
        <v>2349</v>
      </c>
      <c r="T215" t="s">
        <v>38</v>
      </c>
      <c r="U215" t="s">
        <v>80</v>
      </c>
      <c r="V215">
        <v>63</v>
      </c>
      <c r="W215">
        <v>82</v>
      </c>
      <c r="X215">
        <v>120</v>
      </c>
      <c r="Y215">
        <v>93</v>
      </c>
      <c r="Z215">
        <v>175</v>
      </c>
      <c r="AA215">
        <v>140</v>
      </c>
      <c r="AB215" t="s">
        <v>670</v>
      </c>
      <c r="AC215" t="s">
        <v>243</v>
      </c>
      <c r="AD215" t="s">
        <v>210</v>
      </c>
      <c r="AE215" t="s">
        <v>183</v>
      </c>
      <c r="AF215">
        <v>0</v>
      </c>
    </row>
    <row r="216" spans="1:32">
      <c r="A216">
        <v>131</v>
      </c>
      <c r="B216">
        <v>905</v>
      </c>
      <c r="C216" t="s">
        <v>2344</v>
      </c>
      <c r="D216" t="s">
        <v>169</v>
      </c>
      <c r="E216" t="s">
        <v>2165</v>
      </c>
      <c r="F216" t="s">
        <v>193</v>
      </c>
      <c r="G216" t="s">
        <v>612</v>
      </c>
      <c r="H216" t="s">
        <v>192</v>
      </c>
      <c r="I216" t="s">
        <v>188</v>
      </c>
      <c r="J216" t="s">
        <v>192</v>
      </c>
      <c r="K216" t="s">
        <v>2345</v>
      </c>
      <c r="L216" s="84">
        <v>43319</v>
      </c>
      <c r="M216" t="s">
        <v>381</v>
      </c>
      <c r="N216" t="s">
        <v>604</v>
      </c>
      <c r="O216">
        <v>3</v>
      </c>
      <c r="P216" t="s">
        <v>2346</v>
      </c>
      <c r="Q216" t="s">
        <v>2347</v>
      </c>
      <c r="R216" t="s">
        <v>2348</v>
      </c>
      <c r="S216" t="s">
        <v>2349</v>
      </c>
      <c r="T216" t="s">
        <v>36</v>
      </c>
      <c r="U216" t="s">
        <v>80</v>
      </c>
      <c r="V216">
        <v>63</v>
      </c>
      <c r="W216">
        <v>82</v>
      </c>
      <c r="X216">
        <v>120</v>
      </c>
      <c r="Y216">
        <v>93</v>
      </c>
      <c r="Z216">
        <v>175</v>
      </c>
      <c r="AA216">
        <v>140</v>
      </c>
      <c r="AB216" t="s">
        <v>670</v>
      </c>
      <c r="AC216" t="s">
        <v>243</v>
      </c>
      <c r="AD216" t="s">
        <v>210</v>
      </c>
      <c r="AE216" t="s">
        <v>183</v>
      </c>
      <c r="AF216">
        <v>0</v>
      </c>
    </row>
    <row r="217" spans="1:32">
      <c r="A217">
        <v>131</v>
      </c>
      <c r="B217">
        <v>905</v>
      </c>
      <c r="C217" t="s">
        <v>2344</v>
      </c>
      <c r="D217" t="s">
        <v>169</v>
      </c>
      <c r="E217" t="s">
        <v>2165</v>
      </c>
      <c r="F217" t="s">
        <v>37</v>
      </c>
      <c r="G217" t="s">
        <v>613</v>
      </c>
      <c r="H217" t="s">
        <v>192</v>
      </c>
      <c r="I217" t="s">
        <v>181</v>
      </c>
      <c r="J217" t="s">
        <v>212</v>
      </c>
      <c r="K217" t="s">
        <v>2345</v>
      </c>
      <c r="L217" s="84">
        <v>43319</v>
      </c>
      <c r="M217" t="s">
        <v>381</v>
      </c>
      <c r="N217" t="s">
        <v>604</v>
      </c>
      <c r="O217">
        <v>3</v>
      </c>
      <c r="P217" t="s">
        <v>2346</v>
      </c>
      <c r="Q217" t="s">
        <v>2347</v>
      </c>
      <c r="R217" t="s">
        <v>2348</v>
      </c>
      <c r="S217" t="s">
        <v>2349</v>
      </c>
      <c r="T217" t="s">
        <v>37</v>
      </c>
      <c r="U217" t="s">
        <v>80</v>
      </c>
      <c r="V217">
        <v>63</v>
      </c>
      <c r="W217">
        <v>82</v>
      </c>
      <c r="X217">
        <v>120</v>
      </c>
      <c r="Y217">
        <v>93</v>
      </c>
      <c r="Z217">
        <v>175</v>
      </c>
      <c r="AA217">
        <v>140</v>
      </c>
      <c r="AB217" t="s">
        <v>670</v>
      </c>
      <c r="AC217" t="s">
        <v>243</v>
      </c>
      <c r="AD217" t="s">
        <v>210</v>
      </c>
      <c r="AE217" t="s">
        <v>183</v>
      </c>
      <c r="AF217">
        <v>0</v>
      </c>
    </row>
    <row r="218" spans="1:32">
      <c r="A218">
        <v>131</v>
      </c>
      <c r="B218">
        <v>905</v>
      </c>
      <c r="C218" t="s">
        <v>2344</v>
      </c>
      <c r="D218" t="s">
        <v>169</v>
      </c>
      <c r="E218" t="s">
        <v>2165</v>
      </c>
      <c r="F218" t="s">
        <v>5</v>
      </c>
      <c r="G218" t="s">
        <v>2832</v>
      </c>
      <c r="H218" t="s">
        <v>216</v>
      </c>
      <c r="I218" t="s">
        <v>257</v>
      </c>
      <c r="J218" t="s">
        <v>257</v>
      </c>
      <c r="K218" t="s">
        <v>2345</v>
      </c>
      <c r="L218" s="84">
        <v>43319</v>
      </c>
      <c r="M218" t="s">
        <v>381</v>
      </c>
      <c r="N218" t="s">
        <v>604</v>
      </c>
      <c r="O218">
        <v>3</v>
      </c>
      <c r="P218" t="s">
        <v>2346</v>
      </c>
      <c r="Q218" t="s">
        <v>2347</v>
      </c>
      <c r="R218" t="s">
        <v>2348</v>
      </c>
      <c r="S218" t="s">
        <v>2349</v>
      </c>
      <c r="T218" t="s">
        <v>33</v>
      </c>
      <c r="U218" t="s">
        <v>80</v>
      </c>
      <c r="V218">
        <v>63</v>
      </c>
      <c r="W218">
        <v>82</v>
      </c>
      <c r="X218">
        <v>120</v>
      </c>
      <c r="Y218">
        <v>93</v>
      </c>
      <c r="Z218">
        <v>175</v>
      </c>
      <c r="AA218">
        <v>140</v>
      </c>
      <c r="AB218" t="s">
        <v>670</v>
      </c>
      <c r="AC218" t="s">
        <v>243</v>
      </c>
      <c r="AD218" t="s">
        <v>210</v>
      </c>
      <c r="AE218" t="s">
        <v>183</v>
      </c>
      <c r="AF218">
        <v>0</v>
      </c>
    </row>
    <row r="219" spans="1:32">
      <c r="A219">
        <v>132</v>
      </c>
      <c r="B219">
        <v>1081</v>
      </c>
      <c r="C219" t="s">
        <v>2350</v>
      </c>
      <c r="D219" t="s">
        <v>169</v>
      </c>
      <c r="E219" t="s">
        <v>2165</v>
      </c>
      <c r="F219" t="s">
        <v>5</v>
      </c>
      <c r="G219" t="s">
        <v>2833</v>
      </c>
      <c r="H219" t="s">
        <v>259</v>
      </c>
      <c r="I219" t="s">
        <v>223</v>
      </c>
      <c r="J219" t="s">
        <v>297</v>
      </c>
      <c r="K219" t="s">
        <v>2351</v>
      </c>
      <c r="L219" s="84">
        <v>43329</v>
      </c>
      <c r="M219" t="s">
        <v>381</v>
      </c>
      <c r="N219" t="s">
        <v>2352</v>
      </c>
      <c r="O219">
        <v>2</v>
      </c>
      <c r="P219" t="s">
        <v>2353</v>
      </c>
      <c r="Q219" t="s">
        <v>2354</v>
      </c>
      <c r="R219" t="s">
        <v>2355</v>
      </c>
      <c r="S219" t="s">
        <v>2356</v>
      </c>
      <c r="T219" t="s">
        <v>33</v>
      </c>
      <c r="U219" t="s">
        <v>79</v>
      </c>
      <c r="V219">
        <v>53</v>
      </c>
      <c r="W219">
        <v>82</v>
      </c>
      <c r="X219">
        <v>120</v>
      </c>
      <c r="Y219">
        <v>76</v>
      </c>
      <c r="Z219">
        <v>175</v>
      </c>
      <c r="AA219">
        <v>123</v>
      </c>
      <c r="AB219" t="s">
        <v>670</v>
      </c>
      <c r="AC219" t="s">
        <v>243</v>
      </c>
      <c r="AD219" t="s">
        <v>182</v>
      </c>
      <c r="AE219" t="s">
        <v>183</v>
      </c>
      <c r="AF219">
        <v>0</v>
      </c>
    </row>
    <row r="220" spans="1:32">
      <c r="A220">
        <v>132</v>
      </c>
      <c r="B220">
        <v>1081</v>
      </c>
      <c r="C220" t="s">
        <v>2350</v>
      </c>
      <c r="D220" t="s">
        <v>169</v>
      </c>
      <c r="E220" t="s">
        <v>2165</v>
      </c>
      <c r="F220" t="s">
        <v>37</v>
      </c>
      <c r="G220" t="s">
        <v>621</v>
      </c>
      <c r="H220" t="s">
        <v>192</v>
      </c>
      <c r="I220" t="s">
        <v>181</v>
      </c>
      <c r="J220" t="s">
        <v>192</v>
      </c>
      <c r="K220" t="s">
        <v>2351</v>
      </c>
      <c r="L220" s="84">
        <v>43329</v>
      </c>
      <c r="M220" t="s">
        <v>381</v>
      </c>
      <c r="N220" t="s">
        <v>2352</v>
      </c>
      <c r="O220">
        <v>2</v>
      </c>
      <c r="P220" t="s">
        <v>2353</v>
      </c>
      <c r="Q220" t="s">
        <v>2354</v>
      </c>
      <c r="R220" t="s">
        <v>2355</v>
      </c>
      <c r="S220" t="s">
        <v>2356</v>
      </c>
      <c r="T220" t="s">
        <v>37</v>
      </c>
      <c r="U220" t="s">
        <v>79</v>
      </c>
      <c r="V220">
        <v>53</v>
      </c>
      <c r="W220">
        <v>82</v>
      </c>
      <c r="X220">
        <v>120</v>
      </c>
      <c r="Y220">
        <v>76</v>
      </c>
      <c r="Z220">
        <v>175</v>
      </c>
      <c r="AA220">
        <v>123</v>
      </c>
      <c r="AB220" t="s">
        <v>670</v>
      </c>
      <c r="AC220" t="s">
        <v>243</v>
      </c>
      <c r="AD220" t="s">
        <v>182</v>
      </c>
      <c r="AE220" t="s">
        <v>183</v>
      </c>
      <c r="AF220">
        <v>0</v>
      </c>
    </row>
    <row r="221" spans="1:32">
      <c r="A221">
        <v>132</v>
      </c>
      <c r="B221">
        <v>1081</v>
      </c>
      <c r="C221" t="s">
        <v>2350</v>
      </c>
      <c r="D221" t="s">
        <v>169</v>
      </c>
      <c r="E221" t="s">
        <v>2165</v>
      </c>
      <c r="F221" t="s">
        <v>193</v>
      </c>
      <c r="G221" t="s">
        <v>622</v>
      </c>
      <c r="H221" t="s">
        <v>192</v>
      </c>
      <c r="I221" t="s">
        <v>212</v>
      </c>
      <c r="J221" t="s">
        <v>212</v>
      </c>
      <c r="K221" t="s">
        <v>2351</v>
      </c>
      <c r="L221" s="84">
        <v>43329</v>
      </c>
      <c r="M221" t="s">
        <v>381</v>
      </c>
      <c r="N221" t="s">
        <v>2352</v>
      </c>
      <c r="O221">
        <v>2</v>
      </c>
      <c r="P221" t="s">
        <v>2353</v>
      </c>
      <c r="Q221" t="s">
        <v>2354</v>
      </c>
      <c r="R221" t="s">
        <v>2355</v>
      </c>
      <c r="S221" t="s">
        <v>2356</v>
      </c>
      <c r="T221" t="s">
        <v>36</v>
      </c>
      <c r="U221" t="s">
        <v>79</v>
      </c>
      <c r="V221">
        <v>53</v>
      </c>
      <c r="W221">
        <v>82</v>
      </c>
      <c r="X221">
        <v>120</v>
      </c>
      <c r="Y221">
        <v>76</v>
      </c>
      <c r="Z221">
        <v>175</v>
      </c>
      <c r="AA221">
        <v>123</v>
      </c>
      <c r="AB221" t="s">
        <v>670</v>
      </c>
      <c r="AC221" t="s">
        <v>243</v>
      </c>
      <c r="AD221" t="s">
        <v>182</v>
      </c>
      <c r="AE221" t="s">
        <v>183</v>
      </c>
      <c r="AF221">
        <v>0</v>
      </c>
    </row>
    <row r="222" spans="1:32">
      <c r="A222">
        <v>132</v>
      </c>
      <c r="B222">
        <v>1081</v>
      </c>
      <c r="C222" t="s">
        <v>2350</v>
      </c>
      <c r="D222" t="s">
        <v>169</v>
      </c>
      <c r="E222" t="s">
        <v>2165</v>
      </c>
      <c r="F222" t="s">
        <v>197</v>
      </c>
      <c r="G222" t="s">
        <v>616</v>
      </c>
      <c r="H222" t="s">
        <v>192</v>
      </c>
      <c r="I222" t="s">
        <v>188</v>
      </c>
      <c r="J222" t="s">
        <v>212</v>
      </c>
      <c r="K222" t="s">
        <v>2351</v>
      </c>
      <c r="L222" s="84">
        <v>43329</v>
      </c>
      <c r="M222" t="s">
        <v>381</v>
      </c>
      <c r="N222" t="s">
        <v>2352</v>
      </c>
      <c r="O222">
        <v>2</v>
      </c>
      <c r="P222" t="s">
        <v>2353</v>
      </c>
      <c r="Q222" t="s">
        <v>2354</v>
      </c>
      <c r="R222" t="s">
        <v>2355</v>
      </c>
      <c r="S222" t="s">
        <v>2356</v>
      </c>
      <c r="T222" t="s">
        <v>38</v>
      </c>
      <c r="U222" t="s">
        <v>79</v>
      </c>
      <c r="V222">
        <v>53</v>
      </c>
      <c r="W222">
        <v>82</v>
      </c>
      <c r="X222">
        <v>120</v>
      </c>
      <c r="Y222">
        <v>76</v>
      </c>
      <c r="Z222">
        <v>175</v>
      </c>
      <c r="AA222">
        <v>123</v>
      </c>
      <c r="AB222" t="s">
        <v>670</v>
      </c>
      <c r="AC222" t="s">
        <v>243</v>
      </c>
      <c r="AD222" t="s">
        <v>182</v>
      </c>
      <c r="AE222" t="s">
        <v>183</v>
      </c>
      <c r="AF222">
        <v>0</v>
      </c>
    </row>
    <row r="223" spans="1:32">
      <c r="A223">
        <v>132</v>
      </c>
      <c r="B223">
        <v>1081</v>
      </c>
      <c r="C223" t="s">
        <v>2350</v>
      </c>
      <c r="D223" t="s">
        <v>169</v>
      </c>
      <c r="E223" t="s">
        <v>2165</v>
      </c>
      <c r="F223" t="s">
        <v>6</v>
      </c>
      <c r="G223" t="s">
        <v>623</v>
      </c>
      <c r="H223" t="s">
        <v>173</v>
      </c>
      <c r="I223" t="s">
        <v>223</v>
      </c>
      <c r="J223" t="s">
        <v>228</v>
      </c>
      <c r="K223" t="s">
        <v>2351</v>
      </c>
      <c r="L223" s="84">
        <v>43329</v>
      </c>
      <c r="M223" t="s">
        <v>381</v>
      </c>
      <c r="N223" t="s">
        <v>2352</v>
      </c>
      <c r="O223">
        <v>2</v>
      </c>
      <c r="P223" t="s">
        <v>2353</v>
      </c>
      <c r="Q223" t="s">
        <v>2354</v>
      </c>
      <c r="R223" t="s">
        <v>2355</v>
      </c>
      <c r="S223" t="s">
        <v>2356</v>
      </c>
      <c r="T223" t="s">
        <v>34</v>
      </c>
      <c r="U223" t="s">
        <v>79</v>
      </c>
      <c r="V223">
        <v>53</v>
      </c>
      <c r="W223">
        <v>82</v>
      </c>
      <c r="X223">
        <v>120</v>
      </c>
      <c r="Y223">
        <v>76</v>
      </c>
      <c r="Z223">
        <v>175</v>
      </c>
      <c r="AA223">
        <v>123</v>
      </c>
      <c r="AB223" t="s">
        <v>670</v>
      </c>
      <c r="AC223" t="s">
        <v>243</v>
      </c>
      <c r="AD223" t="s">
        <v>182</v>
      </c>
      <c r="AE223" t="s">
        <v>183</v>
      </c>
      <c r="AF223">
        <v>0</v>
      </c>
    </row>
    <row r="224" spans="1:32">
      <c r="A224">
        <v>132</v>
      </c>
      <c r="B224">
        <v>1081</v>
      </c>
      <c r="C224" t="s">
        <v>2350</v>
      </c>
      <c r="D224" t="s">
        <v>169</v>
      </c>
      <c r="E224" t="s">
        <v>2165</v>
      </c>
      <c r="F224" t="s">
        <v>7</v>
      </c>
      <c r="G224" t="s">
        <v>625</v>
      </c>
      <c r="H224" t="s">
        <v>223</v>
      </c>
      <c r="I224" t="s">
        <v>181</v>
      </c>
      <c r="J224" t="s">
        <v>238</v>
      </c>
      <c r="K224" t="s">
        <v>2351</v>
      </c>
      <c r="L224" s="84">
        <v>43329</v>
      </c>
      <c r="M224" t="s">
        <v>381</v>
      </c>
      <c r="N224" t="s">
        <v>2352</v>
      </c>
      <c r="O224">
        <v>2</v>
      </c>
      <c r="P224" t="s">
        <v>2353</v>
      </c>
      <c r="Q224" t="s">
        <v>2354</v>
      </c>
      <c r="R224" t="s">
        <v>2355</v>
      </c>
      <c r="S224" t="s">
        <v>2356</v>
      </c>
      <c r="T224" t="s">
        <v>32</v>
      </c>
      <c r="U224" t="s">
        <v>79</v>
      </c>
      <c r="V224">
        <v>53</v>
      </c>
      <c r="W224">
        <v>82</v>
      </c>
      <c r="X224">
        <v>120</v>
      </c>
      <c r="Y224">
        <v>76</v>
      </c>
      <c r="Z224">
        <v>175</v>
      </c>
      <c r="AA224">
        <v>123</v>
      </c>
      <c r="AB224" t="s">
        <v>670</v>
      </c>
      <c r="AC224" t="s">
        <v>243</v>
      </c>
      <c r="AD224" t="s">
        <v>182</v>
      </c>
      <c r="AE224" t="s">
        <v>183</v>
      </c>
      <c r="AF224">
        <v>0</v>
      </c>
    </row>
    <row r="225" spans="1:32">
      <c r="A225">
        <v>132</v>
      </c>
      <c r="B225">
        <v>1081</v>
      </c>
      <c r="C225" t="s">
        <v>2350</v>
      </c>
      <c r="D225" t="s">
        <v>169</v>
      </c>
      <c r="E225" t="s">
        <v>2165</v>
      </c>
      <c r="F225" t="s">
        <v>8</v>
      </c>
      <c r="G225" t="s">
        <v>624</v>
      </c>
      <c r="H225" t="s">
        <v>185</v>
      </c>
      <c r="I225" t="s">
        <v>403</v>
      </c>
      <c r="J225" t="s">
        <v>221</v>
      </c>
      <c r="K225" t="s">
        <v>2351</v>
      </c>
      <c r="L225" s="84">
        <v>43329</v>
      </c>
      <c r="M225" t="s">
        <v>381</v>
      </c>
      <c r="N225" t="s">
        <v>2352</v>
      </c>
      <c r="O225">
        <v>2</v>
      </c>
      <c r="P225" t="s">
        <v>2353</v>
      </c>
      <c r="Q225" t="s">
        <v>2354</v>
      </c>
      <c r="R225" t="s">
        <v>2355</v>
      </c>
      <c r="S225" t="s">
        <v>2356</v>
      </c>
      <c r="T225" t="s">
        <v>31</v>
      </c>
      <c r="U225" t="s">
        <v>79</v>
      </c>
      <c r="V225">
        <v>53</v>
      </c>
      <c r="W225">
        <v>82</v>
      </c>
      <c r="X225">
        <v>120</v>
      </c>
      <c r="Y225">
        <v>76</v>
      </c>
      <c r="Z225">
        <v>175</v>
      </c>
      <c r="AA225">
        <v>123</v>
      </c>
      <c r="AB225" t="s">
        <v>670</v>
      </c>
      <c r="AC225" t="s">
        <v>243</v>
      </c>
      <c r="AD225" t="s">
        <v>182</v>
      </c>
      <c r="AE225" t="s">
        <v>183</v>
      </c>
      <c r="AF225">
        <v>0</v>
      </c>
    </row>
    <row r="226" spans="1:32">
      <c r="A226">
        <v>133</v>
      </c>
      <c r="B226">
        <v>907</v>
      </c>
      <c r="C226" t="s">
        <v>2357</v>
      </c>
      <c r="D226" t="s">
        <v>169</v>
      </c>
      <c r="E226" t="s">
        <v>2165</v>
      </c>
      <c r="F226" t="s">
        <v>8</v>
      </c>
      <c r="G226" t="s">
        <v>632</v>
      </c>
      <c r="H226" t="s">
        <v>305</v>
      </c>
      <c r="I226" t="s">
        <v>257</v>
      </c>
      <c r="J226" t="s">
        <v>262</v>
      </c>
      <c r="K226" t="s">
        <v>2358</v>
      </c>
      <c r="L226" s="84">
        <v>43365</v>
      </c>
      <c r="M226" t="s">
        <v>381</v>
      </c>
      <c r="N226" t="s">
        <v>2359</v>
      </c>
      <c r="O226">
        <v>3</v>
      </c>
      <c r="P226" t="s">
        <v>2360</v>
      </c>
      <c r="Q226" t="s">
        <v>2361</v>
      </c>
      <c r="R226" t="s">
        <v>2362</v>
      </c>
      <c r="S226" t="s">
        <v>2363</v>
      </c>
      <c r="T226" t="s">
        <v>31</v>
      </c>
      <c r="U226" t="s">
        <v>80</v>
      </c>
      <c r="V226">
        <v>72</v>
      </c>
      <c r="W226">
        <v>82</v>
      </c>
      <c r="X226">
        <v>120</v>
      </c>
      <c r="Y226">
        <v>109</v>
      </c>
      <c r="Z226">
        <v>175</v>
      </c>
      <c r="AA226">
        <v>161</v>
      </c>
      <c r="AB226" t="s">
        <v>2111</v>
      </c>
      <c r="AC226" t="s">
        <v>201</v>
      </c>
      <c r="AD226" t="s">
        <v>210</v>
      </c>
      <c r="AE226" t="s">
        <v>183</v>
      </c>
      <c r="AF226">
        <v>0</v>
      </c>
    </row>
    <row r="227" spans="1:32">
      <c r="A227">
        <v>133</v>
      </c>
      <c r="B227">
        <v>907</v>
      </c>
      <c r="C227" t="s">
        <v>2357</v>
      </c>
      <c r="D227" t="s">
        <v>169</v>
      </c>
      <c r="E227" t="s">
        <v>2165</v>
      </c>
      <c r="F227" t="s">
        <v>7</v>
      </c>
      <c r="G227" t="s">
        <v>627</v>
      </c>
      <c r="H227" t="s">
        <v>218</v>
      </c>
      <c r="I227" t="s">
        <v>262</v>
      </c>
      <c r="J227" t="s">
        <v>262</v>
      </c>
      <c r="K227" t="s">
        <v>2358</v>
      </c>
      <c r="L227" s="84">
        <v>43365</v>
      </c>
      <c r="M227" t="s">
        <v>381</v>
      </c>
      <c r="N227" t="s">
        <v>2359</v>
      </c>
      <c r="O227">
        <v>3</v>
      </c>
      <c r="P227" t="s">
        <v>2360</v>
      </c>
      <c r="Q227" t="s">
        <v>2361</v>
      </c>
      <c r="R227" t="s">
        <v>2362</v>
      </c>
      <c r="S227" t="s">
        <v>2363</v>
      </c>
      <c r="T227" t="s">
        <v>32</v>
      </c>
      <c r="U227" t="s">
        <v>80</v>
      </c>
      <c r="V227">
        <v>72</v>
      </c>
      <c r="W227">
        <v>82</v>
      </c>
      <c r="X227">
        <v>120</v>
      </c>
      <c r="Y227">
        <v>109</v>
      </c>
      <c r="Z227">
        <v>175</v>
      </c>
      <c r="AA227">
        <v>161</v>
      </c>
      <c r="AB227" t="s">
        <v>2111</v>
      </c>
      <c r="AC227" t="s">
        <v>201</v>
      </c>
      <c r="AD227" t="s">
        <v>210</v>
      </c>
      <c r="AE227" t="s">
        <v>183</v>
      </c>
      <c r="AF227">
        <v>0</v>
      </c>
    </row>
    <row r="228" spans="1:32">
      <c r="A228">
        <v>133</v>
      </c>
      <c r="B228">
        <v>907</v>
      </c>
      <c r="C228" t="s">
        <v>2357</v>
      </c>
      <c r="D228" t="s">
        <v>169</v>
      </c>
      <c r="E228" t="s">
        <v>2165</v>
      </c>
      <c r="F228" t="s">
        <v>6</v>
      </c>
      <c r="G228" t="s">
        <v>633</v>
      </c>
      <c r="H228" t="s">
        <v>260</v>
      </c>
      <c r="I228" t="s">
        <v>187</v>
      </c>
      <c r="J228" t="s">
        <v>259</v>
      </c>
      <c r="K228" t="s">
        <v>2358</v>
      </c>
      <c r="L228" s="84">
        <v>43365</v>
      </c>
      <c r="M228" t="s">
        <v>381</v>
      </c>
      <c r="N228" t="s">
        <v>2359</v>
      </c>
      <c r="O228">
        <v>3</v>
      </c>
      <c r="P228" t="s">
        <v>2360</v>
      </c>
      <c r="Q228" t="s">
        <v>2361</v>
      </c>
      <c r="R228" t="s">
        <v>2362</v>
      </c>
      <c r="S228" t="s">
        <v>2363</v>
      </c>
      <c r="T228" t="s">
        <v>34</v>
      </c>
      <c r="U228" t="s">
        <v>80</v>
      </c>
      <c r="V228">
        <v>72</v>
      </c>
      <c r="W228">
        <v>82</v>
      </c>
      <c r="X228">
        <v>120</v>
      </c>
      <c r="Y228">
        <v>109</v>
      </c>
      <c r="Z228">
        <v>175</v>
      </c>
      <c r="AA228">
        <v>161</v>
      </c>
      <c r="AB228" t="s">
        <v>2111</v>
      </c>
      <c r="AC228" t="s">
        <v>201</v>
      </c>
      <c r="AD228" t="s">
        <v>210</v>
      </c>
      <c r="AE228" t="s">
        <v>183</v>
      </c>
      <c r="AF228">
        <v>0</v>
      </c>
    </row>
    <row r="229" spans="1:32">
      <c r="A229">
        <v>133</v>
      </c>
      <c r="B229">
        <v>907</v>
      </c>
      <c r="C229" t="s">
        <v>2357</v>
      </c>
      <c r="D229" t="s">
        <v>169</v>
      </c>
      <c r="E229" t="s">
        <v>2165</v>
      </c>
      <c r="F229" t="s">
        <v>197</v>
      </c>
      <c r="G229" t="s">
        <v>636</v>
      </c>
      <c r="H229" t="s">
        <v>192</v>
      </c>
      <c r="I229" t="s">
        <v>212</v>
      </c>
      <c r="J229" t="s">
        <v>192</v>
      </c>
      <c r="K229" t="s">
        <v>2358</v>
      </c>
      <c r="L229" s="84">
        <v>43365</v>
      </c>
      <c r="M229" t="s">
        <v>381</v>
      </c>
      <c r="N229" t="s">
        <v>2359</v>
      </c>
      <c r="O229">
        <v>3</v>
      </c>
      <c r="P229" t="s">
        <v>2360</v>
      </c>
      <c r="Q229" t="s">
        <v>2361</v>
      </c>
      <c r="R229" t="s">
        <v>2362</v>
      </c>
      <c r="S229" t="s">
        <v>2363</v>
      </c>
      <c r="T229" t="s">
        <v>38</v>
      </c>
      <c r="U229" t="s">
        <v>80</v>
      </c>
      <c r="V229">
        <v>72</v>
      </c>
      <c r="W229">
        <v>82</v>
      </c>
      <c r="X229">
        <v>120</v>
      </c>
      <c r="Y229">
        <v>109</v>
      </c>
      <c r="Z229">
        <v>175</v>
      </c>
      <c r="AA229">
        <v>161</v>
      </c>
      <c r="AB229" t="s">
        <v>2111</v>
      </c>
      <c r="AC229" t="s">
        <v>201</v>
      </c>
      <c r="AD229" t="s">
        <v>210</v>
      </c>
      <c r="AE229" t="s">
        <v>183</v>
      </c>
      <c r="AF229">
        <v>0</v>
      </c>
    </row>
    <row r="230" spans="1:32">
      <c r="A230">
        <v>133</v>
      </c>
      <c r="B230">
        <v>907</v>
      </c>
      <c r="C230" t="s">
        <v>2357</v>
      </c>
      <c r="D230" t="s">
        <v>169</v>
      </c>
      <c r="E230" t="s">
        <v>2165</v>
      </c>
      <c r="F230" t="s">
        <v>193</v>
      </c>
      <c r="G230" t="s">
        <v>634</v>
      </c>
      <c r="H230" t="s">
        <v>192</v>
      </c>
      <c r="I230" t="s">
        <v>192</v>
      </c>
      <c r="J230" t="s">
        <v>212</v>
      </c>
      <c r="K230" t="s">
        <v>2358</v>
      </c>
      <c r="L230" s="84">
        <v>43365</v>
      </c>
      <c r="M230" t="s">
        <v>381</v>
      </c>
      <c r="N230" t="s">
        <v>2359</v>
      </c>
      <c r="O230">
        <v>3</v>
      </c>
      <c r="P230" t="s">
        <v>2360</v>
      </c>
      <c r="Q230" t="s">
        <v>2361</v>
      </c>
      <c r="R230" t="s">
        <v>2362</v>
      </c>
      <c r="S230" t="s">
        <v>2363</v>
      </c>
      <c r="T230" t="s">
        <v>36</v>
      </c>
      <c r="U230" t="s">
        <v>80</v>
      </c>
      <c r="V230">
        <v>72</v>
      </c>
      <c r="W230">
        <v>82</v>
      </c>
      <c r="X230">
        <v>120</v>
      </c>
      <c r="Y230">
        <v>109</v>
      </c>
      <c r="Z230">
        <v>175</v>
      </c>
      <c r="AA230">
        <v>161</v>
      </c>
      <c r="AB230" t="s">
        <v>2111</v>
      </c>
      <c r="AC230" t="s">
        <v>201</v>
      </c>
      <c r="AD230" t="s">
        <v>210</v>
      </c>
      <c r="AE230" t="s">
        <v>183</v>
      </c>
      <c r="AF230">
        <v>0</v>
      </c>
    </row>
    <row r="231" spans="1:32">
      <c r="A231">
        <v>133</v>
      </c>
      <c r="B231">
        <v>907</v>
      </c>
      <c r="C231" t="s">
        <v>2357</v>
      </c>
      <c r="D231" t="s">
        <v>169</v>
      </c>
      <c r="E231" t="s">
        <v>2165</v>
      </c>
      <c r="F231" t="s">
        <v>37</v>
      </c>
      <c r="G231" t="s">
        <v>635</v>
      </c>
      <c r="H231" t="s">
        <v>192</v>
      </c>
      <c r="I231" t="s">
        <v>181</v>
      </c>
      <c r="J231" t="s">
        <v>192</v>
      </c>
      <c r="K231" t="s">
        <v>2358</v>
      </c>
      <c r="L231" s="84">
        <v>43365</v>
      </c>
      <c r="M231" t="s">
        <v>381</v>
      </c>
      <c r="N231" t="s">
        <v>2359</v>
      </c>
      <c r="O231">
        <v>3</v>
      </c>
      <c r="P231" t="s">
        <v>2360</v>
      </c>
      <c r="Q231" t="s">
        <v>2361</v>
      </c>
      <c r="R231" t="s">
        <v>2362</v>
      </c>
      <c r="S231" t="s">
        <v>2363</v>
      </c>
      <c r="T231" t="s">
        <v>37</v>
      </c>
      <c r="U231" t="s">
        <v>80</v>
      </c>
      <c r="V231">
        <v>72</v>
      </c>
      <c r="W231">
        <v>82</v>
      </c>
      <c r="X231">
        <v>120</v>
      </c>
      <c r="Y231">
        <v>109</v>
      </c>
      <c r="Z231">
        <v>175</v>
      </c>
      <c r="AA231">
        <v>161</v>
      </c>
      <c r="AB231" t="s">
        <v>2111</v>
      </c>
      <c r="AC231" t="s">
        <v>201</v>
      </c>
      <c r="AD231" t="s">
        <v>210</v>
      </c>
      <c r="AE231" t="s">
        <v>183</v>
      </c>
      <c r="AF231">
        <v>0</v>
      </c>
    </row>
    <row r="232" spans="1:32">
      <c r="A232">
        <v>133</v>
      </c>
      <c r="B232">
        <v>907</v>
      </c>
      <c r="C232" t="s">
        <v>2357</v>
      </c>
      <c r="D232" t="s">
        <v>169</v>
      </c>
      <c r="E232" t="s">
        <v>2165</v>
      </c>
      <c r="F232" t="s">
        <v>5</v>
      </c>
      <c r="G232" t="s">
        <v>2834</v>
      </c>
      <c r="H232" t="s">
        <v>189</v>
      </c>
      <c r="I232" t="s">
        <v>215</v>
      </c>
      <c r="J232" t="s">
        <v>262</v>
      </c>
      <c r="K232" t="s">
        <v>2358</v>
      </c>
      <c r="L232" s="84">
        <v>43365</v>
      </c>
      <c r="M232" t="s">
        <v>381</v>
      </c>
      <c r="N232" t="s">
        <v>2359</v>
      </c>
      <c r="O232">
        <v>3</v>
      </c>
      <c r="P232" t="s">
        <v>2360</v>
      </c>
      <c r="Q232" t="s">
        <v>2361</v>
      </c>
      <c r="R232" t="s">
        <v>2362</v>
      </c>
      <c r="S232" t="s">
        <v>2363</v>
      </c>
      <c r="T232" t="s">
        <v>33</v>
      </c>
      <c r="U232" t="s">
        <v>80</v>
      </c>
      <c r="V232">
        <v>72</v>
      </c>
      <c r="W232">
        <v>82</v>
      </c>
      <c r="X232">
        <v>120</v>
      </c>
      <c r="Y232">
        <v>109</v>
      </c>
      <c r="Z232">
        <v>175</v>
      </c>
      <c r="AA232">
        <v>161</v>
      </c>
      <c r="AB232" t="s">
        <v>2111</v>
      </c>
      <c r="AC232" t="s">
        <v>201</v>
      </c>
      <c r="AD232" t="s">
        <v>210</v>
      </c>
      <c r="AE232" t="s">
        <v>183</v>
      </c>
      <c r="AF232">
        <v>0</v>
      </c>
    </row>
    <row r="233" spans="1:32">
      <c r="A233">
        <v>134</v>
      </c>
      <c r="B233">
        <v>1135</v>
      </c>
      <c r="C233" t="s">
        <v>2364</v>
      </c>
      <c r="D233" t="s">
        <v>169</v>
      </c>
      <c r="E233" t="s">
        <v>2165</v>
      </c>
      <c r="F233" t="s">
        <v>5</v>
      </c>
      <c r="G233" t="s">
        <v>2835</v>
      </c>
      <c r="H233" t="s">
        <v>259</v>
      </c>
      <c r="I233" t="s">
        <v>218</v>
      </c>
      <c r="J233" t="s">
        <v>297</v>
      </c>
      <c r="K233" t="s">
        <v>2365</v>
      </c>
      <c r="L233" s="84">
        <v>43772</v>
      </c>
      <c r="M233" t="s">
        <v>381</v>
      </c>
      <c r="N233" t="s">
        <v>1699</v>
      </c>
      <c r="O233">
        <v>2</v>
      </c>
      <c r="P233" t="s">
        <v>2366</v>
      </c>
      <c r="Q233" t="s">
        <v>2367</v>
      </c>
      <c r="R233" t="s">
        <v>2368</v>
      </c>
      <c r="S233" t="s">
        <v>2369</v>
      </c>
      <c r="T233" t="s">
        <v>33</v>
      </c>
      <c r="U233" t="s">
        <v>79</v>
      </c>
      <c r="V233">
        <v>62</v>
      </c>
      <c r="W233">
        <v>82</v>
      </c>
      <c r="X233">
        <v>120</v>
      </c>
      <c r="Y233">
        <v>97</v>
      </c>
      <c r="Z233">
        <v>175</v>
      </c>
      <c r="AA233">
        <v>150</v>
      </c>
      <c r="AB233" t="s">
        <v>2370</v>
      </c>
      <c r="AC233" t="s">
        <v>245</v>
      </c>
      <c r="AD233" t="s">
        <v>210</v>
      </c>
      <c r="AE233" t="s">
        <v>183</v>
      </c>
      <c r="AF233">
        <v>0</v>
      </c>
    </row>
    <row r="234" spans="1:32">
      <c r="A234">
        <v>134</v>
      </c>
      <c r="B234">
        <v>1135</v>
      </c>
      <c r="C234" t="s">
        <v>2364</v>
      </c>
      <c r="D234" t="s">
        <v>169</v>
      </c>
      <c r="E234" t="s">
        <v>2165</v>
      </c>
      <c r="F234" t="s">
        <v>37</v>
      </c>
      <c r="G234" t="s">
        <v>645</v>
      </c>
      <c r="H234" t="s">
        <v>192</v>
      </c>
      <c r="I234" t="s">
        <v>181</v>
      </c>
      <c r="J234" t="s">
        <v>212</v>
      </c>
      <c r="K234" t="s">
        <v>2365</v>
      </c>
      <c r="L234" s="84">
        <v>43772</v>
      </c>
      <c r="M234" t="s">
        <v>381</v>
      </c>
      <c r="N234" t="s">
        <v>1699</v>
      </c>
      <c r="O234">
        <v>2</v>
      </c>
      <c r="P234" t="s">
        <v>2366</v>
      </c>
      <c r="Q234" t="s">
        <v>2367</v>
      </c>
      <c r="R234" t="s">
        <v>2368</v>
      </c>
      <c r="S234" t="s">
        <v>2369</v>
      </c>
      <c r="T234" t="s">
        <v>37</v>
      </c>
      <c r="U234" t="s">
        <v>79</v>
      </c>
      <c r="V234">
        <v>62</v>
      </c>
      <c r="W234">
        <v>82</v>
      </c>
      <c r="X234">
        <v>120</v>
      </c>
      <c r="Y234">
        <v>97</v>
      </c>
      <c r="Z234">
        <v>175</v>
      </c>
      <c r="AA234">
        <v>150</v>
      </c>
      <c r="AB234" t="s">
        <v>2370</v>
      </c>
      <c r="AC234" t="s">
        <v>245</v>
      </c>
      <c r="AD234" t="s">
        <v>210</v>
      </c>
      <c r="AE234" t="s">
        <v>183</v>
      </c>
      <c r="AF234">
        <v>0</v>
      </c>
    </row>
    <row r="235" spans="1:32">
      <c r="A235">
        <v>134</v>
      </c>
      <c r="B235">
        <v>1135</v>
      </c>
      <c r="C235" t="s">
        <v>2364</v>
      </c>
      <c r="D235" t="s">
        <v>169</v>
      </c>
      <c r="E235" t="s">
        <v>2165</v>
      </c>
      <c r="F235" t="s">
        <v>193</v>
      </c>
      <c r="G235" t="s">
        <v>646</v>
      </c>
      <c r="H235" t="s">
        <v>192</v>
      </c>
      <c r="I235" t="s">
        <v>188</v>
      </c>
      <c r="J235" t="s">
        <v>192</v>
      </c>
      <c r="K235" t="s">
        <v>2365</v>
      </c>
      <c r="L235" s="84">
        <v>43772</v>
      </c>
      <c r="M235" t="s">
        <v>381</v>
      </c>
      <c r="N235" t="s">
        <v>1699</v>
      </c>
      <c r="O235">
        <v>2</v>
      </c>
      <c r="P235" t="s">
        <v>2366</v>
      </c>
      <c r="Q235" t="s">
        <v>2367</v>
      </c>
      <c r="R235" t="s">
        <v>2368</v>
      </c>
      <c r="S235" t="s">
        <v>2369</v>
      </c>
      <c r="T235" t="s">
        <v>36</v>
      </c>
      <c r="U235" t="s">
        <v>79</v>
      </c>
      <c r="V235">
        <v>62</v>
      </c>
      <c r="W235">
        <v>82</v>
      </c>
      <c r="X235">
        <v>120</v>
      </c>
      <c r="Y235">
        <v>97</v>
      </c>
      <c r="Z235">
        <v>175</v>
      </c>
      <c r="AA235">
        <v>150</v>
      </c>
      <c r="AB235" t="s">
        <v>2370</v>
      </c>
      <c r="AC235" t="s">
        <v>245</v>
      </c>
      <c r="AD235" t="s">
        <v>210</v>
      </c>
      <c r="AE235" t="s">
        <v>183</v>
      </c>
      <c r="AF235">
        <v>0</v>
      </c>
    </row>
    <row r="236" spans="1:32">
      <c r="A236">
        <v>134</v>
      </c>
      <c r="B236">
        <v>1135</v>
      </c>
      <c r="C236" t="s">
        <v>2364</v>
      </c>
      <c r="D236" t="s">
        <v>169</v>
      </c>
      <c r="E236" t="s">
        <v>2165</v>
      </c>
      <c r="F236" t="s">
        <v>197</v>
      </c>
      <c r="G236" t="s">
        <v>638</v>
      </c>
      <c r="H236" t="s">
        <v>192</v>
      </c>
      <c r="I236" t="s">
        <v>212</v>
      </c>
      <c r="J236" t="s">
        <v>212</v>
      </c>
      <c r="K236" t="s">
        <v>2365</v>
      </c>
      <c r="L236" s="84">
        <v>43772</v>
      </c>
      <c r="M236" t="s">
        <v>381</v>
      </c>
      <c r="N236" t="s">
        <v>1699</v>
      </c>
      <c r="O236">
        <v>2</v>
      </c>
      <c r="P236" t="s">
        <v>2366</v>
      </c>
      <c r="Q236" t="s">
        <v>2367</v>
      </c>
      <c r="R236" t="s">
        <v>2368</v>
      </c>
      <c r="S236" t="s">
        <v>2369</v>
      </c>
      <c r="T236" t="s">
        <v>38</v>
      </c>
      <c r="U236" t="s">
        <v>79</v>
      </c>
      <c r="V236">
        <v>62</v>
      </c>
      <c r="W236">
        <v>82</v>
      </c>
      <c r="X236">
        <v>120</v>
      </c>
      <c r="Y236">
        <v>97</v>
      </c>
      <c r="Z236">
        <v>175</v>
      </c>
      <c r="AA236">
        <v>150</v>
      </c>
      <c r="AB236" t="s">
        <v>2370</v>
      </c>
      <c r="AC236" t="s">
        <v>245</v>
      </c>
      <c r="AD236" t="s">
        <v>210</v>
      </c>
      <c r="AE236" t="s">
        <v>183</v>
      </c>
      <c r="AF236">
        <v>0</v>
      </c>
    </row>
    <row r="237" spans="1:32">
      <c r="A237">
        <v>134</v>
      </c>
      <c r="B237">
        <v>1135</v>
      </c>
      <c r="C237" t="s">
        <v>2364</v>
      </c>
      <c r="D237" t="s">
        <v>169</v>
      </c>
      <c r="E237" t="s">
        <v>2165</v>
      </c>
      <c r="F237" t="s">
        <v>6</v>
      </c>
      <c r="G237" t="s">
        <v>647</v>
      </c>
      <c r="H237" t="s">
        <v>191</v>
      </c>
      <c r="I237" t="s">
        <v>191</v>
      </c>
      <c r="J237" t="s">
        <v>238</v>
      </c>
      <c r="K237" t="s">
        <v>2365</v>
      </c>
      <c r="L237" s="84">
        <v>43772</v>
      </c>
      <c r="M237" t="s">
        <v>381</v>
      </c>
      <c r="N237" t="s">
        <v>1699</v>
      </c>
      <c r="O237">
        <v>2</v>
      </c>
      <c r="P237" t="s">
        <v>2366</v>
      </c>
      <c r="Q237" t="s">
        <v>2367</v>
      </c>
      <c r="R237" t="s">
        <v>2368</v>
      </c>
      <c r="S237" t="s">
        <v>2369</v>
      </c>
      <c r="T237" t="s">
        <v>34</v>
      </c>
      <c r="U237" t="s">
        <v>79</v>
      </c>
      <c r="V237">
        <v>62</v>
      </c>
      <c r="W237">
        <v>82</v>
      </c>
      <c r="X237">
        <v>120</v>
      </c>
      <c r="Y237">
        <v>97</v>
      </c>
      <c r="Z237">
        <v>175</v>
      </c>
      <c r="AA237">
        <v>150</v>
      </c>
      <c r="AB237" t="s">
        <v>2370</v>
      </c>
      <c r="AC237" t="s">
        <v>245</v>
      </c>
      <c r="AD237" t="s">
        <v>210</v>
      </c>
      <c r="AE237" t="s">
        <v>183</v>
      </c>
      <c r="AF237">
        <v>0</v>
      </c>
    </row>
    <row r="238" spans="1:32">
      <c r="A238">
        <v>134</v>
      </c>
      <c r="B238">
        <v>1135</v>
      </c>
      <c r="C238" t="s">
        <v>2364</v>
      </c>
      <c r="D238" t="s">
        <v>169</v>
      </c>
      <c r="E238" t="s">
        <v>2165</v>
      </c>
      <c r="F238" t="s">
        <v>7</v>
      </c>
      <c r="G238" t="s">
        <v>649</v>
      </c>
      <c r="H238" t="s">
        <v>216</v>
      </c>
      <c r="I238" t="s">
        <v>220</v>
      </c>
      <c r="J238" t="s">
        <v>215</v>
      </c>
      <c r="K238" t="s">
        <v>2365</v>
      </c>
      <c r="L238" s="84">
        <v>43772</v>
      </c>
      <c r="M238" t="s">
        <v>381</v>
      </c>
      <c r="N238" t="s">
        <v>1699</v>
      </c>
      <c r="O238">
        <v>2</v>
      </c>
      <c r="P238" t="s">
        <v>2366</v>
      </c>
      <c r="Q238" t="s">
        <v>2367</v>
      </c>
      <c r="R238" t="s">
        <v>2368</v>
      </c>
      <c r="S238" t="s">
        <v>2369</v>
      </c>
      <c r="T238" t="s">
        <v>32</v>
      </c>
      <c r="U238" t="s">
        <v>79</v>
      </c>
      <c r="V238">
        <v>62</v>
      </c>
      <c r="W238">
        <v>82</v>
      </c>
      <c r="X238">
        <v>120</v>
      </c>
      <c r="Y238">
        <v>97</v>
      </c>
      <c r="Z238">
        <v>175</v>
      </c>
      <c r="AA238">
        <v>150</v>
      </c>
      <c r="AB238" t="s">
        <v>2370</v>
      </c>
      <c r="AC238" t="s">
        <v>245</v>
      </c>
      <c r="AD238" t="s">
        <v>210</v>
      </c>
      <c r="AE238" t="s">
        <v>183</v>
      </c>
      <c r="AF238">
        <v>0</v>
      </c>
    </row>
    <row r="239" spans="1:32">
      <c r="A239">
        <v>134</v>
      </c>
      <c r="B239">
        <v>1135</v>
      </c>
      <c r="C239" t="s">
        <v>2364</v>
      </c>
      <c r="D239" t="s">
        <v>169</v>
      </c>
      <c r="E239" t="s">
        <v>2165</v>
      </c>
      <c r="F239" t="s">
        <v>8</v>
      </c>
      <c r="G239" t="s">
        <v>648</v>
      </c>
      <c r="H239" t="s">
        <v>215</v>
      </c>
      <c r="I239" t="s">
        <v>216</v>
      </c>
      <c r="J239" t="s">
        <v>216</v>
      </c>
      <c r="K239" t="s">
        <v>2365</v>
      </c>
      <c r="L239" s="84">
        <v>43772</v>
      </c>
      <c r="M239" t="s">
        <v>381</v>
      </c>
      <c r="N239" t="s">
        <v>1699</v>
      </c>
      <c r="O239">
        <v>2</v>
      </c>
      <c r="P239" t="s">
        <v>2366</v>
      </c>
      <c r="Q239" t="s">
        <v>2367</v>
      </c>
      <c r="R239" t="s">
        <v>2368</v>
      </c>
      <c r="S239" t="s">
        <v>2369</v>
      </c>
      <c r="T239" t="s">
        <v>31</v>
      </c>
      <c r="U239" t="s">
        <v>79</v>
      </c>
      <c r="V239">
        <v>62</v>
      </c>
      <c r="W239">
        <v>82</v>
      </c>
      <c r="X239">
        <v>120</v>
      </c>
      <c r="Y239">
        <v>97</v>
      </c>
      <c r="Z239">
        <v>175</v>
      </c>
      <c r="AA239">
        <v>150</v>
      </c>
      <c r="AB239" t="s">
        <v>2370</v>
      </c>
      <c r="AC239" t="s">
        <v>245</v>
      </c>
      <c r="AD239" t="s">
        <v>210</v>
      </c>
      <c r="AE239" t="s">
        <v>183</v>
      </c>
      <c r="AF239">
        <v>0</v>
      </c>
    </row>
    <row r="240" spans="1:32">
      <c r="A240">
        <v>135</v>
      </c>
      <c r="B240">
        <v>1022</v>
      </c>
      <c r="C240" t="s">
        <v>2371</v>
      </c>
      <c r="D240" t="s">
        <v>169</v>
      </c>
      <c r="E240" t="s">
        <v>2165</v>
      </c>
      <c r="F240" t="s">
        <v>8</v>
      </c>
      <c r="G240" t="s">
        <v>657</v>
      </c>
      <c r="H240" t="s">
        <v>238</v>
      </c>
      <c r="I240" t="s">
        <v>329</v>
      </c>
      <c r="J240" t="s">
        <v>226</v>
      </c>
      <c r="K240" t="s">
        <v>2372</v>
      </c>
      <c r="L240" s="84">
        <v>43476</v>
      </c>
      <c r="M240" t="s">
        <v>381</v>
      </c>
      <c r="N240" t="s">
        <v>1733</v>
      </c>
      <c r="O240">
        <v>3</v>
      </c>
      <c r="P240" t="s">
        <v>2373</v>
      </c>
      <c r="Q240" t="s">
        <v>2374</v>
      </c>
      <c r="R240" t="s">
        <v>2375</v>
      </c>
      <c r="S240" t="s">
        <v>2376</v>
      </c>
      <c r="T240" t="s">
        <v>31</v>
      </c>
      <c r="U240" t="s">
        <v>80</v>
      </c>
      <c r="V240">
        <v>67</v>
      </c>
      <c r="W240">
        <v>82</v>
      </c>
      <c r="X240">
        <v>120</v>
      </c>
      <c r="Y240">
        <v>103</v>
      </c>
      <c r="Z240">
        <v>175</v>
      </c>
      <c r="AA240">
        <v>155</v>
      </c>
      <c r="AB240" t="s">
        <v>2325</v>
      </c>
      <c r="AC240" t="s">
        <v>173</v>
      </c>
      <c r="AD240" t="s">
        <v>210</v>
      </c>
      <c r="AE240" t="s">
        <v>183</v>
      </c>
      <c r="AF240">
        <v>0</v>
      </c>
    </row>
    <row r="241" spans="1:32">
      <c r="A241">
        <v>135</v>
      </c>
      <c r="B241">
        <v>1022</v>
      </c>
      <c r="C241" t="s">
        <v>2371</v>
      </c>
      <c r="D241" t="s">
        <v>169</v>
      </c>
      <c r="E241" t="s">
        <v>2165</v>
      </c>
      <c r="F241" t="s">
        <v>7</v>
      </c>
      <c r="G241" t="s">
        <v>651</v>
      </c>
      <c r="H241" t="s">
        <v>188</v>
      </c>
      <c r="I241" t="s">
        <v>1054</v>
      </c>
      <c r="J241" t="s">
        <v>172</v>
      </c>
      <c r="K241" t="s">
        <v>2372</v>
      </c>
      <c r="L241" s="84">
        <v>43476</v>
      </c>
      <c r="M241" t="s">
        <v>381</v>
      </c>
      <c r="N241" t="s">
        <v>1733</v>
      </c>
      <c r="O241">
        <v>3</v>
      </c>
      <c r="P241" t="s">
        <v>2373</v>
      </c>
      <c r="Q241" t="s">
        <v>2374</v>
      </c>
      <c r="R241" t="s">
        <v>2375</v>
      </c>
      <c r="S241" t="s">
        <v>2376</v>
      </c>
      <c r="T241" t="s">
        <v>32</v>
      </c>
      <c r="U241" t="s">
        <v>80</v>
      </c>
      <c r="V241">
        <v>67</v>
      </c>
      <c r="W241">
        <v>82</v>
      </c>
      <c r="X241">
        <v>120</v>
      </c>
      <c r="Y241">
        <v>103</v>
      </c>
      <c r="Z241">
        <v>175</v>
      </c>
      <c r="AA241">
        <v>155</v>
      </c>
      <c r="AB241" t="s">
        <v>2325</v>
      </c>
      <c r="AC241" t="s">
        <v>173</v>
      </c>
      <c r="AD241" t="s">
        <v>210</v>
      </c>
      <c r="AE241" t="s">
        <v>183</v>
      </c>
      <c r="AF241">
        <v>0</v>
      </c>
    </row>
    <row r="242" spans="1:32">
      <c r="A242">
        <v>135</v>
      </c>
      <c r="B242">
        <v>1022</v>
      </c>
      <c r="C242" t="s">
        <v>2371</v>
      </c>
      <c r="D242" t="s">
        <v>169</v>
      </c>
      <c r="E242" t="s">
        <v>2165</v>
      </c>
      <c r="F242" t="s">
        <v>6</v>
      </c>
      <c r="G242" t="s">
        <v>658</v>
      </c>
      <c r="H242" t="s">
        <v>228</v>
      </c>
      <c r="I242" t="s">
        <v>329</v>
      </c>
      <c r="J242" t="s">
        <v>188</v>
      </c>
      <c r="K242" t="s">
        <v>2372</v>
      </c>
      <c r="L242" s="84">
        <v>43476</v>
      </c>
      <c r="M242" t="s">
        <v>381</v>
      </c>
      <c r="N242" t="s">
        <v>1733</v>
      </c>
      <c r="O242">
        <v>3</v>
      </c>
      <c r="P242" t="s">
        <v>2373</v>
      </c>
      <c r="Q242" t="s">
        <v>2374</v>
      </c>
      <c r="R242" t="s">
        <v>2375</v>
      </c>
      <c r="S242" t="s">
        <v>2376</v>
      </c>
      <c r="T242" t="s">
        <v>34</v>
      </c>
      <c r="U242" t="s">
        <v>80</v>
      </c>
      <c r="V242">
        <v>67</v>
      </c>
      <c r="W242">
        <v>82</v>
      </c>
      <c r="X242">
        <v>120</v>
      </c>
      <c r="Y242">
        <v>103</v>
      </c>
      <c r="Z242">
        <v>175</v>
      </c>
      <c r="AA242">
        <v>155</v>
      </c>
      <c r="AB242" t="s">
        <v>2325</v>
      </c>
      <c r="AC242" t="s">
        <v>173</v>
      </c>
      <c r="AD242" t="s">
        <v>210</v>
      </c>
      <c r="AE242" t="s">
        <v>183</v>
      </c>
      <c r="AF242">
        <v>0</v>
      </c>
    </row>
    <row r="243" spans="1:32">
      <c r="A243">
        <v>135</v>
      </c>
      <c r="B243">
        <v>1022</v>
      </c>
      <c r="C243" t="s">
        <v>2371</v>
      </c>
      <c r="D243" t="s">
        <v>169</v>
      </c>
      <c r="E243" t="s">
        <v>2165</v>
      </c>
      <c r="F243" t="s">
        <v>197</v>
      </c>
      <c r="G243" t="s">
        <v>661</v>
      </c>
      <c r="H243" t="s">
        <v>192</v>
      </c>
      <c r="I243" t="s">
        <v>188</v>
      </c>
      <c r="J243" t="s">
        <v>192</v>
      </c>
      <c r="K243" t="s">
        <v>2372</v>
      </c>
      <c r="L243" s="84">
        <v>43476</v>
      </c>
      <c r="M243" t="s">
        <v>381</v>
      </c>
      <c r="N243" t="s">
        <v>1733</v>
      </c>
      <c r="O243">
        <v>3</v>
      </c>
      <c r="P243" t="s">
        <v>2373</v>
      </c>
      <c r="Q243" t="s">
        <v>2374</v>
      </c>
      <c r="R243" t="s">
        <v>2375</v>
      </c>
      <c r="S243" t="s">
        <v>2376</v>
      </c>
      <c r="T243" t="s">
        <v>38</v>
      </c>
      <c r="U243" t="s">
        <v>80</v>
      </c>
      <c r="V243">
        <v>67</v>
      </c>
      <c r="W243">
        <v>82</v>
      </c>
      <c r="X243">
        <v>120</v>
      </c>
      <c r="Y243">
        <v>103</v>
      </c>
      <c r="Z243">
        <v>175</v>
      </c>
      <c r="AA243">
        <v>155</v>
      </c>
      <c r="AB243" t="s">
        <v>2325</v>
      </c>
      <c r="AC243" t="s">
        <v>173</v>
      </c>
      <c r="AD243" t="s">
        <v>210</v>
      </c>
      <c r="AE243" t="s">
        <v>183</v>
      </c>
      <c r="AF243">
        <v>0</v>
      </c>
    </row>
    <row r="244" spans="1:32">
      <c r="A244">
        <v>135</v>
      </c>
      <c r="B244">
        <v>1022</v>
      </c>
      <c r="C244" t="s">
        <v>2371</v>
      </c>
      <c r="D244" t="s">
        <v>169</v>
      </c>
      <c r="E244" t="s">
        <v>2165</v>
      </c>
      <c r="F244" t="s">
        <v>193</v>
      </c>
      <c r="G244" t="s">
        <v>659</v>
      </c>
      <c r="H244" t="s">
        <v>192</v>
      </c>
      <c r="I244" t="s">
        <v>192</v>
      </c>
      <c r="J244" t="s">
        <v>192</v>
      </c>
      <c r="K244" t="s">
        <v>2372</v>
      </c>
      <c r="L244" s="84">
        <v>43476</v>
      </c>
      <c r="M244" t="s">
        <v>381</v>
      </c>
      <c r="N244" t="s">
        <v>1733</v>
      </c>
      <c r="O244">
        <v>3</v>
      </c>
      <c r="P244" t="s">
        <v>2373</v>
      </c>
      <c r="Q244" t="s">
        <v>2374</v>
      </c>
      <c r="R244" t="s">
        <v>2375</v>
      </c>
      <c r="S244" t="s">
        <v>2376</v>
      </c>
      <c r="T244" t="s">
        <v>36</v>
      </c>
      <c r="U244" t="s">
        <v>80</v>
      </c>
      <c r="V244">
        <v>67</v>
      </c>
      <c r="W244">
        <v>82</v>
      </c>
      <c r="X244">
        <v>120</v>
      </c>
      <c r="Y244">
        <v>103</v>
      </c>
      <c r="Z244">
        <v>175</v>
      </c>
      <c r="AA244">
        <v>155</v>
      </c>
      <c r="AB244" t="s">
        <v>2325</v>
      </c>
      <c r="AC244" t="s">
        <v>173</v>
      </c>
      <c r="AD244" t="s">
        <v>210</v>
      </c>
      <c r="AE244" t="s">
        <v>183</v>
      </c>
      <c r="AF244">
        <v>0</v>
      </c>
    </row>
    <row r="245" spans="1:32">
      <c r="A245">
        <v>135</v>
      </c>
      <c r="B245">
        <v>1022</v>
      </c>
      <c r="C245" t="s">
        <v>2371</v>
      </c>
      <c r="D245" t="s">
        <v>169</v>
      </c>
      <c r="E245" t="s">
        <v>2165</v>
      </c>
      <c r="F245" t="s">
        <v>37</v>
      </c>
      <c r="G245" t="s">
        <v>660</v>
      </c>
      <c r="H245" t="s">
        <v>192</v>
      </c>
      <c r="I245" t="s">
        <v>173</v>
      </c>
      <c r="J245" t="s">
        <v>192</v>
      </c>
      <c r="K245" t="s">
        <v>2372</v>
      </c>
      <c r="L245" s="84">
        <v>43476</v>
      </c>
      <c r="M245" t="s">
        <v>381</v>
      </c>
      <c r="N245" t="s">
        <v>1733</v>
      </c>
      <c r="O245">
        <v>3</v>
      </c>
      <c r="P245" t="s">
        <v>2373</v>
      </c>
      <c r="Q245" t="s">
        <v>2374</v>
      </c>
      <c r="R245" t="s">
        <v>2375</v>
      </c>
      <c r="S245" t="s">
        <v>2376</v>
      </c>
      <c r="T245" t="s">
        <v>37</v>
      </c>
      <c r="U245" t="s">
        <v>80</v>
      </c>
      <c r="V245">
        <v>67</v>
      </c>
      <c r="W245">
        <v>82</v>
      </c>
      <c r="X245">
        <v>120</v>
      </c>
      <c r="Y245">
        <v>103</v>
      </c>
      <c r="Z245">
        <v>175</v>
      </c>
      <c r="AA245">
        <v>155</v>
      </c>
      <c r="AB245" t="s">
        <v>2325</v>
      </c>
      <c r="AC245" t="s">
        <v>173</v>
      </c>
      <c r="AD245" t="s">
        <v>210</v>
      </c>
      <c r="AE245" t="s">
        <v>183</v>
      </c>
      <c r="AF245">
        <v>0</v>
      </c>
    </row>
    <row r="246" spans="1:32">
      <c r="A246">
        <v>135</v>
      </c>
      <c r="B246">
        <v>1022</v>
      </c>
      <c r="C246" t="s">
        <v>2371</v>
      </c>
      <c r="D246" t="s">
        <v>169</v>
      </c>
      <c r="E246" t="s">
        <v>2165</v>
      </c>
      <c r="F246" t="s">
        <v>5</v>
      </c>
      <c r="G246" t="s">
        <v>2836</v>
      </c>
      <c r="H246" t="s">
        <v>236</v>
      </c>
      <c r="I246" t="s">
        <v>188</v>
      </c>
      <c r="J246" t="s">
        <v>185</v>
      </c>
      <c r="K246" t="s">
        <v>2372</v>
      </c>
      <c r="L246" s="84">
        <v>43476</v>
      </c>
      <c r="M246" t="s">
        <v>381</v>
      </c>
      <c r="N246" t="s">
        <v>1733</v>
      </c>
      <c r="O246">
        <v>3</v>
      </c>
      <c r="P246" t="s">
        <v>2373</v>
      </c>
      <c r="Q246" t="s">
        <v>2374</v>
      </c>
      <c r="R246" t="s">
        <v>2375</v>
      </c>
      <c r="S246" t="s">
        <v>2376</v>
      </c>
      <c r="T246" t="s">
        <v>33</v>
      </c>
      <c r="U246" t="s">
        <v>80</v>
      </c>
      <c r="V246">
        <v>67</v>
      </c>
      <c r="W246">
        <v>82</v>
      </c>
      <c r="X246">
        <v>120</v>
      </c>
      <c r="Y246">
        <v>103</v>
      </c>
      <c r="Z246">
        <v>175</v>
      </c>
      <c r="AA246">
        <v>155</v>
      </c>
      <c r="AB246" t="s">
        <v>2325</v>
      </c>
      <c r="AC246" t="s">
        <v>173</v>
      </c>
      <c r="AD246" t="s">
        <v>210</v>
      </c>
      <c r="AE246" t="s">
        <v>183</v>
      </c>
      <c r="AF246">
        <v>0</v>
      </c>
    </row>
    <row r="247" spans="1:32">
      <c r="A247">
        <v>136</v>
      </c>
      <c r="B247">
        <v>1003</v>
      </c>
      <c r="C247" t="s">
        <v>2377</v>
      </c>
      <c r="D247" t="s">
        <v>169</v>
      </c>
      <c r="E247" t="s">
        <v>2165</v>
      </c>
      <c r="F247" t="s">
        <v>5</v>
      </c>
      <c r="G247" t="s">
        <v>2837</v>
      </c>
      <c r="H247" t="s">
        <v>218</v>
      </c>
      <c r="I247" t="s">
        <v>297</v>
      </c>
      <c r="J247" t="s">
        <v>257</v>
      </c>
      <c r="K247" t="s">
        <v>2378</v>
      </c>
      <c r="L247" s="84">
        <v>43515</v>
      </c>
      <c r="M247" t="s">
        <v>381</v>
      </c>
      <c r="N247" t="s">
        <v>691</v>
      </c>
      <c r="O247">
        <v>3</v>
      </c>
      <c r="P247" t="s">
        <v>2379</v>
      </c>
      <c r="Q247" t="s">
        <v>2380</v>
      </c>
      <c r="R247" t="s">
        <v>2381</v>
      </c>
      <c r="S247" t="s">
        <v>2382</v>
      </c>
      <c r="T247" t="s">
        <v>33</v>
      </c>
      <c r="U247" t="s">
        <v>80</v>
      </c>
      <c r="V247">
        <v>70</v>
      </c>
      <c r="W247">
        <v>82</v>
      </c>
      <c r="X247">
        <v>120</v>
      </c>
      <c r="Y247">
        <v>102</v>
      </c>
      <c r="Z247">
        <v>175</v>
      </c>
      <c r="AA247">
        <v>153</v>
      </c>
      <c r="AB247" t="s">
        <v>2325</v>
      </c>
      <c r="AC247" t="s">
        <v>196</v>
      </c>
      <c r="AD247" t="s">
        <v>210</v>
      </c>
      <c r="AE247" t="s">
        <v>183</v>
      </c>
      <c r="AF247">
        <v>0</v>
      </c>
    </row>
    <row r="248" spans="1:32">
      <c r="A248">
        <v>136</v>
      </c>
      <c r="B248">
        <v>1003</v>
      </c>
      <c r="C248" t="s">
        <v>2377</v>
      </c>
      <c r="D248" t="s">
        <v>169</v>
      </c>
      <c r="E248" t="s">
        <v>2165</v>
      </c>
      <c r="F248" t="s">
        <v>37</v>
      </c>
      <c r="G248" t="s">
        <v>671</v>
      </c>
      <c r="H248" t="s">
        <v>192</v>
      </c>
      <c r="I248" t="s">
        <v>181</v>
      </c>
      <c r="J248" t="s">
        <v>192</v>
      </c>
      <c r="K248" t="s">
        <v>2378</v>
      </c>
      <c r="L248" s="84">
        <v>43515</v>
      </c>
      <c r="M248" t="s">
        <v>381</v>
      </c>
      <c r="N248" t="s">
        <v>691</v>
      </c>
      <c r="O248">
        <v>3</v>
      </c>
      <c r="P248" t="s">
        <v>2379</v>
      </c>
      <c r="Q248" t="s">
        <v>2380</v>
      </c>
      <c r="R248" t="s">
        <v>2381</v>
      </c>
      <c r="S248" t="s">
        <v>2382</v>
      </c>
      <c r="T248" t="s">
        <v>37</v>
      </c>
      <c r="U248" t="s">
        <v>80</v>
      </c>
      <c r="V248">
        <v>70</v>
      </c>
      <c r="W248">
        <v>82</v>
      </c>
      <c r="X248">
        <v>120</v>
      </c>
      <c r="Y248">
        <v>102</v>
      </c>
      <c r="Z248">
        <v>175</v>
      </c>
      <c r="AA248">
        <v>153</v>
      </c>
      <c r="AB248" t="s">
        <v>2325</v>
      </c>
      <c r="AC248" t="s">
        <v>196</v>
      </c>
      <c r="AD248" t="s">
        <v>210</v>
      </c>
      <c r="AE248" t="s">
        <v>183</v>
      </c>
      <c r="AF248">
        <v>0</v>
      </c>
    </row>
    <row r="249" spans="1:32">
      <c r="A249">
        <v>136</v>
      </c>
      <c r="B249">
        <v>1003</v>
      </c>
      <c r="C249" t="s">
        <v>2377</v>
      </c>
      <c r="D249" t="s">
        <v>169</v>
      </c>
      <c r="E249" t="s">
        <v>2165</v>
      </c>
      <c r="F249" t="s">
        <v>193</v>
      </c>
      <c r="G249" t="s">
        <v>672</v>
      </c>
      <c r="H249" t="s">
        <v>192</v>
      </c>
      <c r="I249" t="s">
        <v>212</v>
      </c>
      <c r="J249" t="s">
        <v>212</v>
      </c>
      <c r="K249" t="s">
        <v>2378</v>
      </c>
      <c r="L249" s="84">
        <v>43515</v>
      </c>
      <c r="M249" t="s">
        <v>381</v>
      </c>
      <c r="N249" t="s">
        <v>691</v>
      </c>
      <c r="O249">
        <v>3</v>
      </c>
      <c r="P249" t="s">
        <v>2379</v>
      </c>
      <c r="Q249" t="s">
        <v>2380</v>
      </c>
      <c r="R249" t="s">
        <v>2381</v>
      </c>
      <c r="S249" t="s">
        <v>2382</v>
      </c>
      <c r="T249" t="s">
        <v>36</v>
      </c>
      <c r="U249" t="s">
        <v>80</v>
      </c>
      <c r="V249">
        <v>70</v>
      </c>
      <c r="W249">
        <v>82</v>
      </c>
      <c r="X249">
        <v>120</v>
      </c>
      <c r="Y249">
        <v>102</v>
      </c>
      <c r="Z249">
        <v>175</v>
      </c>
      <c r="AA249">
        <v>153</v>
      </c>
      <c r="AB249" t="s">
        <v>2325</v>
      </c>
      <c r="AC249" t="s">
        <v>196</v>
      </c>
      <c r="AD249" t="s">
        <v>210</v>
      </c>
      <c r="AE249" t="s">
        <v>183</v>
      </c>
      <c r="AF249">
        <v>0</v>
      </c>
    </row>
    <row r="250" spans="1:32">
      <c r="A250">
        <v>136</v>
      </c>
      <c r="B250">
        <v>1003</v>
      </c>
      <c r="C250" t="s">
        <v>2377</v>
      </c>
      <c r="D250" t="s">
        <v>169</v>
      </c>
      <c r="E250" t="s">
        <v>2165</v>
      </c>
      <c r="F250" t="s">
        <v>197</v>
      </c>
      <c r="G250" t="s">
        <v>663</v>
      </c>
      <c r="H250" t="s">
        <v>192</v>
      </c>
      <c r="I250" t="s">
        <v>188</v>
      </c>
      <c r="J250" t="s">
        <v>192</v>
      </c>
      <c r="K250" t="s">
        <v>2378</v>
      </c>
      <c r="L250" s="84">
        <v>43515</v>
      </c>
      <c r="M250" t="s">
        <v>381</v>
      </c>
      <c r="N250" t="s">
        <v>691</v>
      </c>
      <c r="O250">
        <v>3</v>
      </c>
      <c r="P250" t="s">
        <v>2379</v>
      </c>
      <c r="Q250" t="s">
        <v>2380</v>
      </c>
      <c r="R250" t="s">
        <v>2381</v>
      </c>
      <c r="S250" t="s">
        <v>2382</v>
      </c>
      <c r="T250" t="s">
        <v>38</v>
      </c>
      <c r="U250" t="s">
        <v>80</v>
      </c>
      <c r="V250">
        <v>70</v>
      </c>
      <c r="W250">
        <v>82</v>
      </c>
      <c r="X250">
        <v>120</v>
      </c>
      <c r="Y250">
        <v>102</v>
      </c>
      <c r="Z250">
        <v>175</v>
      </c>
      <c r="AA250">
        <v>153</v>
      </c>
      <c r="AB250" t="s">
        <v>2325</v>
      </c>
      <c r="AC250" t="s">
        <v>196</v>
      </c>
      <c r="AD250" t="s">
        <v>210</v>
      </c>
      <c r="AE250" t="s">
        <v>183</v>
      </c>
      <c r="AF250">
        <v>0</v>
      </c>
    </row>
    <row r="251" spans="1:32">
      <c r="A251">
        <v>136</v>
      </c>
      <c r="B251">
        <v>1003</v>
      </c>
      <c r="C251" t="s">
        <v>2377</v>
      </c>
      <c r="D251" t="s">
        <v>169</v>
      </c>
      <c r="E251" t="s">
        <v>2165</v>
      </c>
      <c r="F251" t="s">
        <v>6</v>
      </c>
      <c r="G251" t="s">
        <v>673</v>
      </c>
      <c r="H251" t="s">
        <v>238</v>
      </c>
      <c r="I251" t="s">
        <v>217</v>
      </c>
      <c r="J251" t="s">
        <v>260</v>
      </c>
      <c r="K251" t="s">
        <v>2378</v>
      </c>
      <c r="L251" s="84">
        <v>43515</v>
      </c>
      <c r="M251" t="s">
        <v>381</v>
      </c>
      <c r="N251" t="s">
        <v>691</v>
      </c>
      <c r="O251">
        <v>3</v>
      </c>
      <c r="P251" t="s">
        <v>2379</v>
      </c>
      <c r="Q251" t="s">
        <v>2380</v>
      </c>
      <c r="R251" t="s">
        <v>2381</v>
      </c>
      <c r="S251" t="s">
        <v>2382</v>
      </c>
      <c r="T251" t="s">
        <v>34</v>
      </c>
      <c r="U251" t="s">
        <v>80</v>
      </c>
      <c r="V251">
        <v>70</v>
      </c>
      <c r="W251">
        <v>82</v>
      </c>
      <c r="X251">
        <v>120</v>
      </c>
      <c r="Y251">
        <v>102</v>
      </c>
      <c r="Z251">
        <v>175</v>
      </c>
      <c r="AA251">
        <v>153</v>
      </c>
      <c r="AB251" t="s">
        <v>2325</v>
      </c>
      <c r="AC251" t="s">
        <v>196</v>
      </c>
      <c r="AD251" t="s">
        <v>210</v>
      </c>
      <c r="AE251" t="s">
        <v>183</v>
      </c>
      <c r="AF251">
        <v>0</v>
      </c>
    </row>
    <row r="252" spans="1:32">
      <c r="A252">
        <v>136</v>
      </c>
      <c r="B252">
        <v>1003</v>
      </c>
      <c r="C252" t="s">
        <v>2377</v>
      </c>
      <c r="D252" t="s">
        <v>169</v>
      </c>
      <c r="E252" t="s">
        <v>2165</v>
      </c>
      <c r="F252" t="s">
        <v>7</v>
      </c>
      <c r="G252" t="s">
        <v>675</v>
      </c>
      <c r="H252" t="s">
        <v>297</v>
      </c>
      <c r="I252" t="s">
        <v>239</v>
      </c>
      <c r="J252" t="s">
        <v>189</v>
      </c>
      <c r="K252" t="s">
        <v>2378</v>
      </c>
      <c r="L252" s="84">
        <v>43515</v>
      </c>
      <c r="M252" t="s">
        <v>381</v>
      </c>
      <c r="N252" t="s">
        <v>691</v>
      </c>
      <c r="O252">
        <v>3</v>
      </c>
      <c r="P252" t="s">
        <v>2379</v>
      </c>
      <c r="Q252" t="s">
        <v>2380</v>
      </c>
      <c r="R252" t="s">
        <v>2381</v>
      </c>
      <c r="S252" t="s">
        <v>2382</v>
      </c>
      <c r="T252" t="s">
        <v>32</v>
      </c>
      <c r="U252" t="s">
        <v>80</v>
      </c>
      <c r="V252">
        <v>70</v>
      </c>
      <c r="W252">
        <v>82</v>
      </c>
      <c r="X252">
        <v>120</v>
      </c>
      <c r="Y252">
        <v>102</v>
      </c>
      <c r="Z252">
        <v>175</v>
      </c>
      <c r="AA252">
        <v>153</v>
      </c>
      <c r="AB252" t="s">
        <v>2325</v>
      </c>
      <c r="AC252" t="s">
        <v>196</v>
      </c>
      <c r="AD252" t="s">
        <v>210</v>
      </c>
      <c r="AE252" t="s">
        <v>183</v>
      </c>
      <c r="AF252">
        <v>0</v>
      </c>
    </row>
    <row r="253" spans="1:32">
      <c r="A253">
        <v>136</v>
      </c>
      <c r="B253">
        <v>1003</v>
      </c>
      <c r="C253" t="s">
        <v>2377</v>
      </c>
      <c r="D253" t="s">
        <v>169</v>
      </c>
      <c r="E253" t="s">
        <v>2165</v>
      </c>
      <c r="F253" t="s">
        <v>8</v>
      </c>
      <c r="G253" t="s">
        <v>674</v>
      </c>
      <c r="H253" t="s">
        <v>189</v>
      </c>
      <c r="I253" t="s">
        <v>238</v>
      </c>
      <c r="J253" t="s">
        <v>217</v>
      </c>
      <c r="K253" t="s">
        <v>2378</v>
      </c>
      <c r="L253" s="84">
        <v>43515</v>
      </c>
      <c r="M253" t="s">
        <v>381</v>
      </c>
      <c r="N253" t="s">
        <v>691</v>
      </c>
      <c r="O253">
        <v>3</v>
      </c>
      <c r="P253" t="s">
        <v>2379</v>
      </c>
      <c r="Q253" t="s">
        <v>2380</v>
      </c>
      <c r="R253" t="s">
        <v>2381</v>
      </c>
      <c r="S253" t="s">
        <v>2382</v>
      </c>
      <c r="T253" t="s">
        <v>31</v>
      </c>
      <c r="U253" t="s">
        <v>80</v>
      </c>
      <c r="V253">
        <v>70</v>
      </c>
      <c r="W253">
        <v>82</v>
      </c>
      <c r="X253">
        <v>120</v>
      </c>
      <c r="Y253">
        <v>102</v>
      </c>
      <c r="Z253">
        <v>175</v>
      </c>
      <c r="AA253">
        <v>153</v>
      </c>
      <c r="AB253" t="s">
        <v>2325</v>
      </c>
      <c r="AC253" t="s">
        <v>196</v>
      </c>
      <c r="AD253" t="s">
        <v>210</v>
      </c>
      <c r="AE253" t="s">
        <v>183</v>
      </c>
      <c r="AF253">
        <v>0</v>
      </c>
    </row>
    <row r="254" spans="1:32">
      <c r="A254">
        <v>137</v>
      </c>
      <c r="B254">
        <v>1156</v>
      </c>
      <c r="C254" t="s">
        <v>2383</v>
      </c>
      <c r="D254" t="s">
        <v>169</v>
      </c>
      <c r="E254" t="s">
        <v>2165</v>
      </c>
      <c r="F254" t="s">
        <v>8</v>
      </c>
      <c r="G254" t="s">
        <v>683</v>
      </c>
      <c r="H254" t="s">
        <v>274</v>
      </c>
      <c r="I254" t="s">
        <v>329</v>
      </c>
      <c r="J254" t="s">
        <v>237</v>
      </c>
      <c r="K254" t="s">
        <v>2384</v>
      </c>
      <c r="L254" s="84">
        <v>43852</v>
      </c>
      <c r="M254" t="s">
        <v>381</v>
      </c>
      <c r="N254" t="s">
        <v>2385</v>
      </c>
      <c r="O254">
        <v>1</v>
      </c>
      <c r="P254" t="s">
        <v>2386</v>
      </c>
      <c r="Q254" t="s">
        <v>2387</v>
      </c>
      <c r="R254" t="s">
        <v>2388</v>
      </c>
      <c r="S254" t="s">
        <v>2389</v>
      </c>
      <c r="T254" t="s">
        <v>31</v>
      </c>
      <c r="U254" t="s">
        <v>78</v>
      </c>
      <c r="V254">
        <v>44</v>
      </c>
      <c r="W254">
        <v>82</v>
      </c>
      <c r="X254">
        <v>120</v>
      </c>
      <c r="Y254">
        <v>73</v>
      </c>
      <c r="Z254">
        <v>175</v>
      </c>
      <c r="AA254">
        <v>118</v>
      </c>
      <c r="AB254" t="s">
        <v>2089</v>
      </c>
      <c r="AC254" t="s">
        <v>245</v>
      </c>
      <c r="AD254" t="s">
        <v>210</v>
      </c>
      <c r="AE254" t="s">
        <v>183</v>
      </c>
      <c r="AF254">
        <v>0</v>
      </c>
    </row>
    <row r="255" spans="1:32">
      <c r="A255">
        <v>137</v>
      </c>
      <c r="B255">
        <v>1156</v>
      </c>
      <c r="C255" t="s">
        <v>2383</v>
      </c>
      <c r="D255" t="s">
        <v>169</v>
      </c>
      <c r="E255" t="s">
        <v>2165</v>
      </c>
      <c r="F255" t="s">
        <v>7</v>
      </c>
      <c r="G255" t="s">
        <v>677</v>
      </c>
      <c r="H255" t="s">
        <v>226</v>
      </c>
      <c r="I255" t="s">
        <v>436</v>
      </c>
      <c r="J255" t="s">
        <v>191</v>
      </c>
      <c r="K255" t="s">
        <v>2384</v>
      </c>
      <c r="L255" s="84">
        <v>43852</v>
      </c>
      <c r="M255" t="s">
        <v>381</v>
      </c>
      <c r="N255" t="s">
        <v>2385</v>
      </c>
      <c r="O255">
        <v>1</v>
      </c>
      <c r="P255" t="s">
        <v>2386</v>
      </c>
      <c r="Q255" t="s">
        <v>2387</v>
      </c>
      <c r="R255" t="s">
        <v>2388</v>
      </c>
      <c r="S255" t="s">
        <v>2389</v>
      </c>
      <c r="T255" t="s">
        <v>32</v>
      </c>
      <c r="U255" t="s">
        <v>78</v>
      </c>
      <c r="V255">
        <v>44</v>
      </c>
      <c r="W255">
        <v>82</v>
      </c>
      <c r="X255">
        <v>120</v>
      </c>
      <c r="Y255">
        <v>73</v>
      </c>
      <c r="Z255">
        <v>175</v>
      </c>
      <c r="AA255">
        <v>118</v>
      </c>
      <c r="AB255" t="s">
        <v>2089</v>
      </c>
      <c r="AC255" t="s">
        <v>245</v>
      </c>
      <c r="AD255" t="s">
        <v>210</v>
      </c>
      <c r="AE255" t="s">
        <v>183</v>
      </c>
      <c r="AF255">
        <v>0</v>
      </c>
    </row>
    <row r="256" spans="1:32">
      <c r="A256">
        <v>137</v>
      </c>
      <c r="B256">
        <v>1156</v>
      </c>
      <c r="C256" t="s">
        <v>2383</v>
      </c>
      <c r="D256" t="s">
        <v>169</v>
      </c>
      <c r="E256" t="s">
        <v>2165</v>
      </c>
      <c r="F256" t="s">
        <v>6</v>
      </c>
      <c r="G256" t="s">
        <v>684</v>
      </c>
      <c r="H256" t="s">
        <v>238</v>
      </c>
      <c r="I256" t="s">
        <v>221</v>
      </c>
      <c r="J256" t="s">
        <v>228</v>
      </c>
      <c r="K256" t="s">
        <v>2384</v>
      </c>
      <c r="L256" s="84">
        <v>43852</v>
      </c>
      <c r="M256" t="s">
        <v>381</v>
      </c>
      <c r="N256" t="s">
        <v>2385</v>
      </c>
      <c r="O256">
        <v>1</v>
      </c>
      <c r="P256" t="s">
        <v>2386</v>
      </c>
      <c r="Q256" t="s">
        <v>2387</v>
      </c>
      <c r="R256" t="s">
        <v>2388</v>
      </c>
      <c r="S256" t="s">
        <v>2389</v>
      </c>
      <c r="T256" t="s">
        <v>34</v>
      </c>
      <c r="U256" t="s">
        <v>78</v>
      </c>
      <c r="V256">
        <v>44</v>
      </c>
      <c r="W256">
        <v>82</v>
      </c>
      <c r="X256">
        <v>120</v>
      </c>
      <c r="Y256">
        <v>73</v>
      </c>
      <c r="Z256">
        <v>175</v>
      </c>
      <c r="AA256">
        <v>118</v>
      </c>
      <c r="AB256" t="s">
        <v>2089</v>
      </c>
      <c r="AC256" t="s">
        <v>245</v>
      </c>
      <c r="AD256" t="s">
        <v>210</v>
      </c>
      <c r="AE256" t="s">
        <v>183</v>
      </c>
      <c r="AF256">
        <v>0</v>
      </c>
    </row>
    <row r="257" spans="1:32">
      <c r="A257">
        <v>137</v>
      </c>
      <c r="B257">
        <v>1156</v>
      </c>
      <c r="C257" t="s">
        <v>2383</v>
      </c>
      <c r="D257" t="s">
        <v>169</v>
      </c>
      <c r="E257" t="s">
        <v>2165</v>
      </c>
      <c r="F257" t="s">
        <v>197</v>
      </c>
      <c r="G257" t="s">
        <v>687</v>
      </c>
      <c r="H257" t="s">
        <v>192</v>
      </c>
      <c r="I257" t="s">
        <v>188</v>
      </c>
      <c r="J257" t="s">
        <v>212</v>
      </c>
      <c r="K257" t="s">
        <v>2384</v>
      </c>
      <c r="L257" s="84">
        <v>43852</v>
      </c>
      <c r="M257" t="s">
        <v>381</v>
      </c>
      <c r="N257" t="s">
        <v>2385</v>
      </c>
      <c r="O257">
        <v>1</v>
      </c>
      <c r="P257" t="s">
        <v>2386</v>
      </c>
      <c r="Q257" t="s">
        <v>2387</v>
      </c>
      <c r="R257" t="s">
        <v>2388</v>
      </c>
      <c r="S257" t="s">
        <v>2389</v>
      </c>
      <c r="T257" t="s">
        <v>38</v>
      </c>
      <c r="U257" t="s">
        <v>78</v>
      </c>
      <c r="V257">
        <v>44</v>
      </c>
      <c r="W257">
        <v>82</v>
      </c>
      <c r="X257">
        <v>120</v>
      </c>
      <c r="Y257">
        <v>73</v>
      </c>
      <c r="Z257">
        <v>175</v>
      </c>
      <c r="AA257">
        <v>118</v>
      </c>
      <c r="AB257" t="s">
        <v>2089</v>
      </c>
      <c r="AC257" t="s">
        <v>245</v>
      </c>
      <c r="AD257" t="s">
        <v>210</v>
      </c>
      <c r="AE257" t="s">
        <v>183</v>
      </c>
      <c r="AF257">
        <v>0</v>
      </c>
    </row>
    <row r="258" spans="1:32">
      <c r="A258">
        <v>137</v>
      </c>
      <c r="B258">
        <v>1156</v>
      </c>
      <c r="C258" t="s">
        <v>2383</v>
      </c>
      <c r="D258" t="s">
        <v>169</v>
      </c>
      <c r="E258" t="s">
        <v>2165</v>
      </c>
      <c r="F258" t="s">
        <v>193</v>
      </c>
      <c r="G258" t="s">
        <v>685</v>
      </c>
      <c r="H258" t="s">
        <v>192</v>
      </c>
      <c r="I258" t="s">
        <v>188</v>
      </c>
      <c r="J258" t="s">
        <v>192</v>
      </c>
      <c r="K258" t="s">
        <v>2384</v>
      </c>
      <c r="L258" s="84">
        <v>43852</v>
      </c>
      <c r="M258" t="s">
        <v>381</v>
      </c>
      <c r="N258" t="s">
        <v>2385</v>
      </c>
      <c r="O258">
        <v>1</v>
      </c>
      <c r="P258" t="s">
        <v>2386</v>
      </c>
      <c r="Q258" t="s">
        <v>2387</v>
      </c>
      <c r="R258" t="s">
        <v>2388</v>
      </c>
      <c r="S258" t="s">
        <v>2389</v>
      </c>
      <c r="T258" t="s">
        <v>36</v>
      </c>
      <c r="U258" t="s">
        <v>78</v>
      </c>
      <c r="V258">
        <v>44</v>
      </c>
      <c r="W258">
        <v>82</v>
      </c>
      <c r="X258">
        <v>120</v>
      </c>
      <c r="Y258">
        <v>73</v>
      </c>
      <c r="Z258">
        <v>175</v>
      </c>
      <c r="AA258">
        <v>118</v>
      </c>
      <c r="AB258" t="s">
        <v>2089</v>
      </c>
      <c r="AC258" t="s">
        <v>245</v>
      </c>
      <c r="AD258" t="s">
        <v>210</v>
      </c>
      <c r="AE258" t="s">
        <v>183</v>
      </c>
      <c r="AF258">
        <v>0</v>
      </c>
    </row>
    <row r="259" spans="1:32">
      <c r="A259">
        <v>137</v>
      </c>
      <c r="B259">
        <v>1156</v>
      </c>
      <c r="C259" t="s">
        <v>2383</v>
      </c>
      <c r="D259" t="s">
        <v>169</v>
      </c>
      <c r="E259" t="s">
        <v>2165</v>
      </c>
      <c r="F259" t="s">
        <v>37</v>
      </c>
      <c r="G259" t="s">
        <v>686</v>
      </c>
      <c r="H259" t="s">
        <v>192</v>
      </c>
      <c r="I259" t="s">
        <v>181</v>
      </c>
      <c r="J259" t="s">
        <v>192</v>
      </c>
      <c r="K259" t="s">
        <v>2384</v>
      </c>
      <c r="L259" s="84">
        <v>43852</v>
      </c>
      <c r="M259" t="s">
        <v>381</v>
      </c>
      <c r="N259" t="s">
        <v>2385</v>
      </c>
      <c r="O259">
        <v>1</v>
      </c>
      <c r="P259" t="s">
        <v>2386</v>
      </c>
      <c r="Q259" t="s">
        <v>2387</v>
      </c>
      <c r="R259" t="s">
        <v>2388</v>
      </c>
      <c r="S259" t="s">
        <v>2389</v>
      </c>
      <c r="T259" t="s">
        <v>37</v>
      </c>
      <c r="U259" t="s">
        <v>78</v>
      </c>
      <c r="V259">
        <v>44</v>
      </c>
      <c r="W259">
        <v>82</v>
      </c>
      <c r="X259">
        <v>120</v>
      </c>
      <c r="Y259">
        <v>73</v>
      </c>
      <c r="Z259">
        <v>175</v>
      </c>
      <c r="AA259">
        <v>118</v>
      </c>
      <c r="AB259" t="s">
        <v>2089</v>
      </c>
      <c r="AC259" t="s">
        <v>245</v>
      </c>
      <c r="AD259" t="s">
        <v>210</v>
      </c>
      <c r="AE259" t="s">
        <v>183</v>
      </c>
      <c r="AF259">
        <v>0</v>
      </c>
    </row>
    <row r="260" spans="1:32">
      <c r="A260">
        <v>137</v>
      </c>
      <c r="B260">
        <v>1156</v>
      </c>
      <c r="C260" t="s">
        <v>2383</v>
      </c>
      <c r="D260" t="s">
        <v>169</v>
      </c>
      <c r="E260" t="s">
        <v>2165</v>
      </c>
      <c r="F260" t="s">
        <v>5</v>
      </c>
      <c r="G260" t="s">
        <v>2838</v>
      </c>
      <c r="H260" t="s">
        <v>188</v>
      </c>
      <c r="I260" t="s">
        <v>223</v>
      </c>
      <c r="J260" t="s">
        <v>256</v>
      </c>
      <c r="K260" t="s">
        <v>2384</v>
      </c>
      <c r="L260" s="84">
        <v>43852</v>
      </c>
      <c r="M260" t="s">
        <v>381</v>
      </c>
      <c r="N260" t="s">
        <v>2385</v>
      </c>
      <c r="O260">
        <v>1</v>
      </c>
      <c r="P260" t="s">
        <v>2386</v>
      </c>
      <c r="Q260" t="s">
        <v>2387</v>
      </c>
      <c r="R260" t="s">
        <v>2388</v>
      </c>
      <c r="S260" t="s">
        <v>2389</v>
      </c>
      <c r="T260" t="s">
        <v>33</v>
      </c>
      <c r="U260" t="s">
        <v>78</v>
      </c>
      <c r="V260">
        <v>44</v>
      </c>
      <c r="W260">
        <v>82</v>
      </c>
      <c r="X260">
        <v>120</v>
      </c>
      <c r="Y260">
        <v>73</v>
      </c>
      <c r="Z260">
        <v>175</v>
      </c>
      <c r="AA260">
        <v>118</v>
      </c>
      <c r="AB260" t="s">
        <v>2089</v>
      </c>
      <c r="AC260" t="s">
        <v>245</v>
      </c>
      <c r="AD260" t="s">
        <v>210</v>
      </c>
      <c r="AE260" t="s">
        <v>183</v>
      </c>
      <c r="AF260">
        <v>0</v>
      </c>
    </row>
    <row r="261" spans="1:32">
      <c r="A261">
        <v>138</v>
      </c>
      <c r="B261">
        <v>1065</v>
      </c>
      <c r="C261" t="s">
        <v>2390</v>
      </c>
      <c r="D261" t="s">
        <v>169</v>
      </c>
      <c r="E261" t="s">
        <v>2165</v>
      </c>
      <c r="F261" t="s">
        <v>5</v>
      </c>
      <c r="G261" t="s">
        <v>2839</v>
      </c>
      <c r="H261" t="s">
        <v>189</v>
      </c>
      <c r="I261" t="s">
        <v>497</v>
      </c>
      <c r="J261" t="s">
        <v>171</v>
      </c>
      <c r="K261" t="s">
        <v>2391</v>
      </c>
      <c r="L261" s="84">
        <v>43117</v>
      </c>
      <c r="M261" t="s">
        <v>381</v>
      </c>
      <c r="N261" t="s">
        <v>1357</v>
      </c>
      <c r="O261">
        <v>2</v>
      </c>
      <c r="P261" t="s">
        <v>2392</v>
      </c>
      <c r="Q261" t="s">
        <v>2393</v>
      </c>
      <c r="R261" t="s">
        <v>2394</v>
      </c>
      <c r="S261" t="s">
        <v>2395</v>
      </c>
      <c r="T261" t="s">
        <v>33</v>
      </c>
      <c r="U261" t="s">
        <v>79</v>
      </c>
      <c r="V261">
        <v>50</v>
      </c>
      <c r="W261">
        <v>82</v>
      </c>
      <c r="X261">
        <v>120</v>
      </c>
      <c r="Y261">
        <v>79</v>
      </c>
      <c r="Z261">
        <v>175</v>
      </c>
      <c r="AA261">
        <v>121</v>
      </c>
      <c r="AB261" t="s">
        <v>303</v>
      </c>
      <c r="AC261" t="s">
        <v>191</v>
      </c>
      <c r="AD261" t="s">
        <v>210</v>
      </c>
      <c r="AE261" t="s">
        <v>183</v>
      </c>
      <c r="AF261">
        <v>0</v>
      </c>
    </row>
    <row r="262" spans="1:32">
      <c r="A262">
        <v>138</v>
      </c>
      <c r="B262">
        <v>1065</v>
      </c>
      <c r="C262" t="s">
        <v>2390</v>
      </c>
      <c r="D262" t="s">
        <v>169</v>
      </c>
      <c r="E262" t="s">
        <v>2165</v>
      </c>
      <c r="F262" t="s">
        <v>37</v>
      </c>
      <c r="G262" t="s">
        <v>697</v>
      </c>
      <c r="H262" t="s">
        <v>192</v>
      </c>
      <c r="I262" t="s">
        <v>181</v>
      </c>
      <c r="J262" t="s">
        <v>212</v>
      </c>
      <c r="K262" t="s">
        <v>2391</v>
      </c>
      <c r="L262" s="84">
        <v>43117</v>
      </c>
      <c r="M262" t="s">
        <v>381</v>
      </c>
      <c r="N262" t="s">
        <v>1357</v>
      </c>
      <c r="O262">
        <v>2</v>
      </c>
      <c r="P262" t="s">
        <v>2392</v>
      </c>
      <c r="Q262" t="s">
        <v>2393</v>
      </c>
      <c r="R262" t="s">
        <v>2394</v>
      </c>
      <c r="S262" t="s">
        <v>2395</v>
      </c>
      <c r="T262" t="s">
        <v>37</v>
      </c>
      <c r="U262" t="s">
        <v>79</v>
      </c>
      <c r="V262">
        <v>50</v>
      </c>
      <c r="W262">
        <v>82</v>
      </c>
      <c r="X262">
        <v>120</v>
      </c>
      <c r="Y262">
        <v>79</v>
      </c>
      <c r="Z262">
        <v>175</v>
      </c>
      <c r="AA262">
        <v>121</v>
      </c>
      <c r="AB262" t="s">
        <v>303</v>
      </c>
      <c r="AC262" t="s">
        <v>191</v>
      </c>
      <c r="AD262" t="s">
        <v>210</v>
      </c>
      <c r="AE262" t="s">
        <v>183</v>
      </c>
      <c r="AF262">
        <v>0</v>
      </c>
    </row>
    <row r="263" spans="1:32">
      <c r="A263">
        <v>138</v>
      </c>
      <c r="B263">
        <v>1065</v>
      </c>
      <c r="C263" t="s">
        <v>2390</v>
      </c>
      <c r="D263" t="s">
        <v>169</v>
      </c>
      <c r="E263" t="s">
        <v>2165</v>
      </c>
      <c r="F263" t="s">
        <v>193</v>
      </c>
      <c r="G263" t="s">
        <v>698</v>
      </c>
      <c r="H263" t="s">
        <v>192</v>
      </c>
      <c r="I263" t="s">
        <v>188</v>
      </c>
      <c r="J263" t="s">
        <v>192</v>
      </c>
      <c r="K263" t="s">
        <v>2391</v>
      </c>
      <c r="L263" s="84">
        <v>43117</v>
      </c>
      <c r="M263" t="s">
        <v>381</v>
      </c>
      <c r="N263" t="s">
        <v>1357</v>
      </c>
      <c r="O263">
        <v>2</v>
      </c>
      <c r="P263" t="s">
        <v>2392</v>
      </c>
      <c r="Q263" t="s">
        <v>2393</v>
      </c>
      <c r="R263" t="s">
        <v>2394</v>
      </c>
      <c r="S263" t="s">
        <v>2395</v>
      </c>
      <c r="T263" t="s">
        <v>36</v>
      </c>
      <c r="U263" t="s">
        <v>79</v>
      </c>
      <c r="V263">
        <v>50</v>
      </c>
      <c r="W263">
        <v>82</v>
      </c>
      <c r="X263">
        <v>120</v>
      </c>
      <c r="Y263">
        <v>79</v>
      </c>
      <c r="Z263">
        <v>175</v>
      </c>
      <c r="AA263">
        <v>121</v>
      </c>
      <c r="AB263" t="s">
        <v>303</v>
      </c>
      <c r="AC263" t="s">
        <v>191</v>
      </c>
      <c r="AD263" t="s">
        <v>210</v>
      </c>
      <c r="AE263" t="s">
        <v>183</v>
      </c>
      <c r="AF263">
        <v>0</v>
      </c>
    </row>
    <row r="264" spans="1:32">
      <c r="A264">
        <v>138</v>
      </c>
      <c r="B264">
        <v>1065</v>
      </c>
      <c r="C264" t="s">
        <v>2390</v>
      </c>
      <c r="D264" t="s">
        <v>169</v>
      </c>
      <c r="E264" t="s">
        <v>2165</v>
      </c>
      <c r="F264" t="s">
        <v>197</v>
      </c>
      <c r="G264" t="s">
        <v>689</v>
      </c>
      <c r="H264" t="s">
        <v>192</v>
      </c>
      <c r="I264" t="s">
        <v>212</v>
      </c>
      <c r="J264" t="s">
        <v>212</v>
      </c>
      <c r="K264" t="s">
        <v>2391</v>
      </c>
      <c r="L264" s="84">
        <v>43117</v>
      </c>
      <c r="M264" t="s">
        <v>381</v>
      </c>
      <c r="N264" t="s">
        <v>1357</v>
      </c>
      <c r="O264">
        <v>2</v>
      </c>
      <c r="P264" t="s">
        <v>2392</v>
      </c>
      <c r="Q264" t="s">
        <v>2393</v>
      </c>
      <c r="R264" t="s">
        <v>2394</v>
      </c>
      <c r="S264" t="s">
        <v>2395</v>
      </c>
      <c r="T264" t="s">
        <v>38</v>
      </c>
      <c r="U264" t="s">
        <v>79</v>
      </c>
      <c r="V264">
        <v>50</v>
      </c>
      <c r="W264">
        <v>82</v>
      </c>
      <c r="X264">
        <v>120</v>
      </c>
      <c r="Y264">
        <v>79</v>
      </c>
      <c r="Z264">
        <v>175</v>
      </c>
      <c r="AA264">
        <v>121</v>
      </c>
      <c r="AB264" t="s">
        <v>303</v>
      </c>
      <c r="AC264" t="s">
        <v>191</v>
      </c>
      <c r="AD264" t="s">
        <v>210</v>
      </c>
      <c r="AE264" t="s">
        <v>183</v>
      </c>
      <c r="AF264">
        <v>0</v>
      </c>
    </row>
    <row r="265" spans="1:32">
      <c r="A265">
        <v>138</v>
      </c>
      <c r="B265">
        <v>1065</v>
      </c>
      <c r="C265" t="s">
        <v>2390</v>
      </c>
      <c r="D265" t="s">
        <v>169</v>
      </c>
      <c r="E265" t="s">
        <v>2165</v>
      </c>
      <c r="F265" t="s">
        <v>6</v>
      </c>
      <c r="G265" t="s">
        <v>699</v>
      </c>
      <c r="H265" t="s">
        <v>221</v>
      </c>
      <c r="I265" t="s">
        <v>259</v>
      </c>
      <c r="J265" t="s">
        <v>221</v>
      </c>
      <c r="K265" t="s">
        <v>2391</v>
      </c>
      <c r="L265" s="84">
        <v>43117</v>
      </c>
      <c r="M265" t="s">
        <v>381</v>
      </c>
      <c r="N265" t="s">
        <v>1357</v>
      </c>
      <c r="O265">
        <v>2</v>
      </c>
      <c r="P265" t="s">
        <v>2392</v>
      </c>
      <c r="Q265" t="s">
        <v>2393</v>
      </c>
      <c r="R265" t="s">
        <v>2394</v>
      </c>
      <c r="S265" t="s">
        <v>2395</v>
      </c>
      <c r="T265" t="s">
        <v>34</v>
      </c>
      <c r="U265" t="s">
        <v>79</v>
      </c>
      <c r="V265">
        <v>50</v>
      </c>
      <c r="W265">
        <v>82</v>
      </c>
      <c r="X265">
        <v>120</v>
      </c>
      <c r="Y265">
        <v>79</v>
      </c>
      <c r="Z265">
        <v>175</v>
      </c>
      <c r="AA265">
        <v>121</v>
      </c>
      <c r="AB265" t="s">
        <v>303</v>
      </c>
      <c r="AC265" t="s">
        <v>191</v>
      </c>
      <c r="AD265" t="s">
        <v>210</v>
      </c>
      <c r="AE265" t="s">
        <v>183</v>
      </c>
      <c r="AF265">
        <v>0</v>
      </c>
    </row>
    <row r="266" spans="1:32">
      <c r="A266">
        <v>138</v>
      </c>
      <c r="B266">
        <v>1065</v>
      </c>
      <c r="C266" t="s">
        <v>2390</v>
      </c>
      <c r="D266" t="s">
        <v>169</v>
      </c>
      <c r="E266" t="s">
        <v>2165</v>
      </c>
      <c r="F266" t="s">
        <v>7</v>
      </c>
      <c r="G266" t="s">
        <v>701</v>
      </c>
      <c r="H266" t="s">
        <v>220</v>
      </c>
      <c r="I266" t="s">
        <v>239</v>
      </c>
      <c r="J266" t="s">
        <v>237</v>
      </c>
      <c r="K266" t="s">
        <v>2391</v>
      </c>
      <c r="L266" s="84">
        <v>43117</v>
      </c>
      <c r="M266" t="s">
        <v>381</v>
      </c>
      <c r="N266" t="s">
        <v>1357</v>
      </c>
      <c r="O266">
        <v>2</v>
      </c>
      <c r="P266" t="s">
        <v>2392</v>
      </c>
      <c r="Q266" t="s">
        <v>2393</v>
      </c>
      <c r="R266" t="s">
        <v>2394</v>
      </c>
      <c r="S266" t="s">
        <v>2395</v>
      </c>
      <c r="T266" t="s">
        <v>32</v>
      </c>
      <c r="U266" t="s">
        <v>79</v>
      </c>
      <c r="V266">
        <v>50</v>
      </c>
      <c r="W266">
        <v>82</v>
      </c>
      <c r="X266">
        <v>120</v>
      </c>
      <c r="Y266">
        <v>79</v>
      </c>
      <c r="Z266">
        <v>175</v>
      </c>
      <c r="AA266">
        <v>121</v>
      </c>
      <c r="AB266" t="s">
        <v>303</v>
      </c>
      <c r="AC266" t="s">
        <v>191</v>
      </c>
      <c r="AD266" t="s">
        <v>210</v>
      </c>
      <c r="AE266" t="s">
        <v>183</v>
      </c>
      <c r="AF266">
        <v>0</v>
      </c>
    </row>
    <row r="267" spans="1:32">
      <c r="A267">
        <v>138</v>
      </c>
      <c r="B267">
        <v>1065</v>
      </c>
      <c r="C267" t="s">
        <v>2390</v>
      </c>
      <c r="D267" t="s">
        <v>169</v>
      </c>
      <c r="E267" t="s">
        <v>2165</v>
      </c>
      <c r="F267" t="s">
        <v>8</v>
      </c>
      <c r="G267" t="s">
        <v>700</v>
      </c>
      <c r="H267" t="s">
        <v>216</v>
      </c>
      <c r="I267" t="s">
        <v>185</v>
      </c>
      <c r="J267" t="s">
        <v>171</v>
      </c>
      <c r="K267" t="s">
        <v>2391</v>
      </c>
      <c r="L267" s="84">
        <v>43117</v>
      </c>
      <c r="M267" t="s">
        <v>381</v>
      </c>
      <c r="N267" t="s">
        <v>1357</v>
      </c>
      <c r="O267">
        <v>2</v>
      </c>
      <c r="P267" t="s">
        <v>2392</v>
      </c>
      <c r="Q267" t="s">
        <v>2393</v>
      </c>
      <c r="R267" t="s">
        <v>2394</v>
      </c>
      <c r="S267" t="s">
        <v>2395</v>
      </c>
      <c r="T267" t="s">
        <v>31</v>
      </c>
      <c r="U267" t="s">
        <v>79</v>
      </c>
      <c r="V267">
        <v>50</v>
      </c>
      <c r="W267">
        <v>82</v>
      </c>
      <c r="X267">
        <v>120</v>
      </c>
      <c r="Y267">
        <v>79</v>
      </c>
      <c r="Z267">
        <v>175</v>
      </c>
      <c r="AA267">
        <v>121</v>
      </c>
      <c r="AB267" t="s">
        <v>303</v>
      </c>
      <c r="AC267" t="s">
        <v>191</v>
      </c>
      <c r="AD267" t="s">
        <v>210</v>
      </c>
      <c r="AE267" t="s">
        <v>183</v>
      </c>
      <c r="AF267">
        <v>0</v>
      </c>
    </row>
    <row r="268" spans="1:32">
      <c r="A268">
        <v>139</v>
      </c>
      <c r="B268">
        <v>1133</v>
      </c>
      <c r="C268" t="s">
        <v>2396</v>
      </c>
      <c r="D268" t="s">
        <v>169</v>
      </c>
      <c r="E268" t="s">
        <v>2165</v>
      </c>
      <c r="F268" t="s">
        <v>8</v>
      </c>
      <c r="G268" t="s">
        <v>710</v>
      </c>
      <c r="H268" t="s">
        <v>171</v>
      </c>
      <c r="I268" t="s">
        <v>376</v>
      </c>
      <c r="J268" t="s">
        <v>415</v>
      </c>
      <c r="K268" t="s">
        <v>2397</v>
      </c>
      <c r="L268" s="84">
        <v>43467</v>
      </c>
      <c r="M268" t="s">
        <v>381</v>
      </c>
      <c r="N268" t="s">
        <v>2398</v>
      </c>
      <c r="O268">
        <v>2</v>
      </c>
      <c r="P268" t="s">
        <v>653</v>
      </c>
      <c r="Q268" t="s">
        <v>2399</v>
      </c>
      <c r="R268" t="s">
        <v>2400</v>
      </c>
      <c r="S268" t="s">
        <v>2401</v>
      </c>
      <c r="T268" t="s">
        <v>31</v>
      </c>
      <c r="U268" t="s">
        <v>79</v>
      </c>
      <c r="V268">
        <v>59</v>
      </c>
      <c r="W268">
        <v>82</v>
      </c>
      <c r="X268">
        <v>120</v>
      </c>
      <c r="Y268">
        <v>93</v>
      </c>
      <c r="Z268">
        <v>175</v>
      </c>
      <c r="AA268">
        <v>145</v>
      </c>
      <c r="AB268" t="s">
        <v>209</v>
      </c>
      <c r="AC268" t="s">
        <v>201</v>
      </c>
      <c r="AD268" t="s">
        <v>609</v>
      </c>
      <c r="AE268" t="s">
        <v>183</v>
      </c>
      <c r="AF268">
        <v>1</v>
      </c>
    </row>
    <row r="269" spans="1:32">
      <c r="A269">
        <v>139</v>
      </c>
      <c r="B269">
        <v>1133</v>
      </c>
      <c r="C269" t="s">
        <v>2396</v>
      </c>
      <c r="D269" t="s">
        <v>169</v>
      </c>
      <c r="E269" t="s">
        <v>2165</v>
      </c>
      <c r="F269" t="s">
        <v>7</v>
      </c>
      <c r="G269" t="s">
        <v>703</v>
      </c>
      <c r="H269" t="s">
        <v>256</v>
      </c>
      <c r="I269" t="s">
        <v>192</v>
      </c>
      <c r="J269" t="s">
        <v>172</v>
      </c>
      <c r="K269" t="s">
        <v>2397</v>
      </c>
      <c r="L269" s="84">
        <v>43467</v>
      </c>
      <c r="M269" t="s">
        <v>381</v>
      </c>
      <c r="N269" t="s">
        <v>2398</v>
      </c>
      <c r="O269">
        <v>2</v>
      </c>
      <c r="P269" t="s">
        <v>653</v>
      </c>
      <c r="Q269" t="s">
        <v>2399</v>
      </c>
      <c r="R269" t="s">
        <v>2400</v>
      </c>
      <c r="S269" t="s">
        <v>2401</v>
      </c>
      <c r="T269" t="s">
        <v>32</v>
      </c>
      <c r="U269" t="s">
        <v>79</v>
      </c>
      <c r="V269">
        <v>59</v>
      </c>
      <c r="W269">
        <v>82</v>
      </c>
      <c r="X269">
        <v>120</v>
      </c>
      <c r="Y269">
        <v>93</v>
      </c>
      <c r="Z269">
        <v>175</v>
      </c>
      <c r="AA269">
        <v>145</v>
      </c>
      <c r="AB269" t="s">
        <v>209</v>
      </c>
      <c r="AC269" t="s">
        <v>201</v>
      </c>
      <c r="AD269" t="s">
        <v>609</v>
      </c>
      <c r="AE269" t="s">
        <v>183</v>
      </c>
      <c r="AF269">
        <v>1</v>
      </c>
    </row>
    <row r="270" spans="1:32">
      <c r="A270">
        <v>139</v>
      </c>
      <c r="B270">
        <v>1133</v>
      </c>
      <c r="C270" t="s">
        <v>2396</v>
      </c>
      <c r="D270" t="s">
        <v>169</v>
      </c>
      <c r="E270" t="s">
        <v>2165</v>
      </c>
      <c r="F270" t="s">
        <v>6</v>
      </c>
      <c r="G270" t="s">
        <v>711</v>
      </c>
      <c r="H270" t="s">
        <v>173</v>
      </c>
      <c r="I270" t="s">
        <v>436</v>
      </c>
      <c r="J270" t="s">
        <v>173</v>
      </c>
      <c r="K270" t="s">
        <v>2397</v>
      </c>
      <c r="L270" s="84">
        <v>43467</v>
      </c>
      <c r="M270" t="s">
        <v>381</v>
      </c>
      <c r="N270" t="s">
        <v>2398</v>
      </c>
      <c r="O270">
        <v>2</v>
      </c>
      <c r="P270" t="s">
        <v>653</v>
      </c>
      <c r="Q270" t="s">
        <v>2399</v>
      </c>
      <c r="R270" t="s">
        <v>2400</v>
      </c>
      <c r="S270" t="s">
        <v>2401</v>
      </c>
      <c r="T270" t="s">
        <v>34</v>
      </c>
      <c r="U270" t="s">
        <v>79</v>
      </c>
      <c r="V270">
        <v>59</v>
      </c>
      <c r="W270">
        <v>82</v>
      </c>
      <c r="X270">
        <v>120</v>
      </c>
      <c r="Y270">
        <v>93</v>
      </c>
      <c r="Z270">
        <v>175</v>
      </c>
      <c r="AA270">
        <v>145</v>
      </c>
      <c r="AB270" t="s">
        <v>209</v>
      </c>
      <c r="AC270" t="s">
        <v>201</v>
      </c>
      <c r="AD270" t="s">
        <v>609</v>
      </c>
      <c r="AE270" t="s">
        <v>183</v>
      </c>
      <c r="AF270">
        <v>1</v>
      </c>
    </row>
    <row r="271" spans="1:32">
      <c r="A271">
        <v>139</v>
      </c>
      <c r="B271">
        <v>1133</v>
      </c>
      <c r="C271" t="s">
        <v>2396</v>
      </c>
      <c r="D271" t="s">
        <v>169</v>
      </c>
      <c r="E271" t="s">
        <v>2165</v>
      </c>
      <c r="F271" t="s">
        <v>197</v>
      </c>
      <c r="G271" t="s">
        <v>714</v>
      </c>
      <c r="H271" t="s">
        <v>192</v>
      </c>
      <c r="I271" t="s">
        <v>212</v>
      </c>
      <c r="J271" t="s">
        <v>192</v>
      </c>
      <c r="K271" t="s">
        <v>2397</v>
      </c>
      <c r="L271" s="84">
        <v>43467</v>
      </c>
      <c r="M271" t="s">
        <v>381</v>
      </c>
      <c r="N271" t="s">
        <v>2398</v>
      </c>
      <c r="O271">
        <v>2</v>
      </c>
      <c r="P271" t="s">
        <v>653</v>
      </c>
      <c r="Q271" t="s">
        <v>2399</v>
      </c>
      <c r="R271" t="s">
        <v>2400</v>
      </c>
      <c r="S271" t="s">
        <v>2401</v>
      </c>
      <c r="T271" t="s">
        <v>38</v>
      </c>
      <c r="U271" t="s">
        <v>79</v>
      </c>
      <c r="V271">
        <v>59</v>
      </c>
      <c r="W271">
        <v>82</v>
      </c>
      <c r="X271">
        <v>120</v>
      </c>
      <c r="Y271">
        <v>93</v>
      </c>
      <c r="Z271">
        <v>175</v>
      </c>
      <c r="AA271">
        <v>145</v>
      </c>
      <c r="AB271" t="s">
        <v>209</v>
      </c>
      <c r="AC271" t="s">
        <v>201</v>
      </c>
      <c r="AD271" t="s">
        <v>609</v>
      </c>
      <c r="AE271" t="s">
        <v>183</v>
      </c>
      <c r="AF271">
        <v>1</v>
      </c>
    </row>
    <row r="272" spans="1:32">
      <c r="A272">
        <v>139</v>
      </c>
      <c r="B272">
        <v>1133</v>
      </c>
      <c r="C272" t="s">
        <v>2396</v>
      </c>
      <c r="D272" t="s">
        <v>169</v>
      </c>
      <c r="E272" t="s">
        <v>2165</v>
      </c>
      <c r="F272" t="s">
        <v>193</v>
      </c>
      <c r="G272" t="s">
        <v>712</v>
      </c>
      <c r="H272" t="s">
        <v>192</v>
      </c>
      <c r="I272" t="s">
        <v>188</v>
      </c>
      <c r="J272" t="s">
        <v>192</v>
      </c>
      <c r="K272" t="s">
        <v>2397</v>
      </c>
      <c r="L272" s="84">
        <v>43467</v>
      </c>
      <c r="M272" t="s">
        <v>381</v>
      </c>
      <c r="N272" t="s">
        <v>2398</v>
      </c>
      <c r="O272">
        <v>2</v>
      </c>
      <c r="P272" t="s">
        <v>653</v>
      </c>
      <c r="Q272" t="s">
        <v>2399</v>
      </c>
      <c r="R272" t="s">
        <v>2400</v>
      </c>
      <c r="S272" t="s">
        <v>2401</v>
      </c>
      <c r="T272" t="s">
        <v>36</v>
      </c>
      <c r="U272" t="s">
        <v>79</v>
      </c>
      <c r="V272">
        <v>59</v>
      </c>
      <c r="W272">
        <v>82</v>
      </c>
      <c r="X272">
        <v>120</v>
      </c>
      <c r="Y272">
        <v>93</v>
      </c>
      <c r="Z272">
        <v>175</v>
      </c>
      <c r="AA272">
        <v>145</v>
      </c>
      <c r="AB272" t="s">
        <v>209</v>
      </c>
      <c r="AC272" t="s">
        <v>201</v>
      </c>
      <c r="AD272" t="s">
        <v>609</v>
      </c>
      <c r="AE272" t="s">
        <v>183</v>
      </c>
      <c r="AF272">
        <v>1</v>
      </c>
    </row>
    <row r="273" spans="1:32">
      <c r="A273">
        <v>139</v>
      </c>
      <c r="B273">
        <v>1133</v>
      </c>
      <c r="C273" t="s">
        <v>2396</v>
      </c>
      <c r="D273" t="s">
        <v>169</v>
      </c>
      <c r="E273" t="s">
        <v>2165</v>
      </c>
      <c r="F273" t="s">
        <v>37</v>
      </c>
      <c r="G273" t="s">
        <v>713</v>
      </c>
      <c r="H273" t="s">
        <v>192</v>
      </c>
      <c r="I273" t="s">
        <v>181</v>
      </c>
      <c r="J273" t="s">
        <v>192</v>
      </c>
      <c r="K273" t="s">
        <v>2397</v>
      </c>
      <c r="L273" s="84">
        <v>43467</v>
      </c>
      <c r="M273" t="s">
        <v>381</v>
      </c>
      <c r="N273" t="s">
        <v>2398</v>
      </c>
      <c r="O273">
        <v>2</v>
      </c>
      <c r="P273" t="s">
        <v>653</v>
      </c>
      <c r="Q273" t="s">
        <v>2399</v>
      </c>
      <c r="R273" t="s">
        <v>2400</v>
      </c>
      <c r="S273" t="s">
        <v>2401</v>
      </c>
      <c r="T273" t="s">
        <v>37</v>
      </c>
      <c r="U273" t="s">
        <v>79</v>
      </c>
      <c r="V273">
        <v>59</v>
      </c>
      <c r="W273">
        <v>82</v>
      </c>
      <c r="X273">
        <v>120</v>
      </c>
      <c r="Y273">
        <v>93</v>
      </c>
      <c r="Z273">
        <v>175</v>
      </c>
      <c r="AA273">
        <v>145</v>
      </c>
      <c r="AB273" t="s">
        <v>209</v>
      </c>
      <c r="AC273" t="s">
        <v>201</v>
      </c>
      <c r="AD273" t="s">
        <v>609</v>
      </c>
      <c r="AE273" t="s">
        <v>183</v>
      </c>
      <c r="AF273">
        <v>1</v>
      </c>
    </row>
    <row r="274" spans="1:32">
      <c r="A274">
        <v>139</v>
      </c>
      <c r="B274">
        <v>1133</v>
      </c>
      <c r="C274" t="s">
        <v>2396</v>
      </c>
      <c r="D274" t="s">
        <v>169</v>
      </c>
      <c r="E274" t="s">
        <v>2165</v>
      </c>
      <c r="F274" t="s">
        <v>5</v>
      </c>
      <c r="G274" t="s">
        <v>2840</v>
      </c>
      <c r="H274" t="s">
        <v>2047</v>
      </c>
      <c r="I274" t="s">
        <v>329</v>
      </c>
      <c r="J274" t="s">
        <v>238</v>
      </c>
      <c r="K274" t="s">
        <v>2397</v>
      </c>
      <c r="L274" s="84">
        <v>43467</v>
      </c>
      <c r="M274" t="s">
        <v>381</v>
      </c>
      <c r="N274" t="s">
        <v>2398</v>
      </c>
      <c r="O274">
        <v>2</v>
      </c>
      <c r="P274" t="s">
        <v>653</v>
      </c>
      <c r="Q274" t="s">
        <v>2399</v>
      </c>
      <c r="R274" t="s">
        <v>2400</v>
      </c>
      <c r="S274" t="s">
        <v>2401</v>
      </c>
      <c r="T274" t="s">
        <v>33</v>
      </c>
      <c r="U274" t="s">
        <v>79</v>
      </c>
      <c r="V274">
        <v>59</v>
      </c>
      <c r="W274">
        <v>82</v>
      </c>
      <c r="X274">
        <v>120</v>
      </c>
      <c r="Y274">
        <v>93</v>
      </c>
      <c r="Z274">
        <v>175</v>
      </c>
      <c r="AA274">
        <v>145</v>
      </c>
      <c r="AB274" t="s">
        <v>209</v>
      </c>
      <c r="AC274" t="s">
        <v>201</v>
      </c>
      <c r="AD274" t="s">
        <v>609</v>
      </c>
      <c r="AE274" t="s">
        <v>2048</v>
      </c>
      <c r="AF274">
        <v>1</v>
      </c>
    </row>
    <row r="275" spans="1:32">
      <c r="A275">
        <v>140</v>
      </c>
      <c r="B275">
        <v>908</v>
      </c>
      <c r="C275" t="s">
        <v>2402</v>
      </c>
      <c r="D275" t="s">
        <v>169</v>
      </c>
      <c r="E275" t="s">
        <v>2165</v>
      </c>
      <c r="F275" t="s">
        <v>5</v>
      </c>
      <c r="G275" t="s">
        <v>2841</v>
      </c>
      <c r="H275" t="s">
        <v>497</v>
      </c>
      <c r="I275" t="s">
        <v>257</v>
      </c>
      <c r="J275" t="s">
        <v>262</v>
      </c>
      <c r="K275" t="s">
        <v>2403</v>
      </c>
      <c r="L275" s="84">
        <v>42982</v>
      </c>
      <c r="M275" t="s">
        <v>381</v>
      </c>
      <c r="N275" t="s">
        <v>2404</v>
      </c>
      <c r="O275">
        <v>3</v>
      </c>
      <c r="P275" t="s">
        <v>2405</v>
      </c>
      <c r="Q275" t="s">
        <v>310</v>
      </c>
      <c r="R275" t="s">
        <v>2406</v>
      </c>
      <c r="S275" t="s">
        <v>2407</v>
      </c>
      <c r="T275" t="s">
        <v>33</v>
      </c>
      <c r="U275" t="s">
        <v>80</v>
      </c>
      <c r="V275">
        <v>71</v>
      </c>
      <c r="W275">
        <v>82</v>
      </c>
      <c r="X275">
        <v>120</v>
      </c>
      <c r="Y275">
        <v>105</v>
      </c>
      <c r="Z275">
        <v>175</v>
      </c>
      <c r="AA275">
        <v>157</v>
      </c>
      <c r="AB275" t="s">
        <v>656</v>
      </c>
      <c r="AC275" t="s">
        <v>192</v>
      </c>
      <c r="AD275" t="s">
        <v>210</v>
      </c>
      <c r="AE275" t="s">
        <v>183</v>
      </c>
      <c r="AF275">
        <v>0</v>
      </c>
    </row>
    <row r="276" spans="1:32">
      <c r="A276">
        <v>140</v>
      </c>
      <c r="B276">
        <v>908</v>
      </c>
      <c r="C276" t="s">
        <v>2402</v>
      </c>
      <c r="D276" t="s">
        <v>169</v>
      </c>
      <c r="E276" t="s">
        <v>2165</v>
      </c>
      <c r="F276" t="s">
        <v>37</v>
      </c>
      <c r="G276" t="s">
        <v>722</v>
      </c>
      <c r="H276" t="s">
        <v>192</v>
      </c>
      <c r="I276" t="s">
        <v>181</v>
      </c>
      <c r="J276" t="s">
        <v>212</v>
      </c>
      <c r="K276" t="s">
        <v>2403</v>
      </c>
      <c r="L276" s="84">
        <v>42982</v>
      </c>
      <c r="M276" t="s">
        <v>381</v>
      </c>
      <c r="N276" t="s">
        <v>2404</v>
      </c>
      <c r="O276">
        <v>3</v>
      </c>
      <c r="P276" t="s">
        <v>2405</v>
      </c>
      <c r="Q276" t="s">
        <v>310</v>
      </c>
      <c r="R276" t="s">
        <v>2406</v>
      </c>
      <c r="S276" t="s">
        <v>2407</v>
      </c>
      <c r="T276" t="s">
        <v>37</v>
      </c>
      <c r="U276" t="s">
        <v>80</v>
      </c>
      <c r="V276">
        <v>71</v>
      </c>
      <c r="W276">
        <v>82</v>
      </c>
      <c r="X276">
        <v>120</v>
      </c>
      <c r="Y276">
        <v>105</v>
      </c>
      <c r="Z276">
        <v>175</v>
      </c>
      <c r="AA276">
        <v>157</v>
      </c>
      <c r="AB276" t="s">
        <v>656</v>
      </c>
      <c r="AC276" t="s">
        <v>192</v>
      </c>
      <c r="AD276" t="s">
        <v>210</v>
      </c>
      <c r="AE276" t="s">
        <v>183</v>
      </c>
      <c r="AF276">
        <v>0</v>
      </c>
    </row>
    <row r="277" spans="1:32">
      <c r="A277">
        <v>140</v>
      </c>
      <c r="B277">
        <v>908</v>
      </c>
      <c r="C277" t="s">
        <v>2402</v>
      </c>
      <c r="D277" t="s">
        <v>169</v>
      </c>
      <c r="E277" t="s">
        <v>2165</v>
      </c>
      <c r="F277" t="s">
        <v>193</v>
      </c>
      <c r="G277" t="s">
        <v>723</v>
      </c>
      <c r="H277" t="s">
        <v>192</v>
      </c>
      <c r="I277" t="s">
        <v>212</v>
      </c>
      <c r="J277" t="s">
        <v>212</v>
      </c>
      <c r="K277" t="s">
        <v>2403</v>
      </c>
      <c r="L277" s="84">
        <v>42982</v>
      </c>
      <c r="M277" t="s">
        <v>381</v>
      </c>
      <c r="N277" t="s">
        <v>2404</v>
      </c>
      <c r="O277">
        <v>3</v>
      </c>
      <c r="P277" t="s">
        <v>2405</v>
      </c>
      <c r="Q277" t="s">
        <v>310</v>
      </c>
      <c r="R277" t="s">
        <v>2406</v>
      </c>
      <c r="S277" t="s">
        <v>2407</v>
      </c>
      <c r="T277" t="s">
        <v>36</v>
      </c>
      <c r="U277" t="s">
        <v>80</v>
      </c>
      <c r="V277">
        <v>71</v>
      </c>
      <c r="W277">
        <v>82</v>
      </c>
      <c r="X277">
        <v>120</v>
      </c>
      <c r="Y277">
        <v>105</v>
      </c>
      <c r="Z277">
        <v>175</v>
      </c>
      <c r="AA277">
        <v>157</v>
      </c>
      <c r="AB277" t="s">
        <v>656</v>
      </c>
      <c r="AC277" t="s">
        <v>192</v>
      </c>
      <c r="AD277" t="s">
        <v>210</v>
      </c>
      <c r="AE277" t="s">
        <v>183</v>
      </c>
      <c r="AF277">
        <v>0</v>
      </c>
    </row>
    <row r="278" spans="1:32">
      <c r="A278">
        <v>140</v>
      </c>
      <c r="B278">
        <v>908</v>
      </c>
      <c r="C278" t="s">
        <v>2402</v>
      </c>
      <c r="D278" t="s">
        <v>169</v>
      </c>
      <c r="E278" t="s">
        <v>2165</v>
      </c>
      <c r="F278" t="s">
        <v>197</v>
      </c>
      <c r="G278" t="s">
        <v>716</v>
      </c>
      <c r="H278" t="s">
        <v>192</v>
      </c>
      <c r="I278" t="s">
        <v>188</v>
      </c>
      <c r="J278" t="s">
        <v>212</v>
      </c>
      <c r="K278" t="s">
        <v>2403</v>
      </c>
      <c r="L278" s="84">
        <v>42982</v>
      </c>
      <c r="M278" t="s">
        <v>381</v>
      </c>
      <c r="N278" t="s">
        <v>2404</v>
      </c>
      <c r="O278">
        <v>3</v>
      </c>
      <c r="P278" t="s">
        <v>2405</v>
      </c>
      <c r="Q278" t="s">
        <v>310</v>
      </c>
      <c r="R278" t="s">
        <v>2406</v>
      </c>
      <c r="S278" t="s">
        <v>2407</v>
      </c>
      <c r="T278" t="s">
        <v>38</v>
      </c>
      <c r="U278" t="s">
        <v>80</v>
      </c>
      <c r="V278">
        <v>71</v>
      </c>
      <c r="W278">
        <v>82</v>
      </c>
      <c r="X278">
        <v>120</v>
      </c>
      <c r="Y278">
        <v>105</v>
      </c>
      <c r="Z278">
        <v>175</v>
      </c>
      <c r="AA278">
        <v>157</v>
      </c>
      <c r="AB278" t="s">
        <v>656</v>
      </c>
      <c r="AC278" t="s">
        <v>192</v>
      </c>
      <c r="AD278" t="s">
        <v>210</v>
      </c>
      <c r="AE278" t="s">
        <v>183</v>
      </c>
      <c r="AF278">
        <v>0</v>
      </c>
    </row>
    <row r="279" spans="1:32">
      <c r="A279">
        <v>140</v>
      </c>
      <c r="B279">
        <v>908</v>
      </c>
      <c r="C279" t="s">
        <v>2402</v>
      </c>
      <c r="D279" t="s">
        <v>169</v>
      </c>
      <c r="E279" t="s">
        <v>2165</v>
      </c>
      <c r="F279" t="s">
        <v>6</v>
      </c>
      <c r="G279" t="s">
        <v>724</v>
      </c>
      <c r="H279" t="s">
        <v>220</v>
      </c>
      <c r="I279" t="s">
        <v>305</v>
      </c>
      <c r="J279" t="s">
        <v>259</v>
      </c>
      <c r="K279" t="s">
        <v>2403</v>
      </c>
      <c r="L279" s="84">
        <v>42982</v>
      </c>
      <c r="M279" t="s">
        <v>381</v>
      </c>
      <c r="N279" t="s">
        <v>2404</v>
      </c>
      <c r="O279">
        <v>3</v>
      </c>
      <c r="P279" t="s">
        <v>2405</v>
      </c>
      <c r="Q279" t="s">
        <v>310</v>
      </c>
      <c r="R279" t="s">
        <v>2406</v>
      </c>
      <c r="S279" t="s">
        <v>2407</v>
      </c>
      <c r="T279" t="s">
        <v>34</v>
      </c>
      <c r="U279" t="s">
        <v>80</v>
      </c>
      <c r="V279">
        <v>71</v>
      </c>
      <c r="W279">
        <v>82</v>
      </c>
      <c r="X279">
        <v>120</v>
      </c>
      <c r="Y279">
        <v>105</v>
      </c>
      <c r="Z279">
        <v>175</v>
      </c>
      <c r="AA279">
        <v>157</v>
      </c>
      <c r="AB279" t="s">
        <v>656</v>
      </c>
      <c r="AC279" t="s">
        <v>192</v>
      </c>
      <c r="AD279" t="s">
        <v>210</v>
      </c>
      <c r="AE279" t="s">
        <v>183</v>
      </c>
      <c r="AF279">
        <v>0</v>
      </c>
    </row>
    <row r="280" spans="1:32">
      <c r="A280">
        <v>140</v>
      </c>
      <c r="B280">
        <v>908</v>
      </c>
      <c r="C280" t="s">
        <v>2402</v>
      </c>
      <c r="D280" t="s">
        <v>169</v>
      </c>
      <c r="E280" t="s">
        <v>2165</v>
      </c>
      <c r="F280" t="s">
        <v>7</v>
      </c>
      <c r="G280" t="s">
        <v>726</v>
      </c>
      <c r="H280" t="s">
        <v>497</v>
      </c>
      <c r="I280" t="s">
        <v>257</v>
      </c>
      <c r="J280" t="s">
        <v>305</v>
      </c>
      <c r="K280" t="s">
        <v>2403</v>
      </c>
      <c r="L280" s="84">
        <v>42982</v>
      </c>
      <c r="M280" t="s">
        <v>381</v>
      </c>
      <c r="N280" t="s">
        <v>2404</v>
      </c>
      <c r="O280">
        <v>3</v>
      </c>
      <c r="P280" t="s">
        <v>2405</v>
      </c>
      <c r="Q280" t="s">
        <v>310</v>
      </c>
      <c r="R280" t="s">
        <v>2406</v>
      </c>
      <c r="S280" t="s">
        <v>2407</v>
      </c>
      <c r="T280" t="s">
        <v>32</v>
      </c>
      <c r="U280" t="s">
        <v>80</v>
      </c>
      <c r="V280">
        <v>71</v>
      </c>
      <c r="W280">
        <v>82</v>
      </c>
      <c r="X280">
        <v>120</v>
      </c>
      <c r="Y280">
        <v>105</v>
      </c>
      <c r="Z280">
        <v>175</v>
      </c>
      <c r="AA280">
        <v>157</v>
      </c>
      <c r="AB280" t="s">
        <v>656</v>
      </c>
      <c r="AC280" t="s">
        <v>192</v>
      </c>
      <c r="AD280" t="s">
        <v>210</v>
      </c>
      <c r="AE280" t="s">
        <v>183</v>
      </c>
      <c r="AF280">
        <v>0</v>
      </c>
    </row>
    <row r="281" spans="1:32">
      <c r="A281">
        <v>140</v>
      </c>
      <c r="B281">
        <v>908</v>
      </c>
      <c r="C281" t="s">
        <v>2402</v>
      </c>
      <c r="D281" t="s">
        <v>169</v>
      </c>
      <c r="E281" t="s">
        <v>2165</v>
      </c>
      <c r="F281" t="s">
        <v>8</v>
      </c>
      <c r="G281" t="s">
        <v>725</v>
      </c>
      <c r="H281" t="s">
        <v>189</v>
      </c>
      <c r="I281" t="s">
        <v>218</v>
      </c>
      <c r="J281" t="s">
        <v>217</v>
      </c>
      <c r="K281" t="s">
        <v>2403</v>
      </c>
      <c r="L281" s="84">
        <v>42982</v>
      </c>
      <c r="M281" t="s">
        <v>381</v>
      </c>
      <c r="N281" t="s">
        <v>2404</v>
      </c>
      <c r="O281">
        <v>3</v>
      </c>
      <c r="P281" t="s">
        <v>2405</v>
      </c>
      <c r="Q281" t="s">
        <v>310</v>
      </c>
      <c r="R281" t="s">
        <v>2406</v>
      </c>
      <c r="S281" t="s">
        <v>2407</v>
      </c>
      <c r="T281" t="s">
        <v>31</v>
      </c>
      <c r="U281" t="s">
        <v>80</v>
      </c>
      <c r="V281">
        <v>71</v>
      </c>
      <c r="W281">
        <v>82</v>
      </c>
      <c r="X281">
        <v>120</v>
      </c>
      <c r="Y281">
        <v>105</v>
      </c>
      <c r="Z281">
        <v>175</v>
      </c>
      <c r="AA281">
        <v>157</v>
      </c>
      <c r="AB281" t="s">
        <v>656</v>
      </c>
      <c r="AC281" t="s">
        <v>192</v>
      </c>
      <c r="AD281" t="s">
        <v>210</v>
      </c>
      <c r="AE281" t="s">
        <v>183</v>
      </c>
      <c r="AF281">
        <v>0</v>
      </c>
    </row>
    <row r="282" spans="1:32">
      <c r="A282">
        <v>141</v>
      </c>
      <c r="B282">
        <v>1007</v>
      </c>
      <c r="C282" t="s">
        <v>2408</v>
      </c>
      <c r="D282" t="s">
        <v>169</v>
      </c>
      <c r="E282" t="s">
        <v>2165</v>
      </c>
      <c r="F282" t="s">
        <v>8</v>
      </c>
      <c r="G282" t="s">
        <v>2409</v>
      </c>
      <c r="H282" t="s">
        <v>216</v>
      </c>
      <c r="I282" t="s">
        <v>221</v>
      </c>
      <c r="J282" t="s">
        <v>260</v>
      </c>
      <c r="K282" t="s">
        <v>2410</v>
      </c>
      <c r="L282" s="84">
        <v>43202</v>
      </c>
      <c r="M282" t="s">
        <v>381</v>
      </c>
      <c r="N282" t="s">
        <v>503</v>
      </c>
      <c r="O282">
        <v>3</v>
      </c>
      <c r="P282" t="s">
        <v>2411</v>
      </c>
      <c r="Q282" t="s">
        <v>2412</v>
      </c>
      <c r="R282" t="s">
        <v>2413</v>
      </c>
      <c r="S282" t="s">
        <v>2414</v>
      </c>
      <c r="T282" t="s">
        <v>31</v>
      </c>
      <c r="U282" t="s">
        <v>80</v>
      </c>
      <c r="V282">
        <v>70</v>
      </c>
      <c r="W282">
        <v>82</v>
      </c>
      <c r="X282">
        <v>120</v>
      </c>
      <c r="Y282">
        <v>102</v>
      </c>
      <c r="Z282">
        <v>175</v>
      </c>
      <c r="AA282">
        <v>154</v>
      </c>
      <c r="AB282" t="s">
        <v>180</v>
      </c>
      <c r="AC282" t="s">
        <v>201</v>
      </c>
      <c r="AD282" t="s">
        <v>609</v>
      </c>
      <c r="AE282" t="s">
        <v>183</v>
      </c>
      <c r="AF282">
        <v>0</v>
      </c>
    </row>
    <row r="283" spans="1:32">
      <c r="A283">
        <v>141</v>
      </c>
      <c r="B283">
        <v>1007</v>
      </c>
      <c r="C283" t="s">
        <v>2408</v>
      </c>
      <c r="D283" t="s">
        <v>169</v>
      </c>
      <c r="E283" t="s">
        <v>2165</v>
      </c>
      <c r="F283" t="s">
        <v>7</v>
      </c>
      <c r="G283" t="s">
        <v>2415</v>
      </c>
      <c r="H283" t="s">
        <v>236</v>
      </c>
      <c r="I283" t="s">
        <v>243</v>
      </c>
      <c r="J283" t="s">
        <v>191</v>
      </c>
      <c r="K283" t="s">
        <v>2410</v>
      </c>
      <c r="L283" s="84">
        <v>43202</v>
      </c>
      <c r="M283" t="s">
        <v>381</v>
      </c>
      <c r="N283" t="s">
        <v>503</v>
      </c>
      <c r="O283">
        <v>3</v>
      </c>
      <c r="P283" t="s">
        <v>2411</v>
      </c>
      <c r="Q283" t="s">
        <v>2412</v>
      </c>
      <c r="R283" t="s">
        <v>2413</v>
      </c>
      <c r="S283" t="s">
        <v>2414</v>
      </c>
      <c r="T283" t="s">
        <v>32</v>
      </c>
      <c r="U283" t="s">
        <v>80</v>
      </c>
      <c r="V283">
        <v>70</v>
      </c>
      <c r="W283">
        <v>82</v>
      </c>
      <c r="X283">
        <v>120</v>
      </c>
      <c r="Y283">
        <v>102</v>
      </c>
      <c r="Z283">
        <v>175</v>
      </c>
      <c r="AA283">
        <v>154</v>
      </c>
      <c r="AB283" t="s">
        <v>180</v>
      </c>
      <c r="AC283" t="s">
        <v>201</v>
      </c>
      <c r="AD283" t="s">
        <v>609</v>
      </c>
      <c r="AE283" t="s">
        <v>183</v>
      </c>
      <c r="AF283">
        <v>0</v>
      </c>
    </row>
    <row r="284" spans="1:32">
      <c r="A284">
        <v>141</v>
      </c>
      <c r="B284">
        <v>1007</v>
      </c>
      <c r="C284" t="s">
        <v>2408</v>
      </c>
      <c r="D284" t="s">
        <v>169</v>
      </c>
      <c r="E284" t="s">
        <v>2165</v>
      </c>
      <c r="F284" t="s">
        <v>6</v>
      </c>
      <c r="G284" t="s">
        <v>2416</v>
      </c>
      <c r="H284" t="s">
        <v>191</v>
      </c>
      <c r="I284" t="s">
        <v>497</v>
      </c>
      <c r="J284" t="s">
        <v>274</v>
      </c>
      <c r="K284" t="s">
        <v>2410</v>
      </c>
      <c r="L284" s="84">
        <v>43202</v>
      </c>
      <c r="M284" t="s">
        <v>381</v>
      </c>
      <c r="N284" t="s">
        <v>503</v>
      </c>
      <c r="O284">
        <v>3</v>
      </c>
      <c r="P284" t="s">
        <v>2411</v>
      </c>
      <c r="Q284" t="s">
        <v>2412</v>
      </c>
      <c r="R284" t="s">
        <v>2413</v>
      </c>
      <c r="S284" t="s">
        <v>2414</v>
      </c>
      <c r="T284" t="s">
        <v>34</v>
      </c>
      <c r="U284" t="s">
        <v>80</v>
      </c>
      <c r="V284">
        <v>70</v>
      </c>
      <c r="W284">
        <v>82</v>
      </c>
      <c r="X284">
        <v>120</v>
      </c>
      <c r="Y284">
        <v>102</v>
      </c>
      <c r="Z284">
        <v>175</v>
      </c>
      <c r="AA284">
        <v>154</v>
      </c>
      <c r="AB284" t="s">
        <v>180</v>
      </c>
      <c r="AC284" t="s">
        <v>201</v>
      </c>
      <c r="AD284" t="s">
        <v>609</v>
      </c>
      <c r="AE284" t="s">
        <v>183</v>
      </c>
      <c r="AF284">
        <v>0</v>
      </c>
    </row>
    <row r="285" spans="1:32">
      <c r="A285">
        <v>141</v>
      </c>
      <c r="B285">
        <v>1007</v>
      </c>
      <c r="C285" t="s">
        <v>2408</v>
      </c>
      <c r="D285" t="s">
        <v>169</v>
      </c>
      <c r="E285" t="s">
        <v>2165</v>
      </c>
      <c r="F285" t="s">
        <v>197</v>
      </c>
      <c r="G285" t="s">
        <v>2417</v>
      </c>
      <c r="H285" t="s">
        <v>192</v>
      </c>
      <c r="I285" t="s">
        <v>188</v>
      </c>
      <c r="J285" t="s">
        <v>212</v>
      </c>
      <c r="K285" t="s">
        <v>2410</v>
      </c>
      <c r="L285" s="84">
        <v>43202</v>
      </c>
      <c r="M285" t="s">
        <v>381</v>
      </c>
      <c r="N285" t="s">
        <v>503</v>
      </c>
      <c r="O285">
        <v>3</v>
      </c>
      <c r="P285" t="s">
        <v>2411</v>
      </c>
      <c r="Q285" t="s">
        <v>2412</v>
      </c>
      <c r="R285" t="s">
        <v>2413</v>
      </c>
      <c r="S285" t="s">
        <v>2414</v>
      </c>
      <c r="T285" t="s">
        <v>38</v>
      </c>
      <c r="U285" t="s">
        <v>80</v>
      </c>
      <c r="V285">
        <v>70</v>
      </c>
      <c r="W285">
        <v>82</v>
      </c>
      <c r="X285">
        <v>120</v>
      </c>
      <c r="Y285">
        <v>102</v>
      </c>
      <c r="Z285">
        <v>175</v>
      </c>
      <c r="AA285">
        <v>154</v>
      </c>
      <c r="AB285" t="s">
        <v>180</v>
      </c>
      <c r="AC285" t="s">
        <v>201</v>
      </c>
      <c r="AD285" t="s">
        <v>609</v>
      </c>
      <c r="AE285" t="s">
        <v>183</v>
      </c>
      <c r="AF285">
        <v>0</v>
      </c>
    </row>
    <row r="286" spans="1:32">
      <c r="A286">
        <v>141</v>
      </c>
      <c r="B286">
        <v>1007</v>
      </c>
      <c r="C286" t="s">
        <v>2408</v>
      </c>
      <c r="D286" t="s">
        <v>169</v>
      </c>
      <c r="E286" t="s">
        <v>2165</v>
      </c>
      <c r="F286" t="s">
        <v>193</v>
      </c>
      <c r="G286" t="s">
        <v>2419</v>
      </c>
      <c r="H286" t="s">
        <v>192</v>
      </c>
      <c r="I286" t="s">
        <v>212</v>
      </c>
      <c r="J286" t="s">
        <v>192</v>
      </c>
      <c r="K286" t="s">
        <v>2410</v>
      </c>
      <c r="L286" s="84">
        <v>43202</v>
      </c>
      <c r="M286" t="s">
        <v>381</v>
      </c>
      <c r="N286" t="s">
        <v>503</v>
      </c>
      <c r="O286">
        <v>3</v>
      </c>
      <c r="P286" t="s">
        <v>2411</v>
      </c>
      <c r="Q286" t="s">
        <v>2412</v>
      </c>
      <c r="R286" t="s">
        <v>2413</v>
      </c>
      <c r="S286" t="s">
        <v>2414</v>
      </c>
      <c r="T286" t="s">
        <v>36</v>
      </c>
      <c r="U286" t="s">
        <v>80</v>
      </c>
      <c r="V286">
        <v>70</v>
      </c>
      <c r="W286">
        <v>82</v>
      </c>
      <c r="X286">
        <v>120</v>
      </c>
      <c r="Y286">
        <v>102</v>
      </c>
      <c r="Z286">
        <v>175</v>
      </c>
      <c r="AA286">
        <v>154</v>
      </c>
      <c r="AB286" t="s">
        <v>180</v>
      </c>
      <c r="AC286" t="s">
        <v>201</v>
      </c>
      <c r="AD286" t="s">
        <v>609</v>
      </c>
      <c r="AE286" t="s">
        <v>183</v>
      </c>
      <c r="AF286">
        <v>0</v>
      </c>
    </row>
    <row r="287" spans="1:32">
      <c r="A287">
        <v>141</v>
      </c>
      <c r="B287">
        <v>1007</v>
      </c>
      <c r="C287" t="s">
        <v>2408</v>
      </c>
      <c r="D287" t="s">
        <v>169</v>
      </c>
      <c r="E287" t="s">
        <v>2165</v>
      </c>
      <c r="F287" t="s">
        <v>37</v>
      </c>
      <c r="G287" t="s">
        <v>2418</v>
      </c>
      <c r="H287" t="s">
        <v>192</v>
      </c>
      <c r="I287" t="s">
        <v>181</v>
      </c>
      <c r="J287" t="s">
        <v>212</v>
      </c>
      <c r="K287" t="s">
        <v>2410</v>
      </c>
      <c r="L287" s="84">
        <v>43202</v>
      </c>
      <c r="M287" t="s">
        <v>381</v>
      </c>
      <c r="N287" t="s">
        <v>503</v>
      </c>
      <c r="O287">
        <v>3</v>
      </c>
      <c r="P287" t="s">
        <v>2411</v>
      </c>
      <c r="Q287" t="s">
        <v>2412</v>
      </c>
      <c r="R287" t="s">
        <v>2413</v>
      </c>
      <c r="S287" t="s">
        <v>2414</v>
      </c>
      <c r="T287" t="s">
        <v>37</v>
      </c>
      <c r="U287" t="s">
        <v>80</v>
      </c>
      <c r="V287">
        <v>70</v>
      </c>
      <c r="W287">
        <v>82</v>
      </c>
      <c r="X287">
        <v>120</v>
      </c>
      <c r="Y287">
        <v>102</v>
      </c>
      <c r="Z287">
        <v>175</v>
      </c>
      <c r="AA287">
        <v>154</v>
      </c>
      <c r="AB287" t="s">
        <v>180</v>
      </c>
      <c r="AC287" t="s">
        <v>201</v>
      </c>
      <c r="AD287" t="s">
        <v>609</v>
      </c>
      <c r="AE287" t="s">
        <v>183</v>
      </c>
      <c r="AF287">
        <v>0</v>
      </c>
    </row>
    <row r="288" spans="1:32">
      <c r="A288">
        <v>141</v>
      </c>
      <c r="B288">
        <v>1007</v>
      </c>
      <c r="C288" t="s">
        <v>2408</v>
      </c>
      <c r="D288" t="s">
        <v>169</v>
      </c>
      <c r="E288" t="s">
        <v>2165</v>
      </c>
      <c r="F288" t="s">
        <v>5</v>
      </c>
      <c r="G288" t="s">
        <v>2842</v>
      </c>
      <c r="H288" t="s">
        <v>275</v>
      </c>
      <c r="I288" t="s">
        <v>259</v>
      </c>
      <c r="J288" t="s">
        <v>216</v>
      </c>
      <c r="K288" t="s">
        <v>2410</v>
      </c>
      <c r="L288" s="84">
        <v>43202</v>
      </c>
      <c r="M288" t="s">
        <v>381</v>
      </c>
      <c r="N288" t="s">
        <v>503</v>
      </c>
      <c r="O288">
        <v>3</v>
      </c>
      <c r="P288" t="s">
        <v>2411</v>
      </c>
      <c r="Q288" t="s">
        <v>2412</v>
      </c>
      <c r="R288" t="s">
        <v>2413</v>
      </c>
      <c r="S288" t="s">
        <v>2414</v>
      </c>
      <c r="T288" t="s">
        <v>33</v>
      </c>
      <c r="U288" t="s">
        <v>80</v>
      </c>
      <c r="V288">
        <v>70</v>
      </c>
      <c r="W288">
        <v>82</v>
      </c>
      <c r="X288">
        <v>120</v>
      </c>
      <c r="Y288">
        <v>102</v>
      </c>
      <c r="Z288">
        <v>175</v>
      </c>
      <c r="AA288">
        <v>154</v>
      </c>
      <c r="AB288" t="s">
        <v>180</v>
      </c>
      <c r="AC288" t="s">
        <v>201</v>
      </c>
      <c r="AD288" t="s">
        <v>609</v>
      </c>
      <c r="AE288" t="s">
        <v>183</v>
      </c>
      <c r="AF288">
        <v>0</v>
      </c>
    </row>
    <row r="289" spans="1:32">
      <c r="A289">
        <v>142</v>
      </c>
      <c r="B289">
        <v>993</v>
      </c>
      <c r="C289" t="s">
        <v>2420</v>
      </c>
      <c r="D289" t="s">
        <v>169</v>
      </c>
      <c r="E289" t="s">
        <v>2165</v>
      </c>
      <c r="F289" t="s">
        <v>5</v>
      </c>
      <c r="G289" t="s">
        <v>2843</v>
      </c>
      <c r="H289" t="s">
        <v>297</v>
      </c>
      <c r="I289" t="s">
        <v>275</v>
      </c>
      <c r="J289" t="s">
        <v>259</v>
      </c>
      <c r="K289" t="s">
        <v>2422</v>
      </c>
      <c r="L289" s="84">
        <v>43073</v>
      </c>
      <c r="M289" t="s">
        <v>381</v>
      </c>
      <c r="N289" t="s">
        <v>2423</v>
      </c>
      <c r="O289">
        <v>2</v>
      </c>
      <c r="P289" t="s">
        <v>2424</v>
      </c>
      <c r="Q289" t="s">
        <v>2425</v>
      </c>
      <c r="R289" t="s">
        <v>2426</v>
      </c>
      <c r="S289" t="s">
        <v>2427</v>
      </c>
      <c r="T289" t="s">
        <v>33</v>
      </c>
      <c r="U289" t="s">
        <v>79</v>
      </c>
      <c r="V289">
        <v>68</v>
      </c>
      <c r="W289">
        <v>82</v>
      </c>
      <c r="X289">
        <v>120</v>
      </c>
      <c r="Y289">
        <v>102</v>
      </c>
      <c r="Z289">
        <v>175</v>
      </c>
      <c r="AA289">
        <v>153</v>
      </c>
      <c r="AB289" t="s">
        <v>656</v>
      </c>
      <c r="AC289" t="s">
        <v>188</v>
      </c>
      <c r="AD289" t="s">
        <v>210</v>
      </c>
      <c r="AE289" t="s">
        <v>183</v>
      </c>
      <c r="AF289">
        <v>0</v>
      </c>
    </row>
    <row r="290" spans="1:32">
      <c r="A290">
        <v>142</v>
      </c>
      <c r="B290">
        <v>993</v>
      </c>
      <c r="C290" t="s">
        <v>2420</v>
      </c>
      <c r="D290" t="s">
        <v>169</v>
      </c>
      <c r="E290" t="s">
        <v>2165</v>
      </c>
      <c r="F290" t="s">
        <v>37</v>
      </c>
      <c r="G290" t="s">
        <v>2428</v>
      </c>
      <c r="H290" t="s">
        <v>192</v>
      </c>
      <c r="I290" t="s">
        <v>181</v>
      </c>
      <c r="J290" t="s">
        <v>192</v>
      </c>
      <c r="K290" t="s">
        <v>2422</v>
      </c>
      <c r="L290" s="84">
        <v>43073</v>
      </c>
      <c r="M290" t="s">
        <v>381</v>
      </c>
      <c r="N290" t="s">
        <v>2423</v>
      </c>
      <c r="O290">
        <v>2</v>
      </c>
      <c r="P290" t="s">
        <v>2424</v>
      </c>
      <c r="Q290" t="s">
        <v>2425</v>
      </c>
      <c r="R290" t="s">
        <v>2426</v>
      </c>
      <c r="S290" t="s">
        <v>2427</v>
      </c>
      <c r="T290" t="s">
        <v>37</v>
      </c>
      <c r="U290" t="s">
        <v>79</v>
      </c>
      <c r="V290">
        <v>68</v>
      </c>
      <c r="W290">
        <v>82</v>
      </c>
      <c r="X290">
        <v>120</v>
      </c>
      <c r="Y290">
        <v>102</v>
      </c>
      <c r="Z290">
        <v>175</v>
      </c>
      <c r="AA290">
        <v>153</v>
      </c>
      <c r="AB290" t="s">
        <v>656</v>
      </c>
      <c r="AC290" t="s">
        <v>188</v>
      </c>
      <c r="AD290" t="s">
        <v>210</v>
      </c>
      <c r="AE290" t="s">
        <v>183</v>
      </c>
      <c r="AF290">
        <v>0</v>
      </c>
    </row>
    <row r="291" spans="1:32">
      <c r="A291">
        <v>142</v>
      </c>
      <c r="B291">
        <v>993</v>
      </c>
      <c r="C291" t="s">
        <v>2420</v>
      </c>
      <c r="D291" t="s">
        <v>169</v>
      </c>
      <c r="E291" t="s">
        <v>2165</v>
      </c>
      <c r="F291" t="s">
        <v>193</v>
      </c>
      <c r="G291" t="s">
        <v>2421</v>
      </c>
      <c r="H291" t="s">
        <v>192</v>
      </c>
      <c r="I291" t="s">
        <v>212</v>
      </c>
      <c r="J291" t="s">
        <v>223</v>
      </c>
      <c r="K291" t="s">
        <v>2422</v>
      </c>
      <c r="L291" s="84">
        <v>43073</v>
      </c>
      <c r="M291" t="s">
        <v>381</v>
      </c>
      <c r="N291" t="s">
        <v>2423</v>
      </c>
      <c r="O291">
        <v>2</v>
      </c>
      <c r="P291" t="s">
        <v>2424</v>
      </c>
      <c r="Q291" t="s">
        <v>2425</v>
      </c>
      <c r="R291" t="s">
        <v>2426</v>
      </c>
      <c r="S291" t="s">
        <v>2427</v>
      </c>
      <c r="T291" t="s">
        <v>36</v>
      </c>
      <c r="U291" t="s">
        <v>79</v>
      </c>
      <c r="V291">
        <v>68</v>
      </c>
      <c r="W291">
        <v>82</v>
      </c>
      <c r="X291">
        <v>120</v>
      </c>
      <c r="Y291">
        <v>102</v>
      </c>
      <c r="Z291">
        <v>175</v>
      </c>
      <c r="AA291">
        <v>153</v>
      </c>
      <c r="AB291" t="s">
        <v>656</v>
      </c>
      <c r="AC291" t="s">
        <v>188</v>
      </c>
      <c r="AD291" t="s">
        <v>210</v>
      </c>
      <c r="AE291" t="s">
        <v>183</v>
      </c>
      <c r="AF291">
        <v>0</v>
      </c>
    </row>
    <row r="292" spans="1:32">
      <c r="A292">
        <v>142</v>
      </c>
      <c r="B292">
        <v>993</v>
      </c>
      <c r="C292" t="s">
        <v>2420</v>
      </c>
      <c r="D292" t="s">
        <v>169</v>
      </c>
      <c r="E292" t="s">
        <v>2165</v>
      </c>
      <c r="F292" t="s">
        <v>197</v>
      </c>
      <c r="G292" t="s">
        <v>2429</v>
      </c>
      <c r="H292" t="s">
        <v>192</v>
      </c>
      <c r="I292" t="s">
        <v>212</v>
      </c>
      <c r="J292" t="s">
        <v>212</v>
      </c>
      <c r="K292" t="s">
        <v>2422</v>
      </c>
      <c r="L292" s="84">
        <v>43073</v>
      </c>
      <c r="M292" t="s">
        <v>381</v>
      </c>
      <c r="N292" t="s">
        <v>2423</v>
      </c>
      <c r="O292">
        <v>2</v>
      </c>
      <c r="P292" t="s">
        <v>2424</v>
      </c>
      <c r="Q292" t="s">
        <v>2425</v>
      </c>
      <c r="R292" t="s">
        <v>2426</v>
      </c>
      <c r="S292" t="s">
        <v>2427</v>
      </c>
      <c r="T292" t="s">
        <v>38</v>
      </c>
      <c r="U292" t="s">
        <v>79</v>
      </c>
      <c r="V292">
        <v>68</v>
      </c>
      <c r="W292">
        <v>82</v>
      </c>
      <c r="X292">
        <v>120</v>
      </c>
      <c r="Y292">
        <v>102</v>
      </c>
      <c r="Z292">
        <v>175</v>
      </c>
      <c r="AA292">
        <v>153</v>
      </c>
      <c r="AB292" t="s">
        <v>656</v>
      </c>
      <c r="AC292" t="s">
        <v>188</v>
      </c>
      <c r="AD292" t="s">
        <v>210</v>
      </c>
      <c r="AE292" t="s">
        <v>183</v>
      </c>
      <c r="AF292">
        <v>0</v>
      </c>
    </row>
    <row r="293" spans="1:32">
      <c r="A293">
        <v>142</v>
      </c>
      <c r="B293">
        <v>993</v>
      </c>
      <c r="C293" t="s">
        <v>2420</v>
      </c>
      <c r="D293" t="s">
        <v>169</v>
      </c>
      <c r="E293" t="s">
        <v>2165</v>
      </c>
      <c r="F293" t="s">
        <v>6</v>
      </c>
      <c r="G293" t="s">
        <v>2430</v>
      </c>
      <c r="H293" t="s">
        <v>171</v>
      </c>
      <c r="I293" t="s">
        <v>260</v>
      </c>
      <c r="J293" t="s">
        <v>181</v>
      </c>
      <c r="K293" t="s">
        <v>2422</v>
      </c>
      <c r="L293" s="84">
        <v>43073</v>
      </c>
      <c r="M293" t="s">
        <v>381</v>
      </c>
      <c r="N293" t="s">
        <v>2423</v>
      </c>
      <c r="O293">
        <v>2</v>
      </c>
      <c r="P293" t="s">
        <v>2424</v>
      </c>
      <c r="Q293" t="s">
        <v>2425</v>
      </c>
      <c r="R293" t="s">
        <v>2426</v>
      </c>
      <c r="S293" t="s">
        <v>2427</v>
      </c>
      <c r="T293" t="s">
        <v>34</v>
      </c>
      <c r="U293" t="s">
        <v>79</v>
      </c>
      <c r="V293">
        <v>68</v>
      </c>
      <c r="W293">
        <v>82</v>
      </c>
      <c r="X293">
        <v>120</v>
      </c>
      <c r="Y293">
        <v>102</v>
      </c>
      <c r="Z293">
        <v>175</v>
      </c>
      <c r="AA293">
        <v>153</v>
      </c>
      <c r="AB293" t="s">
        <v>656</v>
      </c>
      <c r="AC293" t="s">
        <v>188</v>
      </c>
      <c r="AD293" t="s">
        <v>210</v>
      </c>
      <c r="AE293" t="s">
        <v>183</v>
      </c>
      <c r="AF293">
        <v>0</v>
      </c>
    </row>
    <row r="294" spans="1:32">
      <c r="A294">
        <v>142</v>
      </c>
      <c r="B294">
        <v>993</v>
      </c>
      <c r="C294" t="s">
        <v>2420</v>
      </c>
      <c r="D294" t="s">
        <v>169</v>
      </c>
      <c r="E294" t="s">
        <v>2165</v>
      </c>
      <c r="F294" t="s">
        <v>7</v>
      </c>
      <c r="G294" t="s">
        <v>2431</v>
      </c>
      <c r="H294" t="s">
        <v>185</v>
      </c>
      <c r="I294" t="s">
        <v>185</v>
      </c>
      <c r="J294" t="s">
        <v>191</v>
      </c>
      <c r="K294" t="s">
        <v>2422</v>
      </c>
      <c r="L294" s="84">
        <v>43073</v>
      </c>
      <c r="M294" t="s">
        <v>381</v>
      </c>
      <c r="N294" t="s">
        <v>2423</v>
      </c>
      <c r="O294">
        <v>2</v>
      </c>
      <c r="P294" t="s">
        <v>2424</v>
      </c>
      <c r="Q294" t="s">
        <v>2425</v>
      </c>
      <c r="R294" t="s">
        <v>2426</v>
      </c>
      <c r="S294" t="s">
        <v>2427</v>
      </c>
      <c r="T294" t="s">
        <v>32</v>
      </c>
      <c r="U294" t="s">
        <v>79</v>
      </c>
      <c r="V294">
        <v>68</v>
      </c>
      <c r="W294">
        <v>82</v>
      </c>
      <c r="X294">
        <v>120</v>
      </c>
      <c r="Y294">
        <v>102</v>
      </c>
      <c r="Z294">
        <v>175</v>
      </c>
      <c r="AA294">
        <v>153</v>
      </c>
      <c r="AB294" t="s">
        <v>656</v>
      </c>
      <c r="AC294" t="s">
        <v>188</v>
      </c>
      <c r="AD294" t="s">
        <v>210</v>
      </c>
      <c r="AE294" t="s">
        <v>183</v>
      </c>
      <c r="AF294">
        <v>0</v>
      </c>
    </row>
    <row r="295" spans="1:32">
      <c r="A295">
        <v>142</v>
      </c>
      <c r="B295">
        <v>993</v>
      </c>
      <c r="C295" t="s">
        <v>2420</v>
      </c>
      <c r="D295" t="s">
        <v>169</v>
      </c>
      <c r="E295" t="s">
        <v>2165</v>
      </c>
      <c r="F295" t="s">
        <v>8</v>
      </c>
      <c r="G295" t="s">
        <v>2432</v>
      </c>
      <c r="H295" t="s">
        <v>274</v>
      </c>
      <c r="I295" t="s">
        <v>236</v>
      </c>
      <c r="J295" t="s">
        <v>226</v>
      </c>
      <c r="K295" t="s">
        <v>2422</v>
      </c>
      <c r="L295" s="84">
        <v>43073</v>
      </c>
      <c r="M295" t="s">
        <v>381</v>
      </c>
      <c r="N295" t="s">
        <v>2423</v>
      </c>
      <c r="O295">
        <v>2</v>
      </c>
      <c r="P295" t="s">
        <v>2424</v>
      </c>
      <c r="Q295" t="s">
        <v>2425</v>
      </c>
      <c r="R295" t="s">
        <v>2426</v>
      </c>
      <c r="S295" t="s">
        <v>2427</v>
      </c>
      <c r="T295" t="s">
        <v>31</v>
      </c>
      <c r="U295" t="s">
        <v>79</v>
      </c>
      <c r="V295">
        <v>68</v>
      </c>
      <c r="W295">
        <v>82</v>
      </c>
      <c r="X295">
        <v>120</v>
      </c>
      <c r="Y295">
        <v>102</v>
      </c>
      <c r="Z295">
        <v>175</v>
      </c>
      <c r="AA295">
        <v>153</v>
      </c>
      <c r="AB295" t="s">
        <v>656</v>
      </c>
      <c r="AC295" t="s">
        <v>188</v>
      </c>
      <c r="AD295" t="s">
        <v>210</v>
      </c>
      <c r="AE295" t="s">
        <v>183</v>
      </c>
      <c r="AF295">
        <v>0</v>
      </c>
    </row>
    <row r="296" spans="1:32">
      <c r="A296">
        <v>143</v>
      </c>
      <c r="B296">
        <v>1166</v>
      </c>
      <c r="C296" t="s">
        <v>2433</v>
      </c>
      <c r="D296" t="s">
        <v>169</v>
      </c>
      <c r="E296" t="s">
        <v>2165</v>
      </c>
      <c r="F296" t="s">
        <v>8</v>
      </c>
      <c r="G296" t="s">
        <v>2434</v>
      </c>
      <c r="H296" t="s">
        <v>173</v>
      </c>
      <c r="I296" t="s">
        <v>227</v>
      </c>
      <c r="J296" t="s">
        <v>376</v>
      </c>
      <c r="K296" t="s">
        <v>2435</v>
      </c>
      <c r="L296" s="84">
        <v>43334</v>
      </c>
      <c r="M296" t="s">
        <v>381</v>
      </c>
      <c r="N296" t="s">
        <v>1413</v>
      </c>
      <c r="O296">
        <v>3</v>
      </c>
      <c r="P296" t="s">
        <v>2436</v>
      </c>
      <c r="Q296" t="s">
        <v>2437</v>
      </c>
      <c r="R296" t="s">
        <v>2438</v>
      </c>
      <c r="S296" t="s">
        <v>2439</v>
      </c>
      <c r="T296" t="s">
        <v>31</v>
      </c>
      <c r="U296" t="s">
        <v>80</v>
      </c>
      <c r="V296">
        <v>58</v>
      </c>
      <c r="W296">
        <v>82</v>
      </c>
      <c r="X296">
        <v>120</v>
      </c>
      <c r="Y296">
        <v>93</v>
      </c>
      <c r="Z296">
        <v>175</v>
      </c>
      <c r="AA296">
        <v>147</v>
      </c>
      <c r="AB296" t="s">
        <v>271</v>
      </c>
      <c r="AC296" t="s">
        <v>243</v>
      </c>
      <c r="AD296" t="s">
        <v>182</v>
      </c>
      <c r="AE296" t="s">
        <v>183</v>
      </c>
      <c r="AF296">
        <v>1</v>
      </c>
    </row>
    <row r="297" spans="1:32">
      <c r="A297">
        <v>143</v>
      </c>
      <c r="B297">
        <v>1166</v>
      </c>
      <c r="C297" t="s">
        <v>2433</v>
      </c>
      <c r="D297" t="s">
        <v>169</v>
      </c>
      <c r="E297" t="s">
        <v>2165</v>
      </c>
      <c r="F297" t="s">
        <v>7</v>
      </c>
      <c r="G297" t="s">
        <v>2440</v>
      </c>
      <c r="H297" t="s">
        <v>324</v>
      </c>
      <c r="I297" t="s">
        <v>173</v>
      </c>
      <c r="J297" t="s">
        <v>228</v>
      </c>
      <c r="K297" t="s">
        <v>2435</v>
      </c>
      <c r="L297" s="84">
        <v>43334</v>
      </c>
      <c r="M297" t="s">
        <v>381</v>
      </c>
      <c r="N297" t="s">
        <v>1413</v>
      </c>
      <c r="O297">
        <v>3</v>
      </c>
      <c r="P297" t="s">
        <v>2436</v>
      </c>
      <c r="Q297" t="s">
        <v>2437</v>
      </c>
      <c r="R297" t="s">
        <v>2438</v>
      </c>
      <c r="S297" t="s">
        <v>2439</v>
      </c>
      <c r="T297" t="s">
        <v>32</v>
      </c>
      <c r="U297" t="s">
        <v>80</v>
      </c>
      <c r="V297">
        <v>58</v>
      </c>
      <c r="W297">
        <v>82</v>
      </c>
      <c r="X297">
        <v>120</v>
      </c>
      <c r="Y297">
        <v>93</v>
      </c>
      <c r="Z297">
        <v>175</v>
      </c>
      <c r="AA297">
        <v>147</v>
      </c>
      <c r="AB297" t="s">
        <v>271</v>
      </c>
      <c r="AC297" t="s">
        <v>243</v>
      </c>
      <c r="AD297" t="s">
        <v>182</v>
      </c>
      <c r="AE297" t="s">
        <v>183</v>
      </c>
      <c r="AF297">
        <v>1</v>
      </c>
    </row>
    <row r="298" spans="1:32">
      <c r="A298">
        <v>143</v>
      </c>
      <c r="B298">
        <v>1166</v>
      </c>
      <c r="C298" t="s">
        <v>2433</v>
      </c>
      <c r="D298" t="s">
        <v>169</v>
      </c>
      <c r="E298" t="s">
        <v>2165</v>
      </c>
      <c r="F298" t="s">
        <v>6</v>
      </c>
      <c r="G298" t="s">
        <v>2441</v>
      </c>
      <c r="H298" t="s">
        <v>181</v>
      </c>
      <c r="I298" t="s">
        <v>171</v>
      </c>
      <c r="J298" t="s">
        <v>223</v>
      </c>
      <c r="K298" t="s">
        <v>2435</v>
      </c>
      <c r="L298" s="84">
        <v>43334</v>
      </c>
      <c r="M298" t="s">
        <v>381</v>
      </c>
      <c r="N298" t="s">
        <v>1413</v>
      </c>
      <c r="O298">
        <v>3</v>
      </c>
      <c r="P298" t="s">
        <v>2436</v>
      </c>
      <c r="Q298" t="s">
        <v>2437</v>
      </c>
      <c r="R298" t="s">
        <v>2438</v>
      </c>
      <c r="S298" t="s">
        <v>2439</v>
      </c>
      <c r="T298" t="s">
        <v>34</v>
      </c>
      <c r="U298" t="s">
        <v>80</v>
      </c>
      <c r="V298">
        <v>58</v>
      </c>
      <c r="W298">
        <v>82</v>
      </c>
      <c r="X298">
        <v>120</v>
      </c>
      <c r="Y298">
        <v>93</v>
      </c>
      <c r="Z298">
        <v>175</v>
      </c>
      <c r="AA298">
        <v>147</v>
      </c>
      <c r="AB298" t="s">
        <v>271</v>
      </c>
      <c r="AC298" t="s">
        <v>243</v>
      </c>
      <c r="AD298" t="s">
        <v>182</v>
      </c>
      <c r="AE298" t="s">
        <v>183</v>
      </c>
      <c r="AF298">
        <v>1</v>
      </c>
    </row>
    <row r="299" spans="1:32">
      <c r="A299">
        <v>143</v>
      </c>
      <c r="B299">
        <v>1166</v>
      </c>
      <c r="C299" t="s">
        <v>2433</v>
      </c>
      <c r="D299" t="s">
        <v>169</v>
      </c>
      <c r="E299" t="s">
        <v>2165</v>
      </c>
      <c r="F299" t="s">
        <v>197</v>
      </c>
      <c r="G299" t="s">
        <v>2442</v>
      </c>
      <c r="H299" t="s">
        <v>192</v>
      </c>
      <c r="I299" t="s">
        <v>188</v>
      </c>
      <c r="J299" t="s">
        <v>212</v>
      </c>
      <c r="K299" t="s">
        <v>2435</v>
      </c>
      <c r="L299" s="84">
        <v>43334</v>
      </c>
      <c r="M299" t="s">
        <v>381</v>
      </c>
      <c r="N299" t="s">
        <v>1413</v>
      </c>
      <c r="O299">
        <v>3</v>
      </c>
      <c r="P299" t="s">
        <v>2436</v>
      </c>
      <c r="Q299" t="s">
        <v>2437</v>
      </c>
      <c r="R299" t="s">
        <v>2438</v>
      </c>
      <c r="S299" t="s">
        <v>2439</v>
      </c>
      <c r="T299" t="s">
        <v>38</v>
      </c>
      <c r="U299" t="s">
        <v>80</v>
      </c>
      <c r="V299">
        <v>58</v>
      </c>
      <c r="W299">
        <v>82</v>
      </c>
      <c r="X299">
        <v>120</v>
      </c>
      <c r="Y299">
        <v>93</v>
      </c>
      <c r="Z299">
        <v>175</v>
      </c>
      <c r="AA299">
        <v>147</v>
      </c>
      <c r="AB299" t="s">
        <v>271</v>
      </c>
      <c r="AC299" t="s">
        <v>243</v>
      </c>
      <c r="AD299" t="s">
        <v>182</v>
      </c>
      <c r="AE299" t="s">
        <v>183</v>
      </c>
      <c r="AF299">
        <v>1</v>
      </c>
    </row>
    <row r="300" spans="1:32">
      <c r="A300">
        <v>143</v>
      </c>
      <c r="B300">
        <v>1166</v>
      </c>
      <c r="C300" t="s">
        <v>2433</v>
      </c>
      <c r="D300" t="s">
        <v>169</v>
      </c>
      <c r="E300" t="s">
        <v>2165</v>
      </c>
      <c r="F300" t="s">
        <v>193</v>
      </c>
      <c r="G300" t="s">
        <v>2444</v>
      </c>
      <c r="H300" t="s">
        <v>192</v>
      </c>
      <c r="I300" t="s">
        <v>243</v>
      </c>
      <c r="J300" t="s">
        <v>212</v>
      </c>
      <c r="K300" t="s">
        <v>2435</v>
      </c>
      <c r="L300" s="84">
        <v>43334</v>
      </c>
      <c r="M300" t="s">
        <v>381</v>
      </c>
      <c r="N300" t="s">
        <v>1413</v>
      </c>
      <c r="O300">
        <v>3</v>
      </c>
      <c r="P300" t="s">
        <v>2436</v>
      </c>
      <c r="Q300" t="s">
        <v>2437</v>
      </c>
      <c r="R300" t="s">
        <v>2438</v>
      </c>
      <c r="S300" t="s">
        <v>2439</v>
      </c>
      <c r="T300" t="s">
        <v>36</v>
      </c>
      <c r="U300" t="s">
        <v>80</v>
      </c>
      <c r="V300">
        <v>58</v>
      </c>
      <c r="W300">
        <v>82</v>
      </c>
      <c r="X300">
        <v>120</v>
      </c>
      <c r="Y300">
        <v>93</v>
      </c>
      <c r="Z300">
        <v>175</v>
      </c>
      <c r="AA300">
        <v>147</v>
      </c>
      <c r="AB300" t="s">
        <v>271</v>
      </c>
      <c r="AC300" t="s">
        <v>243</v>
      </c>
      <c r="AD300" t="s">
        <v>182</v>
      </c>
      <c r="AE300" t="s">
        <v>183</v>
      </c>
      <c r="AF300">
        <v>1</v>
      </c>
    </row>
    <row r="301" spans="1:32">
      <c r="A301">
        <v>143</v>
      </c>
      <c r="B301">
        <v>1166</v>
      </c>
      <c r="C301" t="s">
        <v>2433</v>
      </c>
      <c r="D301" t="s">
        <v>169</v>
      </c>
      <c r="E301" t="s">
        <v>2165</v>
      </c>
      <c r="F301" t="s">
        <v>37</v>
      </c>
      <c r="G301" t="s">
        <v>2443</v>
      </c>
      <c r="H301" t="s">
        <v>192</v>
      </c>
      <c r="I301" t="s">
        <v>181</v>
      </c>
      <c r="J301" t="s">
        <v>223</v>
      </c>
      <c r="K301" t="s">
        <v>2435</v>
      </c>
      <c r="L301" s="84">
        <v>43334</v>
      </c>
      <c r="M301" t="s">
        <v>381</v>
      </c>
      <c r="N301" t="s">
        <v>1413</v>
      </c>
      <c r="O301">
        <v>3</v>
      </c>
      <c r="P301" t="s">
        <v>2436</v>
      </c>
      <c r="Q301" t="s">
        <v>2437</v>
      </c>
      <c r="R301" t="s">
        <v>2438</v>
      </c>
      <c r="S301" t="s">
        <v>2439</v>
      </c>
      <c r="T301" t="s">
        <v>37</v>
      </c>
      <c r="U301" t="s">
        <v>80</v>
      </c>
      <c r="V301">
        <v>58</v>
      </c>
      <c r="W301">
        <v>82</v>
      </c>
      <c r="X301">
        <v>120</v>
      </c>
      <c r="Y301">
        <v>93</v>
      </c>
      <c r="Z301">
        <v>175</v>
      </c>
      <c r="AA301">
        <v>147</v>
      </c>
      <c r="AB301" t="s">
        <v>271</v>
      </c>
      <c r="AC301" t="s">
        <v>243</v>
      </c>
      <c r="AD301" t="s">
        <v>182</v>
      </c>
      <c r="AE301" t="s">
        <v>183</v>
      </c>
      <c r="AF301">
        <v>1</v>
      </c>
    </row>
    <row r="302" spans="1:32">
      <c r="A302">
        <v>143</v>
      </c>
      <c r="B302">
        <v>1166</v>
      </c>
      <c r="C302" t="s">
        <v>2433</v>
      </c>
      <c r="D302" t="s">
        <v>169</v>
      </c>
      <c r="E302" t="s">
        <v>2165</v>
      </c>
      <c r="F302" t="s">
        <v>5</v>
      </c>
      <c r="G302" t="s">
        <v>2844</v>
      </c>
      <c r="H302" t="s">
        <v>171</v>
      </c>
      <c r="I302" t="s">
        <v>297</v>
      </c>
      <c r="J302" t="s">
        <v>239</v>
      </c>
      <c r="K302" t="s">
        <v>2435</v>
      </c>
      <c r="L302" s="84">
        <v>43334</v>
      </c>
      <c r="M302" t="s">
        <v>381</v>
      </c>
      <c r="N302" t="s">
        <v>1413</v>
      </c>
      <c r="O302">
        <v>3</v>
      </c>
      <c r="P302" t="s">
        <v>2436</v>
      </c>
      <c r="Q302" t="s">
        <v>2437</v>
      </c>
      <c r="R302" t="s">
        <v>2438</v>
      </c>
      <c r="S302" t="s">
        <v>2439</v>
      </c>
      <c r="T302" t="s">
        <v>33</v>
      </c>
      <c r="U302" t="s">
        <v>80</v>
      </c>
      <c r="V302">
        <v>58</v>
      </c>
      <c r="W302">
        <v>82</v>
      </c>
      <c r="X302">
        <v>120</v>
      </c>
      <c r="Y302">
        <v>93</v>
      </c>
      <c r="Z302">
        <v>175</v>
      </c>
      <c r="AA302">
        <v>147</v>
      </c>
      <c r="AB302" t="s">
        <v>271</v>
      </c>
      <c r="AC302" t="s">
        <v>243</v>
      </c>
      <c r="AD302" t="s">
        <v>182</v>
      </c>
      <c r="AE302" t="s">
        <v>183</v>
      </c>
      <c r="AF302">
        <v>1</v>
      </c>
    </row>
    <row r="303" spans="1:32">
      <c r="A303">
        <v>144</v>
      </c>
      <c r="B303">
        <v>1005</v>
      </c>
      <c r="C303" t="s">
        <v>1747</v>
      </c>
      <c r="D303" t="s">
        <v>169</v>
      </c>
      <c r="E303" t="s">
        <v>2165</v>
      </c>
      <c r="F303" t="s">
        <v>5</v>
      </c>
      <c r="G303" t="s">
        <v>2845</v>
      </c>
      <c r="H303" t="s">
        <v>221</v>
      </c>
      <c r="I303" t="s">
        <v>256</v>
      </c>
      <c r="J303" t="s">
        <v>275</v>
      </c>
      <c r="K303" t="s">
        <v>2446</v>
      </c>
      <c r="L303" s="84">
        <v>42171</v>
      </c>
      <c r="M303" t="s">
        <v>381</v>
      </c>
      <c r="N303" t="s">
        <v>266</v>
      </c>
      <c r="O303">
        <v>3</v>
      </c>
      <c r="P303" t="s">
        <v>2447</v>
      </c>
      <c r="Q303" t="s">
        <v>2448</v>
      </c>
      <c r="R303" t="s">
        <v>2449</v>
      </c>
      <c r="S303" t="s">
        <v>2450</v>
      </c>
      <c r="T303" t="s">
        <v>33</v>
      </c>
      <c r="U303" t="s">
        <v>80</v>
      </c>
      <c r="V303">
        <v>42</v>
      </c>
      <c r="W303">
        <v>82</v>
      </c>
      <c r="X303">
        <v>120</v>
      </c>
      <c r="Y303">
        <v>68</v>
      </c>
      <c r="Z303">
        <v>175</v>
      </c>
      <c r="AA303">
        <v>91</v>
      </c>
      <c r="AB303" t="s">
        <v>370</v>
      </c>
      <c r="AC303" t="s">
        <v>237</v>
      </c>
      <c r="AD303" t="s">
        <v>210</v>
      </c>
      <c r="AE303" t="s">
        <v>183</v>
      </c>
      <c r="AF303">
        <v>1</v>
      </c>
    </row>
    <row r="304" spans="1:32">
      <c r="A304">
        <v>144</v>
      </c>
      <c r="B304">
        <v>1005</v>
      </c>
      <c r="C304" t="s">
        <v>1747</v>
      </c>
      <c r="D304" t="s">
        <v>169</v>
      </c>
      <c r="E304" t="s">
        <v>2165</v>
      </c>
      <c r="F304" t="s">
        <v>5</v>
      </c>
      <c r="G304" t="s">
        <v>2845</v>
      </c>
      <c r="H304" t="s">
        <v>221</v>
      </c>
      <c r="I304" t="s">
        <v>256</v>
      </c>
      <c r="J304" t="s">
        <v>275</v>
      </c>
      <c r="K304" t="s">
        <v>2446</v>
      </c>
      <c r="L304" s="84">
        <v>42171</v>
      </c>
      <c r="M304" t="s">
        <v>381</v>
      </c>
      <c r="N304" t="s">
        <v>266</v>
      </c>
      <c r="O304">
        <v>3</v>
      </c>
      <c r="P304" t="s">
        <v>2447</v>
      </c>
      <c r="Q304" t="s">
        <v>2448</v>
      </c>
      <c r="R304" t="s">
        <v>2449</v>
      </c>
      <c r="S304" t="s">
        <v>2450</v>
      </c>
      <c r="T304" t="s">
        <v>33</v>
      </c>
      <c r="U304" t="s">
        <v>80</v>
      </c>
      <c r="V304">
        <v>42</v>
      </c>
      <c r="W304">
        <v>82</v>
      </c>
      <c r="X304">
        <v>120</v>
      </c>
      <c r="Y304">
        <v>68</v>
      </c>
      <c r="Z304">
        <v>175</v>
      </c>
      <c r="AA304">
        <v>91</v>
      </c>
      <c r="AB304" t="s">
        <v>370</v>
      </c>
      <c r="AC304" t="s">
        <v>237</v>
      </c>
      <c r="AD304" t="s">
        <v>210</v>
      </c>
      <c r="AE304" t="s">
        <v>183</v>
      </c>
      <c r="AF304">
        <v>1</v>
      </c>
    </row>
    <row r="305" spans="1:32">
      <c r="A305">
        <v>144</v>
      </c>
      <c r="B305">
        <v>1005</v>
      </c>
      <c r="C305" t="s">
        <v>1747</v>
      </c>
      <c r="D305" t="s">
        <v>169</v>
      </c>
      <c r="E305" t="s">
        <v>2165</v>
      </c>
      <c r="F305" t="s">
        <v>5</v>
      </c>
      <c r="G305" t="s">
        <v>2845</v>
      </c>
      <c r="H305" t="s">
        <v>221</v>
      </c>
      <c r="I305" t="s">
        <v>256</v>
      </c>
      <c r="J305" t="s">
        <v>275</v>
      </c>
      <c r="K305" t="s">
        <v>2446</v>
      </c>
      <c r="L305" s="84">
        <v>42171</v>
      </c>
      <c r="M305" t="s">
        <v>381</v>
      </c>
      <c r="N305" t="s">
        <v>266</v>
      </c>
      <c r="O305">
        <v>3</v>
      </c>
      <c r="P305" t="s">
        <v>2447</v>
      </c>
      <c r="Q305" t="s">
        <v>2448</v>
      </c>
      <c r="R305" t="s">
        <v>2449</v>
      </c>
      <c r="S305" t="s">
        <v>2450</v>
      </c>
      <c r="T305" t="s">
        <v>33</v>
      </c>
      <c r="U305" t="s">
        <v>80</v>
      </c>
      <c r="V305">
        <v>42</v>
      </c>
      <c r="W305">
        <v>82</v>
      </c>
      <c r="X305">
        <v>120</v>
      </c>
      <c r="Y305">
        <v>68</v>
      </c>
      <c r="Z305">
        <v>175</v>
      </c>
      <c r="AA305">
        <v>91</v>
      </c>
      <c r="AB305" t="s">
        <v>370</v>
      </c>
      <c r="AC305" t="s">
        <v>237</v>
      </c>
      <c r="AD305" t="s">
        <v>210</v>
      </c>
      <c r="AE305" t="s">
        <v>183</v>
      </c>
      <c r="AF305">
        <v>1</v>
      </c>
    </row>
    <row r="306" spans="1:32">
      <c r="A306">
        <v>144</v>
      </c>
      <c r="B306">
        <v>1005</v>
      </c>
      <c r="C306" t="s">
        <v>1747</v>
      </c>
      <c r="D306" t="s">
        <v>169</v>
      </c>
      <c r="E306" t="s">
        <v>2165</v>
      </c>
      <c r="F306" t="s">
        <v>5</v>
      </c>
      <c r="G306" t="s">
        <v>2845</v>
      </c>
      <c r="H306" t="s">
        <v>221</v>
      </c>
      <c r="I306" t="s">
        <v>256</v>
      </c>
      <c r="J306" t="s">
        <v>275</v>
      </c>
      <c r="K306" t="s">
        <v>2446</v>
      </c>
      <c r="L306" s="84">
        <v>42171</v>
      </c>
      <c r="M306" t="s">
        <v>381</v>
      </c>
      <c r="N306" t="s">
        <v>266</v>
      </c>
      <c r="O306">
        <v>3</v>
      </c>
      <c r="P306" t="s">
        <v>2447</v>
      </c>
      <c r="Q306" t="s">
        <v>2448</v>
      </c>
      <c r="R306" t="s">
        <v>2449</v>
      </c>
      <c r="S306" t="s">
        <v>2450</v>
      </c>
      <c r="T306" t="s">
        <v>33</v>
      </c>
      <c r="U306" t="s">
        <v>80</v>
      </c>
      <c r="V306">
        <v>42</v>
      </c>
      <c r="W306">
        <v>82</v>
      </c>
      <c r="X306">
        <v>120</v>
      </c>
      <c r="Y306">
        <v>68</v>
      </c>
      <c r="Z306">
        <v>175</v>
      </c>
      <c r="AA306">
        <v>91</v>
      </c>
      <c r="AB306" t="s">
        <v>370</v>
      </c>
      <c r="AC306" t="s">
        <v>237</v>
      </c>
      <c r="AD306" t="s">
        <v>210</v>
      </c>
      <c r="AE306" t="s">
        <v>183</v>
      </c>
      <c r="AF306">
        <v>1</v>
      </c>
    </row>
    <row r="307" spans="1:32">
      <c r="A307">
        <v>144</v>
      </c>
      <c r="B307">
        <v>1005</v>
      </c>
      <c r="C307" t="s">
        <v>1747</v>
      </c>
      <c r="D307" t="s">
        <v>169</v>
      </c>
      <c r="E307" t="s">
        <v>2165</v>
      </c>
      <c r="F307" t="s">
        <v>5</v>
      </c>
      <c r="G307" t="s">
        <v>2845</v>
      </c>
      <c r="H307" t="s">
        <v>221</v>
      </c>
      <c r="I307" t="s">
        <v>256</v>
      </c>
      <c r="J307" t="s">
        <v>275</v>
      </c>
      <c r="K307" t="s">
        <v>2446</v>
      </c>
      <c r="L307" s="84">
        <v>42171</v>
      </c>
      <c r="M307" t="s">
        <v>381</v>
      </c>
      <c r="N307" t="s">
        <v>266</v>
      </c>
      <c r="O307">
        <v>3</v>
      </c>
      <c r="P307" t="s">
        <v>2447</v>
      </c>
      <c r="Q307" t="s">
        <v>2448</v>
      </c>
      <c r="R307" t="s">
        <v>2449</v>
      </c>
      <c r="S307" t="s">
        <v>2450</v>
      </c>
      <c r="T307" t="s">
        <v>33</v>
      </c>
      <c r="U307" t="s">
        <v>80</v>
      </c>
      <c r="V307">
        <v>42</v>
      </c>
      <c r="W307">
        <v>82</v>
      </c>
      <c r="X307">
        <v>120</v>
      </c>
      <c r="Y307">
        <v>68</v>
      </c>
      <c r="Z307">
        <v>175</v>
      </c>
      <c r="AA307">
        <v>91</v>
      </c>
      <c r="AB307" t="s">
        <v>370</v>
      </c>
      <c r="AC307" t="s">
        <v>237</v>
      </c>
      <c r="AD307" t="s">
        <v>210</v>
      </c>
      <c r="AE307" t="s">
        <v>183</v>
      </c>
      <c r="AF307">
        <v>1</v>
      </c>
    </row>
    <row r="308" spans="1:32">
      <c r="A308">
        <v>144</v>
      </c>
      <c r="B308">
        <v>1005</v>
      </c>
      <c r="C308" t="s">
        <v>1747</v>
      </c>
      <c r="D308" t="s">
        <v>169</v>
      </c>
      <c r="E308" t="s">
        <v>2165</v>
      </c>
      <c r="F308" t="s">
        <v>5</v>
      </c>
      <c r="G308" t="s">
        <v>2845</v>
      </c>
      <c r="H308" t="s">
        <v>221</v>
      </c>
      <c r="I308" t="s">
        <v>256</v>
      </c>
      <c r="J308" t="s">
        <v>275</v>
      </c>
      <c r="K308" t="s">
        <v>2446</v>
      </c>
      <c r="L308" s="84">
        <v>42171</v>
      </c>
      <c r="M308" t="s">
        <v>381</v>
      </c>
      <c r="N308" t="s">
        <v>266</v>
      </c>
      <c r="O308">
        <v>3</v>
      </c>
      <c r="P308" t="s">
        <v>2447</v>
      </c>
      <c r="Q308" t="s">
        <v>2448</v>
      </c>
      <c r="R308" t="s">
        <v>2449</v>
      </c>
      <c r="S308" t="s">
        <v>2450</v>
      </c>
      <c r="T308" t="s">
        <v>33</v>
      </c>
      <c r="U308" t="s">
        <v>80</v>
      </c>
      <c r="V308">
        <v>42</v>
      </c>
      <c r="W308">
        <v>82</v>
      </c>
      <c r="X308">
        <v>120</v>
      </c>
      <c r="Y308">
        <v>68</v>
      </c>
      <c r="Z308">
        <v>175</v>
      </c>
      <c r="AA308">
        <v>91</v>
      </c>
      <c r="AB308" t="s">
        <v>370</v>
      </c>
      <c r="AC308" t="s">
        <v>237</v>
      </c>
      <c r="AD308" t="s">
        <v>210</v>
      </c>
      <c r="AE308" t="s">
        <v>183</v>
      </c>
      <c r="AF308">
        <v>1</v>
      </c>
    </row>
    <row r="309" spans="1:32">
      <c r="A309">
        <v>144</v>
      </c>
      <c r="B309">
        <v>1005</v>
      </c>
      <c r="C309" t="s">
        <v>1747</v>
      </c>
      <c r="D309" t="s">
        <v>169</v>
      </c>
      <c r="E309" t="s">
        <v>2165</v>
      </c>
      <c r="F309" t="s">
        <v>5</v>
      </c>
      <c r="G309" t="s">
        <v>2845</v>
      </c>
      <c r="H309" t="s">
        <v>221</v>
      </c>
      <c r="I309" t="s">
        <v>256</v>
      </c>
      <c r="J309" t="s">
        <v>275</v>
      </c>
      <c r="K309" t="s">
        <v>2446</v>
      </c>
      <c r="L309" s="84">
        <v>42171</v>
      </c>
      <c r="M309" t="s">
        <v>381</v>
      </c>
      <c r="N309" t="s">
        <v>266</v>
      </c>
      <c r="O309">
        <v>3</v>
      </c>
      <c r="P309" t="s">
        <v>2447</v>
      </c>
      <c r="Q309" t="s">
        <v>2448</v>
      </c>
      <c r="R309" t="s">
        <v>2449</v>
      </c>
      <c r="S309" t="s">
        <v>2450</v>
      </c>
      <c r="T309" t="s">
        <v>33</v>
      </c>
      <c r="U309" t="s">
        <v>80</v>
      </c>
      <c r="V309">
        <v>42</v>
      </c>
      <c r="W309">
        <v>82</v>
      </c>
      <c r="X309">
        <v>120</v>
      </c>
      <c r="Y309">
        <v>68</v>
      </c>
      <c r="Z309">
        <v>175</v>
      </c>
      <c r="AA309">
        <v>91</v>
      </c>
      <c r="AB309" t="s">
        <v>370</v>
      </c>
      <c r="AC309" t="s">
        <v>237</v>
      </c>
      <c r="AD309" t="s">
        <v>210</v>
      </c>
      <c r="AE309" t="s">
        <v>183</v>
      </c>
      <c r="AF309">
        <v>1</v>
      </c>
    </row>
    <row r="310" spans="1:32">
      <c r="A310">
        <v>144</v>
      </c>
      <c r="B310">
        <v>1005</v>
      </c>
      <c r="C310" t="s">
        <v>1747</v>
      </c>
      <c r="D310" t="s">
        <v>169</v>
      </c>
      <c r="E310" t="s">
        <v>2165</v>
      </c>
      <c r="F310" t="s">
        <v>5</v>
      </c>
      <c r="G310" t="s">
        <v>2845</v>
      </c>
      <c r="H310" t="s">
        <v>221</v>
      </c>
      <c r="I310" t="s">
        <v>256</v>
      </c>
      <c r="J310" t="s">
        <v>275</v>
      </c>
      <c r="K310" t="s">
        <v>2446</v>
      </c>
      <c r="L310" s="84">
        <v>42171</v>
      </c>
      <c r="M310" t="s">
        <v>381</v>
      </c>
      <c r="N310" t="s">
        <v>266</v>
      </c>
      <c r="O310">
        <v>3</v>
      </c>
      <c r="P310" t="s">
        <v>2447</v>
      </c>
      <c r="Q310" t="s">
        <v>2448</v>
      </c>
      <c r="R310" t="s">
        <v>2449</v>
      </c>
      <c r="S310" t="s">
        <v>2450</v>
      </c>
      <c r="T310" t="s">
        <v>33</v>
      </c>
      <c r="U310" t="s">
        <v>80</v>
      </c>
      <c r="V310">
        <v>42</v>
      </c>
      <c r="W310">
        <v>82</v>
      </c>
      <c r="X310">
        <v>120</v>
      </c>
      <c r="Y310">
        <v>68</v>
      </c>
      <c r="Z310">
        <v>175</v>
      </c>
      <c r="AA310">
        <v>91</v>
      </c>
      <c r="AB310" t="s">
        <v>370</v>
      </c>
      <c r="AC310" t="s">
        <v>237</v>
      </c>
      <c r="AD310" t="s">
        <v>210</v>
      </c>
      <c r="AE310" t="s">
        <v>183</v>
      </c>
      <c r="AF310">
        <v>1</v>
      </c>
    </row>
    <row r="311" spans="1:32">
      <c r="A311">
        <v>144</v>
      </c>
      <c r="B311">
        <v>1005</v>
      </c>
      <c r="C311" t="s">
        <v>1747</v>
      </c>
      <c r="D311" t="s">
        <v>169</v>
      </c>
      <c r="E311" t="s">
        <v>2165</v>
      </c>
      <c r="F311" t="s">
        <v>5</v>
      </c>
      <c r="G311" t="s">
        <v>2845</v>
      </c>
      <c r="H311" t="s">
        <v>221</v>
      </c>
      <c r="I311" t="s">
        <v>256</v>
      </c>
      <c r="J311" t="s">
        <v>275</v>
      </c>
      <c r="K311" t="s">
        <v>2446</v>
      </c>
      <c r="L311" s="84">
        <v>42171</v>
      </c>
      <c r="M311" t="s">
        <v>381</v>
      </c>
      <c r="N311" t="s">
        <v>266</v>
      </c>
      <c r="O311">
        <v>3</v>
      </c>
      <c r="P311" t="s">
        <v>2447</v>
      </c>
      <c r="Q311" t="s">
        <v>2448</v>
      </c>
      <c r="R311" t="s">
        <v>2449</v>
      </c>
      <c r="S311" t="s">
        <v>2450</v>
      </c>
      <c r="T311" t="s">
        <v>33</v>
      </c>
      <c r="U311" t="s">
        <v>80</v>
      </c>
      <c r="V311">
        <v>42</v>
      </c>
      <c r="W311">
        <v>82</v>
      </c>
      <c r="X311">
        <v>120</v>
      </c>
      <c r="Y311">
        <v>68</v>
      </c>
      <c r="Z311">
        <v>175</v>
      </c>
      <c r="AA311">
        <v>91</v>
      </c>
      <c r="AB311" t="s">
        <v>370</v>
      </c>
      <c r="AC311" t="s">
        <v>237</v>
      </c>
      <c r="AD311" t="s">
        <v>210</v>
      </c>
      <c r="AE311" t="s">
        <v>183</v>
      </c>
      <c r="AF311">
        <v>1</v>
      </c>
    </row>
    <row r="312" spans="1:32">
      <c r="A312">
        <v>144</v>
      </c>
      <c r="B312">
        <v>1005</v>
      </c>
      <c r="C312" t="s">
        <v>1747</v>
      </c>
      <c r="D312" t="s">
        <v>169</v>
      </c>
      <c r="E312" t="s">
        <v>2165</v>
      </c>
      <c r="F312" t="s">
        <v>5</v>
      </c>
      <c r="G312" t="s">
        <v>2845</v>
      </c>
      <c r="H312" t="s">
        <v>221</v>
      </c>
      <c r="I312" t="s">
        <v>256</v>
      </c>
      <c r="J312" t="s">
        <v>275</v>
      </c>
      <c r="K312" t="s">
        <v>2446</v>
      </c>
      <c r="L312" s="84">
        <v>42171</v>
      </c>
      <c r="M312" t="s">
        <v>381</v>
      </c>
      <c r="N312" t="s">
        <v>266</v>
      </c>
      <c r="O312">
        <v>3</v>
      </c>
      <c r="P312" t="s">
        <v>2447</v>
      </c>
      <c r="Q312" t="s">
        <v>2448</v>
      </c>
      <c r="R312" t="s">
        <v>2449</v>
      </c>
      <c r="S312" t="s">
        <v>2450</v>
      </c>
      <c r="T312" t="s">
        <v>33</v>
      </c>
      <c r="U312" t="s">
        <v>80</v>
      </c>
      <c r="V312">
        <v>42</v>
      </c>
      <c r="W312">
        <v>82</v>
      </c>
      <c r="X312">
        <v>120</v>
      </c>
      <c r="Y312">
        <v>68</v>
      </c>
      <c r="Z312">
        <v>175</v>
      </c>
      <c r="AA312">
        <v>91</v>
      </c>
      <c r="AB312" t="s">
        <v>370</v>
      </c>
      <c r="AC312" t="s">
        <v>237</v>
      </c>
      <c r="AD312" t="s">
        <v>210</v>
      </c>
      <c r="AE312" t="s">
        <v>183</v>
      </c>
      <c r="AF312">
        <v>1</v>
      </c>
    </row>
    <row r="313" spans="1:32">
      <c r="A313">
        <v>144</v>
      </c>
      <c r="B313">
        <v>1005</v>
      </c>
      <c r="C313" t="s">
        <v>1747</v>
      </c>
      <c r="D313" t="s">
        <v>169</v>
      </c>
      <c r="E313" t="s">
        <v>2165</v>
      </c>
      <c r="F313" t="s">
        <v>5</v>
      </c>
      <c r="G313" t="s">
        <v>2845</v>
      </c>
      <c r="H313" t="s">
        <v>221</v>
      </c>
      <c r="I313" t="s">
        <v>256</v>
      </c>
      <c r="J313" t="s">
        <v>275</v>
      </c>
      <c r="K313" t="s">
        <v>2446</v>
      </c>
      <c r="L313" s="84">
        <v>42171</v>
      </c>
      <c r="M313" t="s">
        <v>381</v>
      </c>
      <c r="N313" t="s">
        <v>266</v>
      </c>
      <c r="O313">
        <v>3</v>
      </c>
      <c r="P313" t="s">
        <v>2447</v>
      </c>
      <c r="Q313" t="s">
        <v>2448</v>
      </c>
      <c r="R313" t="s">
        <v>2449</v>
      </c>
      <c r="S313" t="s">
        <v>2450</v>
      </c>
      <c r="T313" t="s">
        <v>33</v>
      </c>
      <c r="U313" t="s">
        <v>80</v>
      </c>
      <c r="V313">
        <v>42</v>
      </c>
      <c r="W313">
        <v>82</v>
      </c>
      <c r="X313">
        <v>120</v>
      </c>
      <c r="Y313">
        <v>68</v>
      </c>
      <c r="Z313">
        <v>175</v>
      </c>
      <c r="AA313">
        <v>91</v>
      </c>
      <c r="AB313" t="s">
        <v>370</v>
      </c>
      <c r="AC313" t="s">
        <v>237</v>
      </c>
      <c r="AD313" t="s">
        <v>210</v>
      </c>
      <c r="AE313" t="s">
        <v>183</v>
      </c>
      <c r="AF313">
        <v>1</v>
      </c>
    </row>
    <row r="314" spans="1:32">
      <c r="A314">
        <v>144</v>
      </c>
      <c r="B314">
        <v>1005</v>
      </c>
      <c r="C314" t="s">
        <v>1747</v>
      </c>
      <c r="D314" t="s">
        <v>169</v>
      </c>
      <c r="E314" t="s">
        <v>2165</v>
      </c>
      <c r="F314" t="s">
        <v>5</v>
      </c>
      <c r="G314" t="s">
        <v>2845</v>
      </c>
      <c r="H314" t="s">
        <v>221</v>
      </c>
      <c r="I314" t="s">
        <v>256</v>
      </c>
      <c r="J314" t="s">
        <v>275</v>
      </c>
      <c r="K314" t="s">
        <v>2446</v>
      </c>
      <c r="L314" s="84">
        <v>42171</v>
      </c>
      <c r="M314" t="s">
        <v>381</v>
      </c>
      <c r="N314" t="s">
        <v>266</v>
      </c>
      <c r="O314">
        <v>3</v>
      </c>
      <c r="P314" t="s">
        <v>2447</v>
      </c>
      <c r="Q314" t="s">
        <v>2448</v>
      </c>
      <c r="R314" t="s">
        <v>2449</v>
      </c>
      <c r="S314" t="s">
        <v>2450</v>
      </c>
      <c r="T314" t="s">
        <v>33</v>
      </c>
      <c r="U314" t="s">
        <v>80</v>
      </c>
      <c r="V314">
        <v>42</v>
      </c>
      <c r="W314">
        <v>82</v>
      </c>
      <c r="X314">
        <v>120</v>
      </c>
      <c r="Y314">
        <v>68</v>
      </c>
      <c r="Z314">
        <v>175</v>
      </c>
      <c r="AA314">
        <v>91</v>
      </c>
      <c r="AB314" t="s">
        <v>370</v>
      </c>
      <c r="AC314" t="s">
        <v>237</v>
      </c>
      <c r="AD314" t="s">
        <v>210</v>
      </c>
      <c r="AE314" t="s">
        <v>183</v>
      </c>
      <c r="AF314">
        <v>1</v>
      </c>
    </row>
    <row r="315" spans="1:32">
      <c r="A315">
        <v>144</v>
      </c>
      <c r="B315">
        <v>1005</v>
      </c>
      <c r="C315" t="s">
        <v>1747</v>
      </c>
      <c r="D315" t="s">
        <v>169</v>
      </c>
      <c r="E315" t="s">
        <v>2165</v>
      </c>
      <c r="F315" t="s">
        <v>5</v>
      </c>
      <c r="G315" t="s">
        <v>2845</v>
      </c>
      <c r="H315" t="s">
        <v>221</v>
      </c>
      <c r="I315" t="s">
        <v>256</v>
      </c>
      <c r="J315" t="s">
        <v>275</v>
      </c>
      <c r="K315" t="s">
        <v>2446</v>
      </c>
      <c r="L315" s="84">
        <v>42171</v>
      </c>
      <c r="M315" t="s">
        <v>381</v>
      </c>
      <c r="N315" t="s">
        <v>266</v>
      </c>
      <c r="O315">
        <v>3</v>
      </c>
      <c r="P315" t="s">
        <v>2447</v>
      </c>
      <c r="Q315" t="s">
        <v>2448</v>
      </c>
      <c r="R315" t="s">
        <v>2449</v>
      </c>
      <c r="S315" t="s">
        <v>2450</v>
      </c>
      <c r="T315" t="s">
        <v>33</v>
      </c>
      <c r="U315" t="s">
        <v>80</v>
      </c>
      <c r="V315">
        <v>42</v>
      </c>
      <c r="W315">
        <v>82</v>
      </c>
      <c r="X315">
        <v>120</v>
      </c>
      <c r="Y315">
        <v>68</v>
      </c>
      <c r="Z315">
        <v>175</v>
      </c>
      <c r="AA315">
        <v>91</v>
      </c>
      <c r="AB315" t="s">
        <v>370</v>
      </c>
      <c r="AC315" t="s">
        <v>237</v>
      </c>
      <c r="AD315" t="s">
        <v>210</v>
      </c>
      <c r="AE315" t="s">
        <v>183</v>
      </c>
      <c r="AF315">
        <v>1</v>
      </c>
    </row>
    <row r="316" spans="1:32">
      <c r="A316">
        <v>144</v>
      </c>
      <c r="B316">
        <v>1005</v>
      </c>
      <c r="C316" t="s">
        <v>1747</v>
      </c>
      <c r="D316" t="s">
        <v>169</v>
      </c>
      <c r="E316" t="s">
        <v>2165</v>
      </c>
      <c r="F316" t="s">
        <v>5</v>
      </c>
      <c r="G316" t="s">
        <v>2845</v>
      </c>
      <c r="H316" t="s">
        <v>221</v>
      </c>
      <c r="I316" t="s">
        <v>256</v>
      </c>
      <c r="J316" t="s">
        <v>275</v>
      </c>
      <c r="K316" t="s">
        <v>2446</v>
      </c>
      <c r="L316" s="84">
        <v>42171</v>
      </c>
      <c r="M316" t="s">
        <v>381</v>
      </c>
      <c r="N316" t="s">
        <v>266</v>
      </c>
      <c r="O316">
        <v>3</v>
      </c>
      <c r="P316" t="s">
        <v>2447</v>
      </c>
      <c r="Q316" t="s">
        <v>2448</v>
      </c>
      <c r="R316" t="s">
        <v>2449</v>
      </c>
      <c r="S316" t="s">
        <v>2450</v>
      </c>
      <c r="T316" t="s">
        <v>33</v>
      </c>
      <c r="U316" t="s">
        <v>80</v>
      </c>
      <c r="V316">
        <v>42</v>
      </c>
      <c r="W316">
        <v>82</v>
      </c>
      <c r="X316">
        <v>120</v>
      </c>
      <c r="Y316">
        <v>68</v>
      </c>
      <c r="Z316">
        <v>175</v>
      </c>
      <c r="AA316">
        <v>91</v>
      </c>
      <c r="AB316" t="s">
        <v>370</v>
      </c>
      <c r="AC316" t="s">
        <v>237</v>
      </c>
      <c r="AD316" t="s">
        <v>210</v>
      </c>
      <c r="AE316" t="s">
        <v>183</v>
      </c>
      <c r="AF316">
        <v>1</v>
      </c>
    </row>
    <row r="317" spans="1:32">
      <c r="A317">
        <v>144</v>
      </c>
      <c r="B317">
        <v>1005</v>
      </c>
      <c r="C317" t="s">
        <v>1747</v>
      </c>
      <c r="D317" t="s">
        <v>169</v>
      </c>
      <c r="E317" t="s">
        <v>2165</v>
      </c>
      <c r="F317" t="s">
        <v>5</v>
      </c>
      <c r="G317" t="s">
        <v>2845</v>
      </c>
      <c r="H317" t="s">
        <v>221</v>
      </c>
      <c r="I317" t="s">
        <v>256</v>
      </c>
      <c r="J317" t="s">
        <v>275</v>
      </c>
      <c r="K317" t="s">
        <v>2446</v>
      </c>
      <c r="L317" s="84">
        <v>42171</v>
      </c>
      <c r="M317" t="s">
        <v>381</v>
      </c>
      <c r="N317" t="s">
        <v>266</v>
      </c>
      <c r="O317">
        <v>3</v>
      </c>
      <c r="P317" t="s">
        <v>2447</v>
      </c>
      <c r="Q317" t="s">
        <v>2448</v>
      </c>
      <c r="R317" t="s">
        <v>2449</v>
      </c>
      <c r="S317" t="s">
        <v>2450</v>
      </c>
      <c r="T317" t="s">
        <v>33</v>
      </c>
      <c r="U317" t="s">
        <v>80</v>
      </c>
      <c r="V317">
        <v>42</v>
      </c>
      <c r="W317">
        <v>82</v>
      </c>
      <c r="X317">
        <v>120</v>
      </c>
      <c r="Y317">
        <v>68</v>
      </c>
      <c r="Z317">
        <v>175</v>
      </c>
      <c r="AA317">
        <v>91</v>
      </c>
      <c r="AB317" t="s">
        <v>370</v>
      </c>
      <c r="AC317" t="s">
        <v>237</v>
      </c>
      <c r="AD317" t="s">
        <v>210</v>
      </c>
      <c r="AE317" t="s">
        <v>183</v>
      </c>
      <c r="AF317">
        <v>1</v>
      </c>
    </row>
    <row r="318" spans="1:32">
      <c r="A318">
        <v>144</v>
      </c>
      <c r="B318">
        <v>1005</v>
      </c>
      <c r="C318" t="s">
        <v>1747</v>
      </c>
      <c r="D318" t="s">
        <v>169</v>
      </c>
      <c r="E318" t="s">
        <v>2165</v>
      </c>
      <c r="F318" t="s">
        <v>5</v>
      </c>
      <c r="G318" t="s">
        <v>2845</v>
      </c>
      <c r="H318" t="s">
        <v>221</v>
      </c>
      <c r="I318" t="s">
        <v>256</v>
      </c>
      <c r="J318" t="s">
        <v>275</v>
      </c>
      <c r="K318" t="s">
        <v>2446</v>
      </c>
      <c r="L318" s="84">
        <v>42171</v>
      </c>
      <c r="M318" t="s">
        <v>381</v>
      </c>
      <c r="N318" t="s">
        <v>266</v>
      </c>
      <c r="O318">
        <v>3</v>
      </c>
      <c r="P318" t="s">
        <v>2447</v>
      </c>
      <c r="Q318" t="s">
        <v>2448</v>
      </c>
      <c r="R318" t="s">
        <v>2449</v>
      </c>
      <c r="S318" t="s">
        <v>2450</v>
      </c>
      <c r="T318" t="s">
        <v>33</v>
      </c>
      <c r="U318" t="s">
        <v>80</v>
      </c>
      <c r="V318">
        <v>42</v>
      </c>
      <c r="W318">
        <v>82</v>
      </c>
      <c r="X318">
        <v>120</v>
      </c>
      <c r="Y318">
        <v>68</v>
      </c>
      <c r="Z318">
        <v>175</v>
      </c>
      <c r="AA318">
        <v>91</v>
      </c>
      <c r="AB318" t="s">
        <v>370</v>
      </c>
      <c r="AC318" t="s">
        <v>237</v>
      </c>
      <c r="AD318" t="s">
        <v>210</v>
      </c>
      <c r="AE318" t="s">
        <v>183</v>
      </c>
      <c r="AF318">
        <v>1</v>
      </c>
    </row>
    <row r="319" spans="1:32">
      <c r="A319">
        <v>144</v>
      </c>
      <c r="B319">
        <v>1005</v>
      </c>
      <c r="C319" t="s">
        <v>1747</v>
      </c>
      <c r="D319" t="s">
        <v>169</v>
      </c>
      <c r="E319" t="s">
        <v>2165</v>
      </c>
      <c r="F319" t="s">
        <v>5</v>
      </c>
      <c r="G319" t="s">
        <v>2845</v>
      </c>
      <c r="H319" t="s">
        <v>221</v>
      </c>
      <c r="I319" t="s">
        <v>256</v>
      </c>
      <c r="J319" t="s">
        <v>275</v>
      </c>
      <c r="K319" t="s">
        <v>2446</v>
      </c>
      <c r="L319" s="84">
        <v>42171</v>
      </c>
      <c r="M319" t="s">
        <v>381</v>
      </c>
      <c r="N319" t="s">
        <v>266</v>
      </c>
      <c r="O319">
        <v>3</v>
      </c>
      <c r="P319" t="s">
        <v>2447</v>
      </c>
      <c r="Q319" t="s">
        <v>2448</v>
      </c>
      <c r="R319" t="s">
        <v>2449</v>
      </c>
      <c r="S319" t="s">
        <v>2450</v>
      </c>
      <c r="T319" t="s">
        <v>33</v>
      </c>
      <c r="U319" t="s">
        <v>80</v>
      </c>
      <c r="V319">
        <v>42</v>
      </c>
      <c r="W319">
        <v>82</v>
      </c>
      <c r="X319">
        <v>120</v>
      </c>
      <c r="Y319">
        <v>68</v>
      </c>
      <c r="Z319">
        <v>175</v>
      </c>
      <c r="AA319">
        <v>91</v>
      </c>
      <c r="AB319" t="s">
        <v>370</v>
      </c>
      <c r="AC319" t="s">
        <v>237</v>
      </c>
      <c r="AD319" t="s">
        <v>210</v>
      </c>
      <c r="AE319" t="s">
        <v>183</v>
      </c>
      <c r="AF319">
        <v>1</v>
      </c>
    </row>
    <row r="320" spans="1:32">
      <c r="A320">
        <v>144</v>
      </c>
      <c r="B320">
        <v>1005</v>
      </c>
      <c r="C320" t="s">
        <v>1747</v>
      </c>
      <c r="D320" t="s">
        <v>169</v>
      </c>
      <c r="E320" t="s">
        <v>2165</v>
      </c>
      <c r="F320" t="s">
        <v>5</v>
      </c>
      <c r="G320" t="s">
        <v>2845</v>
      </c>
      <c r="H320" t="s">
        <v>221</v>
      </c>
      <c r="I320" t="s">
        <v>256</v>
      </c>
      <c r="J320" t="s">
        <v>275</v>
      </c>
      <c r="K320" t="s">
        <v>2446</v>
      </c>
      <c r="L320" s="84">
        <v>42171</v>
      </c>
      <c r="M320" t="s">
        <v>381</v>
      </c>
      <c r="N320" t="s">
        <v>266</v>
      </c>
      <c r="O320">
        <v>3</v>
      </c>
      <c r="P320" t="s">
        <v>2447</v>
      </c>
      <c r="Q320" t="s">
        <v>2448</v>
      </c>
      <c r="R320" t="s">
        <v>2449</v>
      </c>
      <c r="S320" t="s">
        <v>2450</v>
      </c>
      <c r="T320" t="s">
        <v>33</v>
      </c>
      <c r="U320" t="s">
        <v>80</v>
      </c>
      <c r="V320">
        <v>42</v>
      </c>
      <c r="W320">
        <v>82</v>
      </c>
      <c r="X320">
        <v>120</v>
      </c>
      <c r="Y320">
        <v>68</v>
      </c>
      <c r="Z320">
        <v>175</v>
      </c>
      <c r="AA320">
        <v>91</v>
      </c>
      <c r="AB320" t="s">
        <v>370</v>
      </c>
      <c r="AC320" t="s">
        <v>237</v>
      </c>
      <c r="AD320" t="s">
        <v>210</v>
      </c>
      <c r="AE320" t="s">
        <v>183</v>
      </c>
      <c r="AF320">
        <v>1</v>
      </c>
    </row>
    <row r="321" spans="1:32">
      <c r="A321">
        <v>144</v>
      </c>
      <c r="B321">
        <v>1005</v>
      </c>
      <c r="C321" t="s">
        <v>1747</v>
      </c>
      <c r="D321" t="s">
        <v>169</v>
      </c>
      <c r="E321" t="s">
        <v>2165</v>
      </c>
      <c r="F321" t="s">
        <v>5</v>
      </c>
      <c r="G321" t="s">
        <v>2845</v>
      </c>
      <c r="H321" t="s">
        <v>221</v>
      </c>
      <c r="I321" t="s">
        <v>256</v>
      </c>
      <c r="J321" t="s">
        <v>275</v>
      </c>
      <c r="K321" t="s">
        <v>2446</v>
      </c>
      <c r="L321" s="84">
        <v>42171</v>
      </c>
      <c r="M321" t="s">
        <v>381</v>
      </c>
      <c r="N321" t="s">
        <v>266</v>
      </c>
      <c r="O321">
        <v>3</v>
      </c>
      <c r="P321" t="s">
        <v>2447</v>
      </c>
      <c r="Q321" t="s">
        <v>2448</v>
      </c>
      <c r="R321" t="s">
        <v>2449</v>
      </c>
      <c r="S321" t="s">
        <v>2450</v>
      </c>
      <c r="T321" t="s">
        <v>33</v>
      </c>
      <c r="U321" t="s">
        <v>80</v>
      </c>
      <c r="V321">
        <v>42</v>
      </c>
      <c r="W321">
        <v>82</v>
      </c>
      <c r="X321">
        <v>120</v>
      </c>
      <c r="Y321">
        <v>68</v>
      </c>
      <c r="Z321">
        <v>175</v>
      </c>
      <c r="AA321">
        <v>91</v>
      </c>
      <c r="AB321" t="s">
        <v>370</v>
      </c>
      <c r="AC321" t="s">
        <v>237</v>
      </c>
      <c r="AD321" t="s">
        <v>210</v>
      </c>
      <c r="AE321" t="s">
        <v>183</v>
      </c>
      <c r="AF321">
        <v>1</v>
      </c>
    </row>
    <row r="322" spans="1:32">
      <c r="A322">
        <v>144</v>
      </c>
      <c r="B322">
        <v>1005</v>
      </c>
      <c r="C322" t="s">
        <v>1747</v>
      </c>
      <c r="D322" t="s">
        <v>169</v>
      </c>
      <c r="E322" t="s">
        <v>2165</v>
      </c>
      <c r="F322" t="s">
        <v>5</v>
      </c>
      <c r="G322" t="s">
        <v>2845</v>
      </c>
      <c r="H322" t="s">
        <v>221</v>
      </c>
      <c r="I322" t="s">
        <v>256</v>
      </c>
      <c r="J322" t="s">
        <v>275</v>
      </c>
      <c r="K322" t="s">
        <v>2446</v>
      </c>
      <c r="L322" s="84">
        <v>42171</v>
      </c>
      <c r="M322" t="s">
        <v>381</v>
      </c>
      <c r="N322" t="s">
        <v>266</v>
      </c>
      <c r="O322">
        <v>3</v>
      </c>
      <c r="P322" t="s">
        <v>2447</v>
      </c>
      <c r="Q322" t="s">
        <v>2448</v>
      </c>
      <c r="R322" t="s">
        <v>2449</v>
      </c>
      <c r="S322" t="s">
        <v>2450</v>
      </c>
      <c r="T322" t="s">
        <v>33</v>
      </c>
      <c r="U322" t="s">
        <v>80</v>
      </c>
      <c r="V322">
        <v>42</v>
      </c>
      <c r="W322">
        <v>82</v>
      </c>
      <c r="X322">
        <v>120</v>
      </c>
      <c r="Y322">
        <v>68</v>
      </c>
      <c r="Z322">
        <v>175</v>
      </c>
      <c r="AA322">
        <v>91</v>
      </c>
      <c r="AB322" t="s">
        <v>370</v>
      </c>
      <c r="AC322" t="s">
        <v>237</v>
      </c>
      <c r="AD322" t="s">
        <v>210</v>
      </c>
      <c r="AE322" t="s">
        <v>183</v>
      </c>
      <c r="AF322">
        <v>1</v>
      </c>
    </row>
    <row r="323" spans="1:32">
      <c r="A323">
        <v>144</v>
      </c>
      <c r="B323">
        <v>1005</v>
      </c>
      <c r="C323" t="s">
        <v>1747</v>
      </c>
      <c r="D323" t="s">
        <v>169</v>
      </c>
      <c r="E323" t="s">
        <v>2165</v>
      </c>
      <c r="F323" t="s">
        <v>5</v>
      </c>
      <c r="G323" t="s">
        <v>2845</v>
      </c>
      <c r="H323" t="s">
        <v>221</v>
      </c>
      <c r="I323" t="s">
        <v>256</v>
      </c>
      <c r="J323" t="s">
        <v>275</v>
      </c>
      <c r="K323" t="s">
        <v>2446</v>
      </c>
      <c r="L323" s="84">
        <v>42171</v>
      </c>
      <c r="M323" t="s">
        <v>381</v>
      </c>
      <c r="N323" t="s">
        <v>266</v>
      </c>
      <c r="O323">
        <v>3</v>
      </c>
      <c r="P323" t="s">
        <v>2447</v>
      </c>
      <c r="Q323" t="s">
        <v>2448</v>
      </c>
      <c r="R323" t="s">
        <v>2449</v>
      </c>
      <c r="S323" t="s">
        <v>2450</v>
      </c>
      <c r="T323" t="s">
        <v>33</v>
      </c>
      <c r="U323" t="s">
        <v>80</v>
      </c>
      <c r="V323">
        <v>42</v>
      </c>
      <c r="W323">
        <v>82</v>
      </c>
      <c r="X323">
        <v>120</v>
      </c>
      <c r="Y323">
        <v>68</v>
      </c>
      <c r="Z323">
        <v>175</v>
      </c>
      <c r="AA323">
        <v>91</v>
      </c>
      <c r="AB323" t="s">
        <v>370</v>
      </c>
      <c r="AC323" t="s">
        <v>237</v>
      </c>
      <c r="AD323" t="s">
        <v>210</v>
      </c>
      <c r="AE323" t="s">
        <v>183</v>
      </c>
      <c r="AF323">
        <v>1</v>
      </c>
    </row>
    <row r="324" spans="1:32">
      <c r="A324">
        <v>144</v>
      </c>
      <c r="B324">
        <v>1005</v>
      </c>
      <c r="C324" t="s">
        <v>1747</v>
      </c>
      <c r="D324" t="s">
        <v>169</v>
      </c>
      <c r="E324" t="s">
        <v>2165</v>
      </c>
      <c r="F324" t="s">
        <v>5</v>
      </c>
      <c r="G324" t="s">
        <v>2845</v>
      </c>
      <c r="H324" t="s">
        <v>221</v>
      </c>
      <c r="I324" t="s">
        <v>256</v>
      </c>
      <c r="J324" t="s">
        <v>275</v>
      </c>
      <c r="K324" t="s">
        <v>2446</v>
      </c>
      <c r="L324" s="84">
        <v>42171</v>
      </c>
      <c r="M324" t="s">
        <v>381</v>
      </c>
      <c r="N324" t="s">
        <v>266</v>
      </c>
      <c r="O324">
        <v>3</v>
      </c>
      <c r="P324" t="s">
        <v>2447</v>
      </c>
      <c r="Q324" t="s">
        <v>2448</v>
      </c>
      <c r="R324" t="s">
        <v>2449</v>
      </c>
      <c r="S324" t="s">
        <v>2450</v>
      </c>
      <c r="T324" t="s">
        <v>33</v>
      </c>
      <c r="U324" t="s">
        <v>80</v>
      </c>
      <c r="V324">
        <v>42</v>
      </c>
      <c r="W324">
        <v>82</v>
      </c>
      <c r="X324">
        <v>120</v>
      </c>
      <c r="Y324">
        <v>68</v>
      </c>
      <c r="Z324">
        <v>175</v>
      </c>
      <c r="AA324">
        <v>91</v>
      </c>
      <c r="AB324" t="s">
        <v>370</v>
      </c>
      <c r="AC324" t="s">
        <v>237</v>
      </c>
      <c r="AD324" t="s">
        <v>210</v>
      </c>
      <c r="AE324" t="s">
        <v>183</v>
      </c>
      <c r="AF324">
        <v>1</v>
      </c>
    </row>
    <row r="325" spans="1:32">
      <c r="A325">
        <v>144</v>
      </c>
      <c r="B325">
        <v>1005</v>
      </c>
      <c r="C325" t="s">
        <v>1747</v>
      </c>
      <c r="D325" t="s">
        <v>169</v>
      </c>
      <c r="E325" t="s">
        <v>2165</v>
      </c>
      <c r="F325" t="s">
        <v>5</v>
      </c>
      <c r="G325" t="s">
        <v>2845</v>
      </c>
      <c r="H325" t="s">
        <v>221</v>
      </c>
      <c r="I325" t="s">
        <v>256</v>
      </c>
      <c r="J325" t="s">
        <v>275</v>
      </c>
      <c r="K325" t="s">
        <v>2446</v>
      </c>
      <c r="L325" s="84">
        <v>42171</v>
      </c>
      <c r="M325" t="s">
        <v>381</v>
      </c>
      <c r="N325" t="s">
        <v>266</v>
      </c>
      <c r="O325">
        <v>3</v>
      </c>
      <c r="P325" t="s">
        <v>2447</v>
      </c>
      <c r="Q325" t="s">
        <v>2448</v>
      </c>
      <c r="R325" t="s">
        <v>2449</v>
      </c>
      <c r="S325" t="s">
        <v>2450</v>
      </c>
      <c r="T325" t="s">
        <v>33</v>
      </c>
      <c r="U325" t="s">
        <v>80</v>
      </c>
      <c r="V325">
        <v>42</v>
      </c>
      <c r="W325">
        <v>82</v>
      </c>
      <c r="X325">
        <v>120</v>
      </c>
      <c r="Y325">
        <v>68</v>
      </c>
      <c r="Z325">
        <v>175</v>
      </c>
      <c r="AA325">
        <v>91</v>
      </c>
      <c r="AB325" t="s">
        <v>370</v>
      </c>
      <c r="AC325" t="s">
        <v>237</v>
      </c>
      <c r="AD325" t="s">
        <v>210</v>
      </c>
      <c r="AE325" t="s">
        <v>183</v>
      </c>
      <c r="AF325">
        <v>1</v>
      </c>
    </row>
    <row r="326" spans="1:32">
      <c r="A326">
        <v>144</v>
      </c>
      <c r="B326">
        <v>1005</v>
      </c>
      <c r="C326" t="s">
        <v>1747</v>
      </c>
      <c r="D326" t="s">
        <v>169</v>
      </c>
      <c r="E326" t="s">
        <v>2165</v>
      </c>
      <c r="F326" t="s">
        <v>5</v>
      </c>
      <c r="G326" t="s">
        <v>2845</v>
      </c>
      <c r="H326" t="s">
        <v>221</v>
      </c>
      <c r="I326" t="s">
        <v>256</v>
      </c>
      <c r="J326" t="s">
        <v>275</v>
      </c>
      <c r="K326" t="s">
        <v>2446</v>
      </c>
      <c r="L326" s="84">
        <v>42171</v>
      </c>
      <c r="M326" t="s">
        <v>381</v>
      </c>
      <c r="N326" t="s">
        <v>266</v>
      </c>
      <c r="O326">
        <v>3</v>
      </c>
      <c r="P326" t="s">
        <v>2447</v>
      </c>
      <c r="Q326" t="s">
        <v>2448</v>
      </c>
      <c r="R326" t="s">
        <v>2449</v>
      </c>
      <c r="S326" t="s">
        <v>2450</v>
      </c>
      <c r="T326" t="s">
        <v>33</v>
      </c>
      <c r="U326" t="s">
        <v>80</v>
      </c>
      <c r="V326">
        <v>42</v>
      </c>
      <c r="W326">
        <v>82</v>
      </c>
      <c r="X326">
        <v>120</v>
      </c>
      <c r="Y326">
        <v>68</v>
      </c>
      <c r="Z326">
        <v>175</v>
      </c>
      <c r="AA326">
        <v>91</v>
      </c>
      <c r="AB326" t="s">
        <v>370</v>
      </c>
      <c r="AC326" t="s">
        <v>237</v>
      </c>
      <c r="AD326" t="s">
        <v>210</v>
      </c>
      <c r="AE326" t="s">
        <v>183</v>
      </c>
      <c r="AF326">
        <v>1</v>
      </c>
    </row>
    <row r="327" spans="1:32">
      <c r="A327">
        <v>144</v>
      </c>
      <c r="B327">
        <v>1005</v>
      </c>
      <c r="C327" t="s">
        <v>1747</v>
      </c>
      <c r="D327" t="s">
        <v>169</v>
      </c>
      <c r="E327" t="s">
        <v>2165</v>
      </c>
      <c r="F327" t="s">
        <v>5</v>
      </c>
      <c r="G327" t="s">
        <v>2845</v>
      </c>
      <c r="H327" t="s">
        <v>221</v>
      </c>
      <c r="I327" t="s">
        <v>256</v>
      </c>
      <c r="J327" t="s">
        <v>275</v>
      </c>
      <c r="K327" t="s">
        <v>2446</v>
      </c>
      <c r="L327" s="84">
        <v>42171</v>
      </c>
      <c r="M327" t="s">
        <v>381</v>
      </c>
      <c r="N327" t="s">
        <v>266</v>
      </c>
      <c r="O327">
        <v>3</v>
      </c>
      <c r="P327" t="s">
        <v>2447</v>
      </c>
      <c r="Q327" t="s">
        <v>2448</v>
      </c>
      <c r="R327" t="s">
        <v>2449</v>
      </c>
      <c r="S327" t="s">
        <v>2450</v>
      </c>
      <c r="T327" t="s">
        <v>33</v>
      </c>
      <c r="U327" t="s">
        <v>80</v>
      </c>
      <c r="V327">
        <v>42</v>
      </c>
      <c r="W327">
        <v>82</v>
      </c>
      <c r="X327">
        <v>120</v>
      </c>
      <c r="Y327">
        <v>68</v>
      </c>
      <c r="Z327">
        <v>175</v>
      </c>
      <c r="AA327">
        <v>91</v>
      </c>
      <c r="AB327" t="s">
        <v>370</v>
      </c>
      <c r="AC327" t="s">
        <v>237</v>
      </c>
      <c r="AD327" t="s">
        <v>210</v>
      </c>
      <c r="AE327" t="s">
        <v>183</v>
      </c>
      <c r="AF327">
        <v>1</v>
      </c>
    </row>
    <row r="328" spans="1:32">
      <c r="A328">
        <v>144</v>
      </c>
      <c r="B328">
        <v>1005</v>
      </c>
      <c r="C328" t="s">
        <v>1747</v>
      </c>
      <c r="D328" t="s">
        <v>169</v>
      </c>
      <c r="E328" t="s">
        <v>2165</v>
      </c>
      <c r="F328" t="s">
        <v>5</v>
      </c>
      <c r="G328" t="s">
        <v>2845</v>
      </c>
      <c r="H328" t="s">
        <v>221</v>
      </c>
      <c r="I328" t="s">
        <v>256</v>
      </c>
      <c r="J328" t="s">
        <v>275</v>
      </c>
      <c r="K328" t="s">
        <v>2446</v>
      </c>
      <c r="L328" s="84">
        <v>42171</v>
      </c>
      <c r="M328" t="s">
        <v>381</v>
      </c>
      <c r="N328" t="s">
        <v>266</v>
      </c>
      <c r="O328">
        <v>3</v>
      </c>
      <c r="P328" t="s">
        <v>2447</v>
      </c>
      <c r="Q328" t="s">
        <v>2448</v>
      </c>
      <c r="R328" t="s">
        <v>2449</v>
      </c>
      <c r="S328" t="s">
        <v>2450</v>
      </c>
      <c r="T328" t="s">
        <v>33</v>
      </c>
      <c r="U328" t="s">
        <v>80</v>
      </c>
      <c r="V328">
        <v>42</v>
      </c>
      <c r="W328">
        <v>82</v>
      </c>
      <c r="X328">
        <v>120</v>
      </c>
      <c r="Y328">
        <v>68</v>
      </c>
      <c r="Z328">
        <v>175</v>
      </c>
      <c r="AA328">
        <v>91</v>
      </c>
      <c r="AB328" t="s">
        <v>370</v>
      </c>
      <c r="AC328" t="s">
        <v>237</v>
      </c>
      <c r="AD328" t="s">
        <v>210</v>
      </c>
      <c r="AE328" t="s">
        <v>183</v>
      </c>
      <c r="AF328">
        <v>1</v>
      </c>
    </row>
    <row r="329" spans="1:32">
      <c r="A329">
        <v>144</v>
      </c>
      <c r="B329">
        <v>1005</v>
      </c>
      <c r="C329" t="s">
        <v>1747</v>
      </c>
      <c r="D329" t="s">
        <v>169</v>
      </c>
      <c r="E329" t="s">
        <v>2165</v>
      </c>
      <c r="F329" t="s">
        <v>5</v>
      </c>
      <c r="G329" t="s">
        <v>2845</v>
      </c>
      <c r="H329" t="s">
        <v>221</v>
      </c>
      <c r="I329" t="s">
        <v>256</v>
      </c>
      <c r="J329" t="s">
        <v>275</v>
      </c>
      <c r="K329" t="s">
        <v>2446</v>
      </c>
      <c r="L329" s="84">
        <v>42171</v>
      </c>
      <c r="M329" t="s">
        <v>381</v>
      </c>
      <c r="N329" t="s">
        <v>266</v>
      </c>
      <c r="O329">
        <v>3</v>
      </c>
      <c r="P329" t="s">
        <v>2447</v>
      </c>
      <c r="Q329" t="s">
        <v>2448</v>
      </c>
      <c r="R329" t="s">
        <v>2449</v>
      </c>
      <c r="S329" t="s">
        <v>2450</v>
      </c>
      <c r="T329" t="s">
        <v>33</v>
      </c>
      <c r="U329" t="s">
        <v>80</v>
      </c>
      <c r="V329">
        <v>42</v>
      </c>
      <c r="W329">
        <v>82</v>
      </c>
      <c r="X329">
        <v>120</v>
      </c>
      <c r="Y329">
        <v>68</v>
      </c>
      <c r="Z329">
        <v>175</v>
      </c>
      <c r="AA329">
        <v>91</v>
      </c>
      <c r="AB329" t="s">
        <v>370</v>
      </c>
      <c r="AC329" t="s">
        <v>237</v>
      </c>
      <c r="AD329" t="s">
        <v>210</v>
      </c>
      <c r="AE329" t="s">
        <v>183</v>
      </c>
      <c r="AF329">
        <v>1</v>
      </c>
    </row>
    <row r="330" spans="1:32">
      <c r="A330">
        <v>144</v>
      </c>
      <c r="B330">
        <v>1005</v>
      </c>
      <c r="C330" t="s">
        <v>1747</v>
      </c>
      <c r="D330" t="s">
        <v>169</v>
      </c>
      <c r="E330" t="s">
        <v>2165</v>
      </c>
      <c r="F330" t="s">
        <v>5</v>
      </c>
      <c r="G330" t="s">
        <v>2845</v>
      </c>
      <c r="H330" t="s">
        <v>221</v>
      </c>
      <c r="I330" t="s">
        <v>256</v>
      </c>
      <c r="J330" t="s">
        <v>275</v>
      </c>
      <c r="K330" t="s">
        <v>2446</v>
      </c>
      <c r="L330" s="84">
        <v>42171</v>
      </c>
      <c r="M330" t="s">
        <v>381</v>
      </c>
      <c r="N330" t="s">
        <v>266</v>
      </c>
      <c r="O330">
        <v>3</v>
      </c>
      <c r="P330" t="s">
        <v>2447</v>
      </c>
      <c r="Q330" t="s">
        <v>2448</v>
      </c>
      <c r="R330" t="s">
        <v>2449</v>
      </c>
      <c r="S330" t="s">
        <v>2450</v>
      </c>
      <c r="T330" t="s">
        <v>33</v>
      </c>
      <c r="U330" t="s">
        <v>80</v>
      </c>
      <c r="V330">
        <v>42</v>
      </c>
      <c r="W330">
        <v>82</v>
      </c>
      <c r="X330">
        <v>120</v>
      </c>
      <c r="Y330">
        <v>68</v>
      </c>
      <c r="Z330">
        <v>175</v>
      </c>
      <c r="AA330">
        <v>91</v>
      </c>
      <c r="AB330" t="s">
        <v>370</v>
      </c>
      <c r="AC330" t="s">
        <v>237</v>
      </c>
      <c r="AD330" t="s">
        <v>210</v>
      </c>
      <c r="AE330" t="s">
        <v>183</v>
      </c>
      <c r="AF330">
        <v>1</v>
      </c>
    </row>
    <row r="331" spans="1:32">
      <c r="A331">
        <v>144</v>
      </c>
      <c r="B331">
        <v>1005</v>
      </c>
      <c r="C331" t="s">
        <v>1747</v>
      </c>
      <c r="D331" t="s">
        <v>169</v>
      </c>
      <c r="E331" t="s">
        <v>2165</v>
      </c>
      <c r="F331" t="s">
        <v>5</v>
      </c>
      <c r="G331" t="s">
        <v>2845</v>
      </c>
      <c r="H331" t="s">
        <v>221</v>
      </c>
      <c r="I331" t="s">
        <v>256</v>
      </c>
      <c r="J331" t="s">
        <v>275</v>
      </c>
      <c r="K331" t="s">
        <v>2446</v>
      </c>
      <c r="L331" s="84">
        <v>42171</v>
      </c>
      <c r="M331" t="s">
        <v>381</v>
      </c>
      <c r="N331" t="s">
        <v>266</v>
      </c>
      <c r="O331">
        <v>3</v>
      </c>
      <c r="P331" t="s">
        <v>2447</v>
      </c>
      <c r="Q331" t="s">
        <v>2448</v>
      </c>
      <c r="R331" t="s">
        <v>2449</v>
      </c>
      <c r="S331" t="s">
        <v>2450</v>
      </c>
      <c r="T331" t="s">
        <v>33</v>
      </c>
      <c r="U331" t="s">
        <v>80</v>
      </c>
      <c r="V331">
        <v>42</v>
      </c>
      <c r="W331">
        <v>82</v>
      </c>
      <c r="X331">
        <v>120</v>
      </c>
      <c r="Y331">
        <v>68</v>
      </c>
      <c r="Z331">
        <v>175</v>
      </c>
      <c r="AA331">
        <v>91</v>
      </c>
      <c r="AB331" t="s">
        <v>370</v>
      </c>
      <c r="AC331" t="s">
        <v>237</v>
      </c>
      <c r="AD331" t="s">
        <v>210</v>
      </c>
      <c r="AE331" t="s">
        <v>183</v>
      </c>
      <c r="AF331">
        <v>1</v>
      </c>
    </row>
    <row r="332" spans="1:32">
      <c r="A332">
        <v>144</v>
      </c>
      <c r="B332">
        <v>1005</v>
      </c>
      <c r="C332" t="s">
        <v>1747</v>
      </c>
      <c r="D332" t="s">
        <v>169</v>
      </c>
      <c r="E332" t="s">
        <v>2165</v>
      </c>
      <c r="F332" t="s">
        <v>5</v>
      </c>
      <c r="G332" t="s">
        <v>2845</v>
      </c>
      <c r="H332" t="s">
        <v>221</v>
      </c>
      <c r="I332" t="s">
        <v>256</v>
      </c>
      <c r="J332" t="s">
        <v>275</v>
      </c>
      <c r="K332" t="s">
        <v>2446</v>
      </c>
      <c r="L332" s="84">
        <v>42171</v>
      </c>
      <c r="M332" t="s">
        <v>381</v>
      </c>
      <c r="N332" t="s">
        <v>266</v>
      </c>
      <c r="O332">
        <v>3</v>
      </c>
      <c r="P332" t="s">
        <v>2447</v>
      </c>
      <c r="Q332" t="s">
        <v>2448</v>
      </c>
      <c r="R332" t="s">
        <v>2449</v>
      </c>
      <c r="S332" t="s">
        <v>2450</v>
      </c>
      <c r="T332" t="s">
        <v>33</v>
      </c>
      <c r="U332" t="s">
        <v>80</v>
      </c>
      <c r="V332">
        <v>42</v>
      </c>
      <c r="W332">
        <v>82</v>
      </c>
      <c r="X332">
        <v>120</v>
      </c>
      <c r="Y332">
        <v>68</v>
      </c>
      <c r="Z332">
        <v>175</v>
      </c>
      <c r="AA332">
        <v>91</v>
      </c>
      <c r="AB332" t="s">
        <v>370</v>
      </c>
      <c r="AC332" t="s">
        <v>237</v>
      </c>
      <c r="AD332" t="s">
        <v>210</v>
      </c>
      <c r="AE332" t="s">
        <v>183</v>
      </c>
      <c r="AF332">
        <v>1</v>
      </c>
    </row>
    <row r="333" spans="1:32">
      <c r="A333">
        <v>144</v>
      </c>
      <c r="B333">
        <v>1005</v>
      </c>
      <c r="C333" t="s">
        <v>1747</v>
      </c>
      <c r="D333" t="s">
        <v>169</v>
      </c>
      <c r="E333" t="s">
        <v>2165</v>
      </c>
      <c r="F333" t="s">
        <v>5</v>
      </c>
      <c r="G333" t="s">
        <v>2845</v>
      </c>
      <c r="H333" t="s">
        <v>221</v>
      </c>
      <c r="I333" t="s">
        <v>256</v>
      </c>
      <c r="J333" t="s">
        <v>275</v>
      </c>
      <c r="K333" t="s">
        <v>2446</v>
      </c>
      <c r="L333" s="84">
        <v>42171</v>
      </c>
      <c r="M333" t="s">
        <v>381</v>
      </c>
      <c r="N333" t="s">
        <v>266</v>
      </c>
      <c r="O333">
        <v>3</v>
      </c>
      <c r="P333" t="s">
        <v>2447</v>
      </c>
      <c r="Q333" t="s">
        <v>2448</v>
      </c>
      <c r="R333" t="s">
        <v>2449</v>
      </c>
      <c r="S333" t="s">
        <v>2450</v>
      </c>
      <c r="T333" t="s">
        <v>33</v>
      </c>
      <c r="U333" t="s">
        <v>80</v>
      </c>
      <c r="V333">
        <v>42</v>
      </c>
      <c r="W333">
        <v>82</v>
      </c>
      <c r="X333">
        <v>120</v>
      </c>
      <c r="Y333">
        <v>68</v>
      </c>
      <c r="Z333">
        <v>175</v>
      </c>
      <c r="AA333">
        <v>91</v>
      </c>
      <c r="AB333" t="s">
        <v>370</v>
      </c>
      <c r="AC333" t="s">
        <v>237</v>
      </c>
      <c r="AD333" t="s">
        <v>210</v>
      </c>
      <c r="AE333" t="s">
        <v>183</v>
      </c>
      <c r="AF333">
        <v>1</v>
      </c>
    </row>
    <row r="334" spans="1:32">
      <c r="A334">
        <v>144</v>
      </c>
      <c r="B334">
        <v>1005</v>
      </c>
      <c r="C334" t="s">
        <v>1747</v>
      </c>
      <c r="D334" t="s">
        <v>169</v>
      </c>
      <c r="E334" t="s">
        <v>2165</v>
      </c>
      <c r="F334" t="s">
        <v>5</v>
      </c>
      <c r="G334" t="s">
        <v>2845</v>
      </c>
      <c r="H334" t="s">
        <v>221</v>
      </c>
      <c r="I334" t="s">
        <v>256</v>
      </c>
      <c r="J334" t="s">
        <v>275</v>
      </c>
      <c r="K334" t="s">
        <v>2446</v>
      </c>
      <c r="L334" s="84">
        <v>42171</v>
      </c>
      <c r="M334" t="s">
        <v>381</v>
      </c>
      <c r="N334" t="s">
        <v>266</v>
      </c>
      <c r="O334">
        <v>3</v>
      </c>
      <c r="P334" t="s">
        <v>2447</v>
      </c>
      <c r="Q334" t="s">
        <v>2448</v>
      </c>
      <c r="R334" t="s">
        <v>2449</v>
      </c>
      <c r="S334" t="s">
        <v>2450</v>
      </c>
      <c r="T334" t="s">
        <v>33</v>
      </c>
      <c r="U334" t="s">
        <v>80</v>
      </c>
      <c r="V334">
        <v>42</v>
      </c>
      <c r="W334">
        <v>82</v>
      </c>
      <c r="X334">
        <v>120</v>
      </c>
      <c r="Y334">
        <v>68</v>
      </c>
      <c r="Z334">
        <v>175</v>
      </c>
      <c r="AA334">
        <v>91</v>
      </c>
      <c r="AB334" t="s">
        <v>370</v>
      </c>
      <c r="AC334" t="s">
        <v>237</v>
      </c>
      <c r="AD334" t="s">
        <v>210</v>
      </c>
      <c r="AE334" t="s">
        <v>183</v>
      </c>
      <c r="AF334">
        <v>1</v>
      </c>
    </row>
    <row r="335" spans="1:32">
      <c r="A335">
        <v>144</v>
      </c>
      <c r="B335">
        <v>1005</v>
      </c>
      <c r="C335" t="s">
        <v>1747</v>
      </c>
      <c r="D335" t="s">
        <v>169</v>
      </c>
      <c r="E335" t="s">
        <v>2165</v>
      </c>
      <c r="F335" t="s">
        <v>37</v>
      </c>
      <c r="G335" t="s">
        <v>2451</v>
      </c>
      <c r="H335" t="s">
        <v>192</v>
      </c>
      <c r="I335" t="s">
        <v>173</v>
      </c>
      <c r="J335" t="s">
        <v>223</v>
      </c>
      <c r="K335" t="s">
        <v>2446</v>
      </c>
      <c r="L335" s="84">
        <v>42171</v>
      </c>
      <c r="M335" t="s">
        <v>381</v>
      </c>
      <c r="N335" t="s">
        <v>266</v>
      </c>
      <c r="O335">
        <v>3</v>
      </c>
      <c r="P335" t="s">
        <v>2447</v>
      </c>
      <c r="Q335" t="s">
        <v>2448</v>
      </c>
      <c r="R335" t="s">
        <v>2449</v>
      </c>
      <c r="S335" t="s">
        <v>2450</v>
      </c>
      <c r="T335" t="s">
        <v>37</v>
      </c>
      <c r="U335" t="s">
        <v>80</v>
      </c>
      <c r="V335">
        <v>42</v>
      </c>
      <c r="W335">
        <v>82</v>
      </c>
      <c r="X335">
        <v>120</v>
      </c>
      <c r="Y335">
        <v>68</v>
      </c>
      <c r="Z335">
        <v>175</v>
      </c>
      <c r="AA335">
        <v>91</v>
      </c>
      <c r="AB335" t="s">
        <v>370</v>
      </c>
      <c r="AC335" t="s">
        <v>237</v>
      </c>
      <c r="AD335" t="s">
        <v>210</v>
      </c>
      <c r="AE335" t="s">
        <v>183</v>
      </c>
      <c r="AF335">
        <v>1</v>
      </c>
    </row>
    <row r="336" spans="1:32">
      <c r="A336">
        <v>144</v>
      </c>
      <c r="B336">
        <v>1005</v>
      </c>
      <c r="C336" t="s">
        <v>1747</v>
      </c>
      <c r="D336" t="s">
        <v>169</v>
      </c>
      <c r="E336" t="s">
        <v>2165</v>
      </c>
      <c r="F336" t="s">
        <v>37</v>
      </c>
      <c r="G336" t="s">
        <v>2451</v>
      </c>
      <c r="H336" t="s">
        <v>192</v>
      </c>
      <c r="I336" t="s">
        <v>173</v>
      </c>
      <c r="J336" t="s">
        <v>223</v>
      </c>
      <c r="K336" t="s">
        <v>2446</v>
      </c>
      <c r="L336" s="84">
        <v>42171</v>
      </c>
      <c r="M336" t="s">
        <v>381</v>
      </c>
      <c r="N336" t="s">
        <v>266</v>
      </c>
      <c r="O336">
        <v>3</v>
      </c>
      <c r="P336" t="s">
        <v>2447</v>
      </c>
      <c r="Q336" t="s">
        <v>2448</v>
      </c>
      <c r="R336" t="s">
        <v>2449</v>
      </c>
      <c r="S336" t="s">
        <v>2450</v>
      </c>
      <c r="T336" t="s">
        <v>37</v>
      </c>
      <c r="U336" t="s">
        <v>80</v>
      </c>
      <c r="V336">
        <v>42</v>
      </c>
      <c r="W336">
        <v>82</v>
      </c>
      <c r="X336">
        <v>120</v>
      </c>
      <c r="Y336">
        <v>68</v>
      </c>
      <c r="Z336">
        <v>175</v>
      </c>
      <c r="AA336">
        <v>91</v>
      </c>
      <c r="AB336" t="s">
        <v>370</v>
      </c>
      <c r="AC336" t="s">
        <v>237</v>
      </c>
      <c r="AD336" t="s">
        <v>210</v>
      </c>
      <c r="AE336" t="s">
        <v>183</v>
      </c>
      <c r="AF336">
        <v>1</v>
      </c>
    </row>
    <row r="337" spans="1:32">
      <c r="A337">
        <v>144</v>
      </c>
      <c r="B337">
        <v>1005</v>
      </c>
      <c r="C337" t="s">
        <v>1747</v>
      </c>
      <c r="D337" t="s">
        <v>169</v>
      </c>
      <c r="E337" t="s">
        <v>2165</v>
      </c>
      <c r="F337" t="s">
        <v>37</v>
      </c>
      <c r="G337" t="s">
        <v>2451</v>
      </c>
      <c r="H337" t="s">
        <v>192</v>
      </c>
      <c r="I337" t="s">
        <v>173</v>
      </c>
      <c r="J337" t="s">
        <v>223</v>
      </c>
      <c r="K337" t="s">
        <v>2446</v>
      </c>
      <c r="L337" s="84">
        <v>42171</v>
      </c>
      <c r="M337" t="s">
        <v>381</v>
      </c>
      <c r="N337" t="s">
        <v>266</v>
      </c>
      <c r="O337">
        <v>3</v>
      </c>
      <c r="P337" t="s">
        <v>2447</v>
      </c>
      <c r="Q337" t="s">
        <v>2448</v>
      </c>
      <c r="R337" t="s">
        <v>2449</v>
      </c>
      <c r="S337" t="s">
        <v>2450</v>
      </c>
      <c r="T337" t="s">
        <v>37</v>
      </c>
      <c r="U337" t="s">
        <v>80</v>
      </c>
      <c r="V337">
        <v>42</v>
      </c>
      <c r="W337">
        <v>82</v>
      </c>
      <c r="X337">
        <v>120</v>
      </c>
      <c r="Y337">
        <v>68</v>
      </c>
      <c r="Z337">
        <v>175</v>
      </c>
      <c r="AA337">
        <v>91</v>
      </c>
      <c r="AB337" t="s">
        <v>370</v>
      </c>
      <c r="AC337" t="s">
        <v>237</v>
      </c>
      <c r="AD337" t="s">
        <v>210</v>
      </c>
      <c r="AE337" t="s">
        <v>183</v>
      </c>
      <c r="AF337">
        <v>1</v>
      </c>
    </row>
    <row r="338" spans="1:32">
      <c r="A338">
        <v>144</v>
      </c>
      <c r="B338">
        <v>1005</v>
      </c>
      <c r="C338" t="s">
        <v>1747</v>
      </c>
      <c r="D338" t="s">
        <v>169</v>
      </c>
      <c r="E338" t="s">
        <v>2165</v>
      </c>
      <c r="F338" t="s">
        <v>37</v>
      </c>
      <c r="G338" t="s">
        <v>2451</v>
      </c>
      <c r="H338" t="s">
        <v>192</v>
      </c>
      <c r="I338" t="s">
        <v>173</v>
      </c>
      <c r="J338" t="s">
        <v>223</v>
      </c>
      <c r="K338" t="s">
        <v>2446</v>
      </c>
      <c r="L338" s="84">
        <v>42171</v>
      </c>
      <c r="M338" t="s">
        <v>381</v>
      </c>
      <c r="N338" t="s">
        <v>266</v>
      </c>
      <c r="O338">
        <v>3</v>
      </c>
      <c r="P338" t="s">
        <v>2447</v>
      </c>
      <c r="Q338" t="s">
        <v>2448</v>
      </c>
      <c r="R338" t="s">
        <v>2449</v>
      </c>
      <c r="S338" t="s">
        <v>2450</v>
      </c>
      <c r="T338" t="s">
        <v>37</v>
      </c>
      <c r="U338" t="s">
        <v>80</v>
      </c>
      <c r="V338">
        <v>42</v>
      </c>
      <c r="W338">
        <v>82</v>
      </c>
      <c r="X338">
        <v>120</v>
      </c>
      <c r="Y338">
        <v>68</v>
      </c>
      <c r="Z338">
        <v>175</v>
      </c>
      <c r="AA338">
        <v>91</v>
      </c>
      <c r="AB338" t="s">
        <v>370</v>
      </c>
      <c r="AC338" t="s">
        <v>237</v>
      </c>
      <c r="AD338" t="s">
        <v>210</v>
      </c>
      <c r="AE338" t="s">
        <v>183</v>
      </c>
      <c r="AF338">
        <v>1</v>
      </c>
    </row>
    <row r="339" spans="1:32">
      <c r="A339">
        <v>144</v>
      </c>
      <c r="B339">
        <v>1005</v>
      </c>
      <c r="C339" t="s">
        <v>1747</v>
      </c>
      <c r="D339" t="s">
        <v>169</v>
      </c>
      <c r="E339" t="s">
        <v>2165</v>
      </c>
      <c r="F339" t="s">
        <v>37</v>
      </c>
      <c r="G339" t="s">
        <v>2451</v>
      </c>
      <c r="H339" t="s">
        <v>192</v>
      </c>
      <c r="I339" t="s">
        <v>173</v>
      </c>
      <c r="J339" t="s">
        <v>223</v>
      </c>
      <c r="K339" t="s">
        <v>2446</v>
      </c>
      <c r="L339" s="84">
        <v>42171</v>
      </c>
      <c r="M339" t="s">
        <v>381</v>
      </c>
      <c r="N339" t="s">
        <v>266</v>
      </c>
      <c r="O339">
        <v>3</v>
      </c>
      <c r="P339" t="s">
        <v>2447</v>
      </c>
      <c r="Q339" t="s">
        <v>2448</v>
      </c>
      <c r="R339" t="s">
        <v>2449</v>
      </c>
      <c r="S339" t="s">
        <v>2450</v>
      </c>
      <c r="T339" t="s">
        <v>37</v>
      </c>
      <c r="U339" t="s">
        <v>80</v>
      </c>
      <c r="V339">
        <v>42</v>
      </c>
      <c r="W339">
        <v>82</v>
      </c>
      <c r="X339">
        <v>120</v>
      </c>
      <c r="Y339">
        <v>68</v>
      </c>
      <c r="Z339">
        <v>175</v>
      </c>
      <c r="AA339">
        <v>91</v>
      </c>
      <c r="AB339" t="s">
        <v>370</v>
      </c>
      <c r="AC339" t="s">
        <v>237</v>
      </c>
      <c r="AD339" t="s">
        <v>210</v>
      </c>
      <c r="AE339" t="s">
        <v>183</v>
      </c>
      <c r="AF339">
        <v>1</v>
      </c>
    </row>
    <row r="340" spans="1:32">
      <c r="A340">
        <v>144</v>
      </c>
      <c r="B340">
        <v>1005</v>
      </c>
      <c r="C340" t="s">
        <v>1747</v>
      </c>
      <c r="D340" t="s">
        <v>169</v>
      </c>
      <c r="E340" t="s">
        <v>2165</v>
      </c>
      <c r="F340" t="s">
        <v>37</v>
      </c>
      <c r="G340" t="s">
        <v>2451</v>
      </c>
      <c r="H340" t="s">
        <v>192</v>
      </c>
      <c r="I340" t="s">
        <v>173</v>
      </c>
      <c r="J340" t="s">
        <v>223</v>
      </c>
      <c r="K340" t="s">
        <v>2446</v>
      </c>
      <c r="L340" s="84">
        <v>42171</v>
      </c>
      <c r="M340" t="s">
        <v>381</v>
      </c>
      <c r="N340" t="s">
        <v>266</v>
      </c>
      <c r="O340">
        <v>3</v>
      </c>
      <c r="P340" t="s">
        <v>2447</v>
      </c>
      <c r="Q340" t="s">
        <v>2448</v>
      </c>
      <c r="R340" t="s">
        <v>2449</v>
      </c>
      <c r="S340" t="s">
        <v>2450</v>
      </c>
      <c r="T340" t="s">
        <v>37</v>
      </c>
      <c r="U340" t="s">
        <v>80</v>
      </c>
      <c r="V340">
        <v>42</v>
      </c>
      <c r="W340">
        <v>82</v>
      </c>
      <c r="X340">
        <v>120</v>
      </c>
      <c r="Y340">
        <v>68</v>
      </c>
      <c r="Z340">
        <v>175</v>
      </c>
      <c r="AA340">
        <v>91</v>
      </c>
      <c r="AB340" t="s">
        <v>370</v>
      </c>
      <c r="AC340" t="s">
        <v>237</v>
      </c>
      <c r="AD340" t="s">
        <v>210</v>
      </c>
      <c r="AE340" t="s">
        <v>183</v>
      </c>
      <c r="AF340">
        <v>1</v>
      </c>
    </row>
    <row r="341" spans="1:32">
      <c r="A341">
        <v>144</v>
      </c>
      <c r="B341">
        <v>1005</v>
      </c>
      <c r="C341" t="s">
        <v>1747</v>
      </c>
      <c r="D341" t="s">
        <v>169</v>
      </c>
      <c r="E341" t="s">
        <v>2165</v>
      </c>
      <c r="F341" t="s">
        <v>37</v>
      </c>
      <c r="G341" t="s">
        <v>2451</v>
      </c>
      <c r="H341" t="s">
        <v>192</v>
      </c>
      <c r="I341" t="s">
        <v>173</v>
      </c>
      <c r="J341" t="s">
        <v>223</v>
      </c>
      <c r="K341" t="s">
        <v>2446</v>
      </c>
      <c r="L341" s="84">
        <v>42171</v>
      </c>
      <c r="M341" t="s">
        <v>381</v>
      </c>
      <c r="N341" t="s">
        <v>266</v>
      </c>
      <c r="O341">
        <v>3</v>
      </c>
      <c r="P341" t="s">
        <v>2447</v>
      </c>
      <c r="Q341" t="s">
        <v>2448</v>
      </c>
      <c r="R341" t="s">
        <v>2449</v>
      </c>
      <c r="S341" t="s">
        <v>2450</v>
      </c>
      <c r="T341" t="s">
        <v>37</v>
      </c>
      <c r="U341" t="s">
        <v>80</v>
      </c>
      <c r="V341">
        <v>42</v>
      </c>
      <c r="W341">
        <v>82</v>
      </c>
      <c r="X341">
        <v>120</v>
      </c>
      <c r="Y341">
        <v>68</v>
      </c>
      <c r="Z341">
        <v>175</v>
      </c>
      <c r="AA341">
        <v>91</v>
      </c>
      <c r="AB341" t="s">
        <v>370</v>
      </c>
      <c r="AC341" t="s">
        <v>237</v>
      </c>
      <c r="AD341" t="s">
        <v>210</v>
      </c>
      <c r="AE341" t="s">
        <v>183</v>
      </c>
      <c r="AF341">
        <v>1</v>
      </c>
    </row>
    <row r="342" spans="1:32">
      <c r="A342">
        <v>144</v>
      </c>
      <c r="B342">
        <v>1005</v>
      </c>
      <c r="C342" t="s">
        <v>1747</v>
      </c>
      <c r="D342" t="s">
        <v>169</v>
      </c>
      <c r="E342" t="s">
        <v>2165</v>
      </c>
      <c r="F342" t="s">
        <v>37</v>
      </c>
      <c r="G342" t="s">
        <v>2451</v>
      </c>
      <c r="H342" t="s">
        <v>192</v>
      </c>
      <c r="I342" t="s">
        <v>173</v>
      </c>
      <c r="J342" t="s">
        <v>223</v>
      </c>
      <c r="K342" t="s">
        <v>2446</v>
      </c>
      <c r="L342" s="84">
        <v>42171</v>
      </c>
      <c r="M342" t="s">
        <v>381</v>
      </c>
      <c r="N342" t="s">
        <v>266</v>
      </c>
      <c r="O342">
        <v>3</v>
      </c>
      <c r="P342" t="s">
        <v>2447</v>
      </c>
      <c r="Q342" t="s">
        <v>2448</v>
      </c>
      <c r="R342" t="s">
        <v>2449</v>
      </c>
      <c r="S342" t="s">
        <v>2450</v>
      </c>
      <c r="T342" t="s">
        <v>37</v>
      </c>
      <c r="U342" t="s">
        <v>80</v>
      </c>
      <c r="V342">
        <v>42</v>
      </c>
      <c r="W342">
        <v>82</v>
      </c>
      <c r="X342">
        <v>120</v>
      </c>
      <c r="Y342">
        <v>68</v>
      </c>
      <c r="Z342">
        <v>175</v>
      </c>
      <c r="AA342">
        <v>91</v>
      </c>
      <c r="AB342" t="s">
        <v>370</v>
      </c>
      <c r="AC342" t="s">
        <v>237</v>
      </c>
      <c r="AD342" t="s">
        <v>210</v>
      </c>
      <c r="AE342" t="s">
        <v>183</v>
      </c>
      <c r="AF342">
        <v>1</v>
      </c>
    </row>
    <row r="343" spans="1:32">
      <c r="A343">
        <v>144</v>
      </c>
      <c r="B343">
        <v>1005</v>
      </c>
      <c r="C343" t="s">
        <v>1747</v>
      </c>
      <c r="D343" t="s">
        <v>169</v>
      </c>
      <c r="E343" t="s">
        <v>2165</v>
      </c>
      <c r="F343" t="s">
        <v>37</v>
      </c>
      <c r="G343" t="s">
        <v>2451</v>
      </c>
      <c r="H343" t="s">
        <v>192</v>
      </c>
      <c r="I343" t="s">
        <v>173</v>
      </c>
      <c r="J343" t="s">
        <v>223</v>
      </c>
      <c r="K343" t="s">
        <v>2446</v>
      </c>
      <c r="L343" s="84">
        <v>42171</v>
      </c>
      <c r="M343" t="s">
        <v>381</v>
      </c>
      <c r="N343" t="s">
        <v>266</v>
      </c>
      <c r="O343">
        <v>3</v>
      </c>
      <c r="P343" t="s">
        <v>2447</v>
      </c>
      <c r="Q343" t="s">
        <v>2448</v>
      </c>
      <c r="R343" t="s">
        <v>2449</v>
      </c>
      <c r="S343" t="s">
        <v>2450</v>
      </c>
      <c r="T343" t="s">
        <v>37</v>
      </c>
      <c r="U343" t="s">
        <v>80</v>
      </c>
      <c r="V343">
        <v>42</v>
      </c>
      <c r="W343">
        <v>82</v>
      </c>
      <c r="X343">
        <v>120</v>
      </c>
      <c r="Y343">
        <v>68</v>
      </c>
      <c r="Z343">
        <v>175</v>
      </c>
      <c r="AA343">
        <v>91</v>
      </c>
      <c r="AB343" t="s">
        <v>370</v>
      </c>
      <c r="AC343" t="s">
        <v>237</v>
      </c>
      <c r="AD343" t="s">
        <v>210</v>
      </c>
      <c r="AE343" t="s">
        <v>183</v>
      </c>
      <c r="AF343">
        <v>1</v>
      </c>
    </row>
    <row r="344" spans="1:32">
      <c r="A344">
        <v>144</v>
      </c>
      <c r="B344">
        <v>1005</v>
      </c>
      <c r="C344" t="s">
        <v>1747</v>
      </c>
      <c r="D344" t="s">
        <v>169</v>
      </c>
      <c r="E344" t="s">
        <v>2165</v>
      </c>
      <c r="F344" t="s">
        <v>37</v>
      </c>
      <c r="G344" t="s">
        <v>2451</v>
      </c>
      <c r="H344" t="s">
        <v>192</v>
      </c>
      <c r="I344" t="s">
        <v>173</v>
      </c>
      <c r="J344" t="s">
        <v>223</v>
      </c>
      <c r="K344" t="s">
        <v>2446</v>
      </c>
      <c r="L344" s="84">
        <v>42171</v>
      </c>
      <c r="M344" t="s">
        <v>381</v>
      </c>
      <c r="N344" t="s">
        <v>266</v>
      </c>
      <c r="O344">
        <v>3</v>
      </c>
      <c r="P344" t="s">
        <v>2447</v>
      </c>
      <c r="Q344" t="s">
        <v>2448</v>
      </c>
      <c r="R344" t="s">
        <v>2449</v>
      </c>
      <c r="S344" t="s">
        <v>2450</v>
      </c>
      <c r="T344" t="s">
        <v>37</v>
      </c>
      <c r="U344" t="s">
        <v>80</v>
      </c>
      <c r="V344">
        <v>42</v>
      </c>
      <c r="W344">
        <v>82</v>
      </c>
      <c r="X344">
        <v>120</v>
      </c>
      <c r="Y344">
        <v>68</v>
      </c>
      <c r="Z344">
        <v>175</v>
      </c>
      <c r="AA344">
        <v>91</v>
      </c>
      <c r="AB344" t="s">
        <v>370</v>
      </c>
      <c r="AC344" t="s">
        <v>237</v>
      </c>
      <c r="AD344" t="s">
        <v>210</v>
      </c>
      <c r="AE344" t="s">
        <v>183</v>
      </c>
      <c r="AF344">
        <v>1</v>
      </c>
    </row>
    <row r="345" spans="1:32">
      <c r="A345">
        <v>144</v>
      </c>
      <c r="B345">
        <v>1005</v>
      </c>
      <c r="C345" t="s">
        <v>1747</v>
      </c>
      <c r="D345" t="s">
        <v>169</v>
      </c>
      <c r="E345" t="s">
        <v>2165</v>
      </c>
      <c r="F345" t="s">
        <v>37</v>
      </c>
      <c r="G345" t="s">
        <v>2451</v>
      </c>
      <c r="H345" t="s">
        <v>192</v>
      </c>
      <c r="I345" t="s">
        <v>173</v>
      </c>
      <c r="J345" t="s">
        <v>223</v>
      </c>
      <c r="K345" t="s">
        <v>2446</v>
      </c>
      <c r="L345" s="84">
        <v>42171</v>
      </c>
      <c r="M345" t="s">
        <v>381</v>
      </c>
      <c r="N345" t="s">
        <v>266</v>
      </c>
      <c r="O345">
        <v>3</v>
      </c>
      <c r="P345" t="s">
        <v>2447</v>
      </c>
      <c r="Q345" t="s">
        <v>2448</v>
      </c>
      <c r="R345" t="s">
        <v>2449</v>
      </c>
      <c r="S345" t="s">
        <v>2450</v>
      </c>
      <c r="T345" t="s">
        <v>37</v>
      </c>
      <c r="U345" t="s">
        <v>80</v>
      </c>
      <c r="V345">
        <v>42</v>
      </c>
      <c r="W345">
        <v>82</v>
      </c>
      <c r="X345">
        <v>120</v>
      </c>
      <c r="Y345">
        <v>68</v>
      </c>
      <c r="Z345">
        <v>175</v>
      </c>
      <c r="AA345">
        <v>91</v>
      </c>
      <c r="AB345" t="s">
        <v>370</v>
      </c>
      <c r="AC345" t="s">
        <v>237</v>
      </c>
      <c r="AD345" t="s">
        <v>210</v>
      </c>
      <c r="AE345" t="s">
        <v>183</v>
      </c>
      <c r="AF345">
        <v>1</v>
      </c>
    </row>
    <row r="346" spans="1:32">
      <c r="A346">
        <v>144</v>
      </c>
      <c r="B346">
        <v>1005</v>
      </c>
      <c r="C346" t="s">
        <v>1747</v>
      </c>
      <c r="D346" t="s">
        <v>169</v>
      </c>
      <c r="E346" t="s">
        <v>2165</v>
      </c>
      <c r="F346" t="s">
        <v>37</v>
      </c>
      <c r="G346" t="s">
        <v>2451</v>
      </c>
      <c r="H346" t="s">
        <v>192</v>
      </c>
      <c r="I346" t="s">
        <v>173</v>
      </c>
      <c r="J346" t="s">
        <v>223</v>
      </c>
      <c r="K346" t="s">
        <v>2446</v>
      </c>
      <c r="L346" s="84">
        <v>42171</v>
      </c>
      <c r="M346" t="s">
        <v>381</v>
      </c>
      <c r="N346" t="s">
        <v>266</v>
      </c>
      <c r="O346">
        <v>3</v>
      </c>
      <c r="P346" t="s">
        <v>2447</v>
      </c>
      <c r="Q346" t="s">
        <v>2448</v>
      </c>
      <c r="R346" t="s">
        <v>2449</v>
      </c>
      <c r="S346" t="s">
        <v>2450</v>
      </c>
      <c r="T346" t="s">
        <v>37</v>
      </c>
      <c r="U346" t="s">
        <v>80</v>
      </c>
      <c r="V346">
        <v>42</v>
      </c>
      <c r="W346">
        <v>82</v>
      </c>
      <c r="X346">
        <v>120</v>
      </c>
      <c r="Y346">
        <v>68</v>
      </c>
      <c r="Z346">
        <v>175</v>
      </c>
      <c r="AA346">
        <v>91</v>
      </c>
      <c r="AB346" t="s">
        <v>370</v>
      </c>
      <c r="AC346" t="s">
        <v>237</v>
      </c>
      <c r="AD346" t="s">
        <v>210</v>
      </c>
      <c r="AE346" t="s">
        <v>183</v>
      </c>
      <c r="AF346">
        <v>1</v>
      </c>
    </row>
    <row r="347" spans="1:32">
      <c r="A347">
        <v>144</v>
      </c>
      <c r="B347">
        <v>1005</v>
      </c>
      <c r="C347" t="s">
        <v>1747</v>
      </c>
      <c r="D347" t="s">
        <v>169</v>
      </c>
      <c r="E347" t="s">
        <v>2165</v>
      </c>
      <c r="F347" t="s">
        <v>37</v>
      </c>
      <c r="G347" t="s">
        <v>2451</v>
      </c>
      <c r="H347" t="s">
        <v>192</v>
      </c>
      <c r="I347" t="s">
        <v>173</v>
      </c>
      <c r="J347" t="s">
        <v>223</v>
      </c>
      <c r="K347" t="s">
        <v>2446</v>
      </c>
      <c r="L347" s="84">
        <v>42171</v>
      </c>
      <c r="M347" t="s">
        <v>381</v>
      </c>
      <c r="N347" t="s">
        <v>266</v>
      </c>
      <c r="O347">
        <v>3</v>
      </c>
      <c r="P347" t="s">
        <v>2447</v>
      </c>
      <c r="Q347" t="s">
        <v>2448</v>
      </c>
      <c r="R347" t="s">
        <v>2449</v>
      </c>
      <c r="S347" t="s">
        <v>2450</v>
      </c>
      <c r="T347" t="s">
        <v>37</v>
      </c>
      <c r="U347" t="s">
        <v>80</v>
      </c>
      <c r="V347">
        <v>42</v>
      </c>
      <c r="W347">
        <v>82</v>
      </c>
      <c r="X347">
        <v>120</v>
      </c>
      <c r="Y347">
        <v>68</v>
      </c>
      <c r="Z347">
        <v>175</v>
      </c>
      <c r="AA347">
        <v>91</v>
      </c>
      <c r="AB347" t="s">
        <v>370</v>
      </c>
      <c r="AC347" t="s">
        <v>237</v>
      </c>
      <c r="AD347" t="s">
        <v>210</v>
      </c>
      <c r="AE347" t="s">
        <v>183</v>
      </c>
      <c r="AF347">
        <v>1</v>
      </c>
    </row>
    <row r="348" spans="1:32">
      <c r="A348">
        <v>144</v>
      </c>
      <c r="B348">
        <v>1005</v>
      </c>
      <c r="C348" t="s">
        <v>1747</v>
      </c>
      <c r="D348" t="s">
        <v>169</v>
      </c>
      <c r="E348" t="s">
        <v>2165</v>
      </c>
      <c r="F348" t="s">
        <v>37</v>
      </c>
      <c r="G348" t="s">
        <v>2451</v>
      </c>
      <c r="H348" t="s">
        <v>192</v>
      </c>
      <c r="I348" t="s">
        <v>173</v>
      </c>
      <c r="J348" t="s">
        <v>223</v>
      </c>
      <c r="K348" t="s">
        <v>2446</v>
      </c>
      <c r="L348" s="84">
        <v>42171</v>
      </c>
      <c r="M348" t="s">
        <v>381</v>
      </c>
      <c r="N348" t="s">
        <v>266</v>
      </c>
      <c r="O348">
        <v>3</v>
      </c>
      <c r="P348" t="s">
        <v>2447</v>
      </c>
      <c r="Q348" t="s">
        <v>2448</v>
      </c>
      <c r="R348" t="s">
        <v>2449</v>
      </c>
      <c r="S348" t="s">
        <v>2450</v>
      </c>
      <c r="T348" t="s">
        <v>37</v>
      </c>
      <c r="U348" t="s">
        <v>80</v>
      </c>
      <c r="V348">
        <v>42</v>
      </c>
      <c r="W348">
        <v>82</v>
      </c>
      <c r="X348">
        <v>120</v>
      </c>
      <c r="Y348">
        <v>68</v>
      </c>
      <c r="Z348">
        <v>175</v>
      </c>
      <c r="AA348">
        <v>91</v>
      </c>
      <c r="AB348" t="s">
        <v>370</v>
      </c>
      <c r="AC348" t="s">
        <v>237</v>
      </c>
      <c r="AD348" t="s">
        <v>210</v>
      </c>
      <c r="AE348" t="s">
        <v>183</v>
      </c>
      <c r="AF348">
        <v>1</v>
      </c>
    </row>
    <row r="349" spans="1:32">
      <c r="A349">
        <v>144</v>
      </c>
      <c r="B349">
        <v>1005</v>
      </c>
      <c r="C349" t="s">
        <v>1747</v>
      </c>
      <c r="D349" t="s">
        <v>169</v>
      </c>
      <c r="E349" t="s">
        <v>2165</v>
      </c>
      <c r="F349" t="s">
        <v>37</v>
      </c>
      <c r="G349" t="s">
        <v>2451</v>
      </c>
      <c r="H349" t="s">
        <v>192</v>
      </c>
      <c r="I349" t="s">
        <v>173</v>
      </c>
      <c r="J349" t="s">
        <v>223</v>
      </c>
      <c r="K349" t="s">
        <v>2446</v>
      </c>
      <c r="L349" s="84">
        <v>42171</v>
      </c>
      <c r="M349" t="s">
        <v>381</v>
      </c>
      <c r="N349" t="s">
        <v>266</v>
      </c>
      <c r="O349">
        <v>3</v>
      </c>
      <c r="P349" t="s">
        <v>2447</v>
      </c>
      <c r="Q349" t="s">
        <v>2448</v>
      </c>
      <c r="R349" t="s">
        <v>2449</v>
      </c>
      <c r="S349" t="s">
        <v>2450</v>
      </c>
      <c r="T349" t="s">
        <v>37</v>
      </c>
      <c r="U349" t="s">
        <v>80</v>
      </c>
      <c r="V349">
        <v>42</v>
      </c>
      <c r="W349">
        <v>82</v>
      </c>
      <c r="X349">
        <v>120</v>
      </c>
      <c r="Y349">
        <v>68</v>
      </c>
      <c r="Z349">
        <v>175</v>
      </c>
      <c r="AA349">
        <v>91</v>
      </c>
      <c r="AB349" t="s">
        <v>370</v>
      </c>
      <c r="AC349" t="s">
        <v>237</v>
      </c>
      <c r="AD349" t="s">
        <v>210</v>
      </c>
      <c r="AE349" t="s">
        <v>183</v>
      </c>
      <c r="AF349">
        <v>1</v>
      </c>
    </row>
    <row r="350" spans="1:32">
      <c r="A350">
        <v>144</v>
      </c>
      <c r="B350">
        <v>1005</v>
      </c>
      <c r="C350" t="s">
        <v>1747</v>
      </c>
      <c r="D350" t="s">
        <v>169</v>
      </c>
      <c r="E350" t="s">
        <v>2165</v>
      </c>
      <c r="F350" t="s">
        <v>37</v>
      </c>
      <c r="G350" t="s">
        <v>2451</v>
      </c>
      <c r="H350" t="s">
        <v>192</v>
      </c>
      <c r="I350" t="s">
        <v>173</v>
      </c>
      <c r="J350" t="s">
        <v>223</v>
      </c>
      <c r="K350" t="s">
        <v>2446</v>
      </c>
      <c r="L350" s="84">
        <v>42171</v>
      </c>
      <c r="M350" t="s">
        <v>381</v>
      </c>
      <c r="N350" t="s">
        <v>266</v>
      </c>
      <c r="O350">
        <v>3</v>
      </c>
      <c r="P350" t="s">
        <v>2447</v>
      </c>
      <c r="Q350" t="s">
        <v>2448</v>
      </c>
      <c r="R350" t="s">
        <v>2449</v>
      </c>
      <c r="S350" t="s">
        <v>2450</v>
      </c>
      <c r="T350" t="s">
        <v>37</v>
      </c>
      <c r="U350" t="s">
        <v>80</v>
      </c>
      <c r="V350">
        <v>42</v>
      </c>
      <c r="W350">
        <v>82</v>
      </c>
      <c r="X350">
        <v>120</v>
      </c>
      <c r="Y350">
        <v>68</v>
      </c>
      <c r="Z350">
        <v>175</v>
      </c>
      <c r="AA350">
        <v>91</v>
      </c>
      <c r="AB350" t="s">
        <v>370</v>
      </c>
      <c r="AC350" t="s">
        <v>237</v>
      </c>
      <c r="AD350" t="s">
        <v>210</v>
      </c>
      <c r="AE350" t="s">
        <v>183</v>
      </c>
      <c r="AF350">
        <v>1</v>
      </c>
    </row>
    <row r="351" spans="1:32">
      <c r="A351">
        <v>144</v>
      </c>
      <c r="B351">
        <v>1005</v>
      </c>
      <c r="C351" t="s">
        <v>1747</v>
      </c>
      <c r="D351" t="s">
        <v>169</v>
      </c>
      <c r="E351" t="s">
        <v>2165</v>
      </c>
      <c r="F351" t="s">
        <v>37</v>
      </c>
      <c r="G351" t="s">
        <v>2451</v>
      </c>
      <c r="H351" t="s">
        <v>192</v>
      </c>
      <c r="I351" t="s">
        <v>173</v>
      </c>
      <c r="J351" t="s">
        <v>223</v>
      </c>
      <c r="K351" t="s">
        <v>2446</v>
      </c>
      <c r="L351" s="84">
        <v>42171</v>
      </c>
      <c r="M351" t="s">
        <v>381</v>
      </c>
      <c r="N351" t="s">
        <v>266</v>
      </c>
      <c r="O351">
        <v>3</v>
      </c>
      <c r="P351" t="s">
        <v>2447</v>
      </c>
      <c r="Q351" t="s">
        <v>2448</v>
      </c>
      <c r="R351" t="s">
        <v>2449</v>
      </c>
      <c r="S351" t="s">
        <v>2450</v>
      </c>
      <c r="T351" t="s">
        <v>37</v>
      </c>
      <c r="U351" t="s">
        <v>80</v>
      </c>
      <c r="V351">
        <v>42</v>
      </c>
      <c r="W351">
        <v>82</v>
      </c>
      <c r="X351">
        <v>120</v>
      </c>
      <c r="Y351">
        <v>68</v>
      </c>
      <c r="Z351">
        <v>175</v>
      </c>
      <c r="AA351">
        <v>91</v>
      </c>
      <c r="AB351" t="s">
        <v>370</v>
      </c>
      <c r="AC351" t="s">
        <v>237</v>
      </c>
      <c r="AD351" t="s">
        <v>210</v>
      </c>
      <c r="AE351" t="s">
        <v>183</v>
      </c>
      <c r="AF351">
        <v>1</v>
      </c>
    </row>
    <row r="352" spans="1:32">
      <c r="A352">
        <v>144</v>
      </c>
      <c r="B352">
        <v>1005</v>
      </c>
      <c r="C352" t="s">
        <v>1747</v>
      </c>
      <c r="D352" t="s">
        <v>169</v>
      </c>
      <c r="E352" t="s">
        <v>2165</v>
      </c>
      <c r="F352" t="s">
        <v>37</v>
      </c>
      <c r="G352" t="s">
        <v>2451</v>
      </c>
      <c r="H352" t="s">
        <v>192</v>
      </c>
      <c r="I352" t="s">
        <v>173</v>
      </c>
      <c r="J352" t="s">
        <v>223</v>
      </c>
      <c r="K352" t="s">
        <v>2446</v>
      </c>
      <c r="L352" s="84">
        <v>42171</v>
      </c>
      <c r="M352" t="s">
        <v>381</v>
      </c>
      <c r="N352" t="s">
        <v>266</v>
      </c>
      <c r="O352">
        <v>3</v>
      </c>
      <c r="P352" t="s">
        <v>2447</v>
      </c>
      <c r="Q352" t="s">
        <v>2448</v>
      </c>
      <c r="R352" t="s">
        <v>2449</v>
      </c>
      <c r="S352" t="s">
        <v>2450</v>
      </c>
      <c r="T352" t="s">
        <v>37</v>
      </c>
      <c r="U352" t="s">
        <v>80</v>
      </c>
      <c r="V352">
        <v>42</v>
      </c>
      <c r="W352">
        <v>82</v>
      </c>
      <c r="X352">
        <v>120</v>
      </c>
      <c r="Y352">
        <v>68</v>
      </c>
      <c r="Z352">
        <v>175</v>
      </c>
      <c r="AA352">
        <v>91</v>
      </c>
      <c r="AB352" t="s">
        <v>370</v>
      </c>
      <c r="AC352" t="s">
        <v>237</v>
      </c>
      <c r="AD352" t="s">
        <v>210</v>
      </c>
      <c r="AE352" t="s">
        <v>183</v>
      </c>
      <c r="AF352">
        <v>1</v>
      </c>
    </row>
    <row r="353" spans="1:32">
      <c r="A353">
        <v>144</v>
      </c>
      <c r="B353">
        <v>1005</v>
      </c>
      <c r="C353" t="s">
        <v>1747</v>
      </c>
      <c r="D353" t="s">
        <v>169</v>
      </c>
      <c r="E353" t="s">
        <v>2165</v>
      </c>
      <c r="F353" t="s">
        <v>37</v>
      </c>
      <c r="G353" t="s">
        <v>2451</v>
      </c>
      <c r="H353" t="s">
        <v>192</v>
      </c>
      <c r="I353" t="s">
        <v>173</v>
      </c>
      <c r="J353" t="s">
        <v>223</v>
      </c>
      <c r="K353" t="s">
        <v>2446</v>
      </c>
      <c r="L353" s="84">
        <v>42171</v>
      </c>
      <c r="M353" t="s">
        <v>381</v>
      </c>
      <c r="N353" t="s">
        <v>266</v>
      </c>
      <c r="O353">
        <v>3</v>
      </c>
      <c r="P353" t="s">
        <v>2447</v>
      </c>
      <c r="Q353" t="s">
        <v>2448</v>
      </c>
      <c r="R353" t="s">
        <v>2449</v>
      </c>
      <c r="S353" t="s">
        <v>2450</v>
      </c>
      <c r="T353" t="s">
        <v>37</v>
      </c>
      <c r="U353" t="s">
        <v>80</v>
      </c>
      <c r="V353">
        <v>42</v>
      </c>
      <c r="W353">
        <v>82</v>
      </c>
      <c r="X353">
        <v>120</v>
      </c>
      <c r="Y353">
        <v>68</v>
      </c>
      <c r="Z353">
        <v>175</v>
      </c>
      <c r="AA353">
        <v>91</v>
      </c>
      <c r="AB353" t="s">
        <v>370</v>
      </c>
      <c r="AC353" t="s">
        <v>237</v>
      </c>
      <c r="AD353" t="s">
        <v>210</v>
      </c>
      <c r="AE353" t="s">
        <v>183</v>
      </c>
      <c r="AF353">
        <v>1</v>
      </c>
    </row>
    <row r="354" spans="1:32">
      <c r="A354">
        <v>144</v>
      </c>
      <c r="B354">
        <v>1005</v>
      </c>
      <c r="C354" t="s">
        <v>1747</v>
      </c>
      <c r="D354" t="s">
        <v>169</v>
      </c>
      <c r="E354" t="s">
        <v>2165</v>
      </c>
      <c r="F354" t="s">
        <v>37</v>
      </c>
      <c r="G354" t="s">
        <v>2451</v>
      </c>
      <c r="H354" t="s">
        <v>192</v>
      </c>
      <c r="I354" t="s">
        <v>173</v>
      </c>
      <c r="J354" t="s">
        <v>223</v>
      </c>
      <c r="K354" t="s">
        <v>2446</v>
      </c>
      <c r="L354" s="84">
        <v>42171</v>
      </c>
      <c r="M354" t="s">
        <v>381</v>
      </c>
      <c r="N354" t="s">
        <v>266</v>
      </c>
      <c r="O354">
        <v>3</v>
      </c>
      <c r="P354" t="s">
        <v>2447</v>
      </c>
      <c r="Q354" t="s">
        <v>2448</v>
      </c>
      <c r="R354" t="s">
        <v>2449</v>
      </c>
      <c r="S354" t="s">
        <v>2450</v>
      </c>
      <c r="T354" t="s">
        <v>37</v>
      </c>
      <c r="U354" t="s">
        <v>80</v>
      </c>
      <c r="V354">
        <v>42</v>
      </c>
      <c r="W354">
        <v>82</v>
      </c>
      <c r="X354">
        <v>120</v>
      </c>
      <c r="Y354">
        <v>68</v>
      </c>
      <c r="Z354">
        <v>175</v>
      </c>
      <c r="AA354">
        <v>91</v>
      </c>
      <c r="AB354" t="s">
        <v>370</v>
      </c>
      <c r="AC354" t="s">
        <v>237</v>
      </c>
      <c r="AD354" t="s">
        <v>210</v>
      </c>
      <c r="AE354" t="s">
        <v>183</v>
      </c>
      <c r="AF354">
        <v>1</v>
      </c>
    </row>
    <row r="355" spans="1:32">
      <c r="A355">
        <v>144</v>
      </c>
      <c r="B355">
        <v>1005</v>
      </c>
      <c r="C355" t="s">
        <v>1747</v>
      </c>
      <c r="D355" t="s">
        <v>169</v>
      </c>
      <c r="E355" t="s">
        <v>2165</v>
      </c>
      <c r="F355" t="s">
        <v>37</v>
      </c>
      <c r="G355" t="s">
        <v>2451</v>
      </c>
      <c r="H355" t="s">
        <v>192</v>
      </c>
      <c r="I355" t="s">
        <v>173</v>
      </c>
      <c r="J355" t="s">
        <v>223</v>
      </c>
      <c r="K355" t="s">
        <v>2446</v>
      </c>
      <c r="L355" s="84">
        <v>42171</v>
      </c>
      <c r="M355" t="s">
        <v>381</v>
      </c>
      <c r="N355" t="s">
        <v>266</v>
      </c>
      <c r="O355">
        <v>3</v>
      </c>
      <c r="P355" t="s">
        <v>2447</v>
      </c>
      <c r="Q355" t="s">
        <v>2448</v>
      </c>
      <c r="R355" t="s">
        <v>2449</v>
      </c>
      <c r="S355" t="s">
        <v>2450</v>
      </c>
      <c r="T355" t="s">
        <v>37</v>
      </c>
      <c r="U355" t="s">
        <v>80</v>
      </c>
      <c r="V355">
        <v>42</v>
      </c>
      <c r="W355">
        <v>82</v>
      </c>
      <c r="X355">
        <v>120</v>
      </c>
      <c r="Y355">
        <v>68</v>
      </c>
      <c r="Z355">
        <v>175</v>
      </c>
      <c r="AA355">
        <v>91</v>
      </c>
      <c r="AB355" t="s">
        <v>370</v>
      </c>
      <c r="AC355" t="s">
        <v>237</v>
      </c>
      <c r="AD355" t="s">
        <v>210</v>
      </c>
      <c r="AE355" t="s">
        <v>183</v>
      </c>
      <c r="AF355">
        <v>1</v>
      </c>
    </row>
    <row r="356" spans="1:32">
      <c r="A356">
        <v>144</v>
      </c>
      <c r="B356">
        <v>1005</v>
      </c>
      <c r="C356" t="s">
        <v>1747</v>
      </c>
      <c r="D356" t="s">
        <v>169</v>
      </c>
      <c r="E356" t="s">
        <v>2165</v>
      </c>
      <c r="F356" t="s">
        <v>37</v>
      </c>
      <c r="G356" t="s">
        <v>2451</v>
      </c>
      <c r="H356" t="s">
        <v>192</v>
      </c>
      <c r="I356" t="s">
        <v>173</v>
      </c>
      <c r="J356" t="s">
        <v>223</v>
      </c>
      <c r="K356" t="s">
        <v>2446</v>
      </c>
      <c r="L356" s="84">
        <v>42171</v>
      </c>
      <c r="M356" t="s">
        <v>381</v>
      </c>
      <c r="N356" t="s">
        <v>266</v>
      </c>
      <c r="O356">
        <v>3</v>
      </c>
      <c r="P356" t="s">
        <v>2447</v>
      </c>
      <c r="Q356" t="s">
        <v>2448</v>
      </c>
      <c r="R356" t="s">
        <v>2449</v>
      </c>
      <c r="S356" t="s">
        <v>2450</v>
      </c>
      <c r="T356" t="s">
        <v>37</v>
      </c>
      <c r="U356" t="s">
        <v>80</v>
      </c>
      <c r="V356">
        <v>42</v>
      </c>
      <c r="W356">
        <v>82</v>
      </c>
      <c r="X356">
        <v>120</v>
      </c>
      <c r="Y356">
        <v>68</v>
      </c>
      <c r="Z356">
        <v>175</v>
      </c>
      <c r="AA356">
        <v>91</v>
      </c>
      <c r="AB356" t="s">
        <v>370</v>
      </c>
      <c r="AC356" t="s">
        <v>237</v>
      </c>
      <c r="AD356" t="s">
        <v>210</v>
      </c>
      <c r="AE356" t="s">
        <v>183</v>
      </c>
      <c r="AF356">
        <v>1</v>
      </c>
    </row>
    <row r="357" spans="1:32">
      <c r="A357">
        <v>144</v>
      </c>
      <c r="B357">
        <v>1005</v>
      </c>
      <c r="C357" t="s">
        <v>1747</v>
      </c>
      <c r="D357" t="s">
        <v>169</v>
      </c>
      <c r="E357" t="s">
        <v>2165</v>
      </c>
      <c r="F357" t="s">
        <v>37</v>
      </c>
      <c r="G357" t="s">
        <v>2451</v>
      </c>
      <c r="H357" t="s">
        <v>192</v>
      </c>
      <c r="I357" t="s">
        <v>173</v>
      </c>
      <c r="J357" t="s">
        <v>223</v>
      </c>
      <c r="K357" t="s">
        <v>2446</v>
      </c>
      <c r="L357" s="84">
        <v>42171</v>
      </c>
      <c r="M357" t="s">
        <v>381</v>
      </c>
      <c r="N357" t="s">
        <v>266</v>
      </c>
      <c r="O357">
        <v>3</v>
      </c>
      <c r="P357" t="s">
        <v>2447</v>
      </c>
      <c r="Q357" t="s">
        <v>2448</v>
      </c>
      <c r="R357" t="s">
        <v>2449</v>
      </c>
      <c r="S357" t="s">
        <v>2450</v>
      </c>
      <c r="T357" t="s">
        <v>37</v>
      </c>
      <c r="U357" t="s">
        <v>80</v>
      </c>
      <c r="V357">
        <v>42</v>
      </c>
      <c r="W357">
        <v>82</v>
      </c>
      <c r="X357">
        <v>120</v>
      </c>
      <c r="Y357">
        <v>68</v>
      </c>
      <c r="Z357">
        <v>175</v>
      </c>
      <c r="AA357">
        <v>91</v>
      </c>
      <c r="AB357" t="s">
        <v>370</v>
      </c>
      <c r="AC357" t="s">
        <v>237</v>
      </c>
      <c r="AD357" t="s">
        <v>210</v>
      </c>
      <c r="AE357" t="s">
        <v>183</v>
      </c>
      <c r="AF357">
        <v>1</v>
      </c>
    </row>
    <row r="358" spans="1:32">
      <c r="A358">
        <v>144</v>
      </c>
      <c r="B358">
        <v>1005</v>
      </c>
      <c r="C358" t="s">
        <v>1747</v>
      </c>
      <c r="D358" t="s">
        <v>169</v>
      </c>
      <c r="E358" t="s">
        <v>2165</v>
      </c>
      <c r="F358" t="s">
        <v>37</v>
      </c>
      <c r="G358" t="s">
        <v>2451</v>
      </c>
      <c r="H358" t="s">
        <v>192</v>
      </c>
      <c r="I358" t="s">
        <v>173</v>
      </c>
      <c r="J358" t="s">
        <v>223</v>
      </c>
      <c r="K358" t="s">
        <v>2446</v>
      </c>
      <c r="L358" s="84">
        <v>42171</v>
      </c>
      <c r="M358" t="s">
        <v>381</v>
      </c>
      <c r="N358" t="s">
        <v>266</v>
      </c>
      <c r="O358">
        <v>3</v>
      </c>
      <c r="P358" t="s">
        <v>2447</v>
      </c>
      <c r="Q358" t="s">
        <v>2448</v>
      </c>
      <c r="R358" t="s">
        <v>2449</v>
      </c>
      <c r="S358" t="s">
        <v>2450</v>
      </c>
      <c r="T358" t="s">
        <v>37</v>
      </c>
      <c r="U358" t="s">
        <v>80</v>
      </c>
      <c r="V358">
        <v>42</v>
      </c>
      <c r="W358">
        <v>82</v>
      </c>
      <c r="X358">
        <v>120</v>
      </c>
      <c r="Y358">
        <v>68</v>
      </c>
      <c r="Z358">
        <v>175</v>
      </c>
      <c r="AA358">
        <v>91</v>
      </c>
      <c r="AB358" t="s">
        <v>370</v>
      </c>
      <c r="AC358" t="s">
        <v>237</v>
      </c>
      <c r="AD358" t="s">
        <v>210</v>
      </c>
      <c r="AE358" t="s">
        <v>183</v>
      </c>
      <c r="AF358">
        <v>1</v>
      </c>
    </row>
    <row r="359" spans="1:32">
      <c r="A359">
        <v>144</v>
      </c>
      <c r="B359">
        <v>1005</v>
      </c>
      <c r="C359" t="s">
        <v>1747</v>
      </c>
      <c r="D359" t="s">
        <v>169</v>
      </c>
      <c r="E359" t="s">
        <v>2165</v>
      </c>
      <c r="F359" t="s">
        <v>37</v>
      </c>
      <c r="G359" t="s">
        <v>2451</v>
      </c>
      <c r="H359" t="s">
        <v>192</v>
      </c>
      <c r="I359" t="s">
        <v>173</v>
      </c>
      <c r="J359" t="s">
        <v>223</v>
      </c>
      <c r="K359" t="s">
        <v>2446</v>
      </c>
      <c r="L359" s="84">
        <v>42171</v>
      </c>
      <c r="M359" t="s">
        <v>381</v>
      </c>
      <c r="N359" t="s">
        <v>266</v>
      </c>
      <c r="O359">
        <v>3</v>
      </c>
      <c r="P359" t="s">
        <v>2447</v>
      </c>
      <c r="Q359" t="s">
        <v>2448</v>
      </c>
      <c r="R359" t="s">
        <v>2449</v>
      </c>
      <c r="S359" t="s">
        <v>2450</v>
      </c>
      <c r="T359" t="s">
        <v>37</v>
      </c>
      <c r="U359" t="s">
        <v>80</v>
      </c>
      <c r="V359">
        <v>42</v>
      </c>
      <c r="W359">
        <v>82</v>
      </c>
      <c r="X359">
        <v>120</v>
      </c>
      <c r="Y359">
        <v>68</v>
      </c>
      <c r="Z359">
        <v>175</v>
      </c>
      <c r="AA359">
        <v>91</v>
      </c>
      <c r="AB359" t="s">
        <v>370</v>
      </c>
      <c r="AC359" t="s">
        <v>237</v>
      </c>
      <c r="AD359" t="s">
        <v>210</v>
      </c>
      <c r="AE359" t="s">
        <v>183</v>
      </c>
      <c r="AF359">
        <v>1</v>
      </c>
    </row>
    <row r="360" spans="1:32">
      <c r="A360">
        <v>144</v>
      </c>
      <c r="B360">
        <v>1005</v>
      </c>
      <c r="C360" t="s">
        <v>1747</v>
      </c>
      <c r="D360" t="s">
        <v>169</v>
      </c>
      <c r="E360" t="s">
        <v>2165</v>
      </c>
      <c r="F360" t="s">
        <v>37</v>
      </c>
      <c r="G360" t="s">
        <v>2451</v>
      </c>
      <c r="H360" t="s">
        <v>192</v>
      </c>
      <c r="I360" t="s">
        <v>173</v>
      </c>
      <c r="J360" t="s">
        <v>223</v>
      </c>
      <c r="K360" t="s">
        <v>2446</v>
      </c>
      <c r="L360" s="84">
        <v>42171</v>
      </c>
      <c r="M360" t="s">
        <v>381</v>
      </c>
      <c r="N360" t="s">
        <v>266</v>
      </c>
      <c r="O360">
        <v>3</v>
      </c>
      <c r="P360" t="s">
        <v>2447</v>
      </c>
      <c r="Q360" t="s">
        <v>2448</v>
      </c>
      <c r="R360" t="s">
        <v>2449</v>
      </c>
      <c r="S360" t="s">
        <v>2450</v>
      </c>
      <c r="T360" t="s">
        <v>37</v>
      </c>
      <c r="U360" t="s">
        <v>80</v>
      </c>
      <c r="V360">
        <v>42</v>
      </c>
      <c r="W360">
        <v>82</v>
      </c>
      <c r="X360">
        <v>120</v>
      </c>
      <c r="Y360">
        <v>68</v>
      </c>
      <c r="Z360">
        <v>175</v>
      </c>
      <c r="AA360">
        <v>91</v>
      </c>
      <c r="AB360" t="s">
        <v>370</v>
      </c>
      <c r="AC360" t="s">
        <v>237</v>
      </c>
      <c r="AD360" t="s">
        <v>210</v>
      </c>
      <c r="AE360" t="s">
        <v>183</v>
      </c>
      <c r="AF360">
        <v>1</v>
      </c>
    </row>
    <row r="361" spans="1:32">
      <c r="A361">
        <v>144</v>
      </c>
      <c r="B361">
        <v>1005</v>
      </c>
      <c r="C361" t="s">
        <v>1747</v>
      </c>
      <c r="D361" t="s">
        <v>169</v>
      </c>
      <c r="E361" t="s">
        <v>2165</v>
      </c>
      <c r="F361" t="s">
        <v>37</v>
      </c>
      <c r="G361" t="s">
        <v>2451</v>
      </c>
      <c r="H361" t="s">
        <v>192</v>
      </c>
      <c r="I361" t="s">
        <v>173</v>
      </c>
      <c r="J361" t="s">
        <v>223</v>
      </c>
      <c r="K361" t="s">
        <v>2446</v>
      </c>
      <c r="L361" s="84">
        <v>42171</v>
      </c>
      <c r="M361" t="s">
        <v>381</v>
      </c>
      <c r="N361" t="s">
        <v>266</v>
      </c>
      <c r="O361">
        <v>3</v>
      </c>
      <c r="P361" t="s">
        <v>2447</v>
      </c>
      <c r="Q361" t="s">
        <v>2448</v>
      </c>
      <c r="R361" t="s">
        <v>2449</v>
      </c>
      <c r="S361" t="s">
        <v>2450</v>
      </c>
      <c r="T361" t="s">
        <v>37</v>
      </c>
      <c r="U361" t="s">
        <v>80</v>
      </c>
      <c r="V361">
        <v>42</v>
      </c>
      <c r="W361">
        <v>82</v>
      </c>
      <c r="X361">
        <v>120</v>
      </c>
      <c r="Y361">
        <v>68</v>
      </c>
      <c r="Z361">
        <v>175</v>
      </c>
      <c r="AA361">
        <v>91</v>
      </c>
      <c r="AB361" t="s">
        <v>370</v>
      </c>
      <c r="AC361" t="s">
        <v>237</v>
      </c>
      <c r="AD361" t="s">
        <v>210</v>
      </c>
      <c r="AE361" t="s">
        <v>183</v>
      </c>
      <c r="AF361">
        <v>1</v>
      </c>
    </row>
    <row r="362" spans="1:32">
      <c r="A362">
        <v>144</v>
      </c>
      <c r="B362">
        <v>1005</v>
      </c>
      <c r="C362" t="s">
        <v>1747</v>
      </c>
      <c r="D362" t="s">
        <v>169</v>
      </c>
      <c r="E362" t="s">
        <v>2165</v>
      </c>
      <c r="F362" t="s">
        <v>37</v>
      </c>
      <c r="G362" t="s">
        <v>2451</v>
      </c>
      <c r="H362" t="s">
        <v>192</v>
      </c>
      <c r="I362" t="s">
        <v>173</v>
      </c>
      <c r="J362" t="s">
        <v>223</v>
      </c>
      <c r="K362" t="s">
        <v>2446</v>
      </c>
      <c r="L362" s="84">
        <v>42171</v>
      </c>
      <c r="M362" t="s">
        <v>381</v>
      </c>
      <c r="N362" t="s">
        <v>266</v>
      </c>
      <c r="O362">
        <v>3</v>
      </c>
      <c r="P362" t="s">
        <v>2447</v>
      </c>
      <c r="Q362" t="s">
        <v>2448</v>
      </c>
      <c r="R362" t="s">
        <v>2449</v>
      </c>
      <c r="S362" t="s">
        <v>2450</v>
      </c>
      <c r="T362" t="s">
        <v>37</v>
      </c>
      <c r="U362" t="s">
        <v>80</v>
      </c>
      <c r="V362">
        <v>42</v>
      </c>
      <c r="W362">
        <v>82</v>
      </c>
      <c r="X362">
        <v>120</v>
      </c>
      <c r="Y362">
        <v>68</v>
      </c>
      <c r="Z362">
        <v>175</v>
      </c>
      <c r="AA362">
        <v>91</v>
      </c>
      <c r="AB362" t="s">
        <v>370</v>
      </c>
      <c r="AC362" t="s">
        <v>237</v>
      </c>
      <c r="AD362" t="s">
        <v>210</v>
      </c>
      <c r="AE362" t="s">
        <v>183</v>
      </c>
      <c r="AF362">
        <v>1</v>
      </c>
    </row>
    <row r="363" spans="1:32">
      <c r="A363">
        <v>144</v>
      </c>
      <c r="B363">
        <v>1005</v>
      </c>
      <c r="C363" t="s">
        <v>1747</v>
      </c>
      <c r="D363" t="s">
        <v>169</v>
      </c>
      <c r="E363" t="s">
        <v>2165</v>
      </c>
      <c r="F363" t="s">
        <v>37</v>
      </c>
      <c r="G363" t="s">
        <v>2451</v>
      </c>
      <c r="H363" t="s">
        <v>192</v>
      </c>
      <c r="I363" t="s">
        <v>173</v>
      </c>
      <c r="J363" t="s">
        <v>223</v>
      </c>
      <c r="K363" t="s">
        <v>2446</v>
      </c>
      <c r="L363" s="84">
        <v>42171</v>
      </c>
      <c r="M363" t="s">
        <v>381</v>
      </c>
      <c r="N363" t="s">
        <v>266</v>
      </c>
      <c r="O363">
        <v>3</v>
      </c>
      <c r="P363" t="s">
        <v>2447</v>
      </c>
      <c r="Q363" t="s">
        <v>2448</v>
      </c>
      <c r="R363" t="s">
        <v>2449</v>
      </c>
      <c r="S363" t="s">
        <v>2450</v>
      </c>
      <c r="T363" t="s">
        <v>37</v>
      </c>
      <c r="U363" t="s">
        <v>80</v>
      </c>
      <c r="V363">
        <v>42</v>
      </c>
      <c r="W363">
        <v>82</v>
      </c>
      <c r="X363">
        <v>120</v>
      </c>
      <c r="Y363">
        <v>68</v>
      </c>
      <c r="Z363">
        <v>175</v>
      </c>
      <c r="AA363">
        <v>91</v>
      </c>
      <c r="AB363" t="s">
        <v>370</v>
      </c>
      <c r="AC363" t="s">
        <v>237</v>
      </c>
      <c r="AD363" t="s">
        <v>210</v>
      </c>
      <c r="AE363" t="s">
        <v>183</v>
      </c>
      <c r="AF363">
        <v>1</v>
      </c>
    </row>
    <row r="364" spans="1:32">
      <c r="A364">
        <v>144</v>
      </c>
      <c r="B364">
        <v>1005</v>
      </c>
      <c r="C364" t="s">
        <v>1747</v>
      </c>
      <c r="D364" t="s">
        <v>169</v>
      </c>
      <c r="E364" t="s">
        <v>2165</v>
      </c>
      <c r="F364" t="s">
        <v>37</v>
      </c>
      <c r="G364" t="s">
        <v>2451</v>
      </c>
      <c r="H364" t="s">
        <v>192</v>
      </c>
      <c r="I364" t="s">
        <v>173</v>
      </c>
      <c r="J364" t="s">
        <v>223</v>
      </c>
      <c r="K364" t="s">
        <v>2446</v>
      </c>
      <c r="L364" s="84">
        <v>42171</v>
      </c>
      <c r="M364" t="s">
        <v>381</v>
      </c>
      <c r="N364" t="s">
        <v>266</v>
      </c>
      <c r="O364">
        <v>3</v>
      </c>
      <c r="P364" t="s">
        <v>2447</v>
      </c>
      <c r="Q364" t="s">
        <v>2448</v>
      </c>
      <c r="R364" t="s">
        <v>2449</v>
      </c>
      <c r="S364" t="s">
        <v>2450</v>
      </c>
      <c r="T364" t="s">
        <v>37</v>
      </c>
      <c r="U364" t="s">
        <v>80</v>
      </c>
      <c r="V364">
        <v>42</v>
      </c>
      <c r="W364">
        <v>82</v>
      </c>
      <c r="X364">
        <v>120</v>
      </c>
      <c r="Y364">
        <v>68</v>
      </c>
      <c r="Z364">
        <v>175</v>
      </c>
      <c r="AA364">
        <v>91</v>
      </c>
      <c r="AB364" t="s">
        <v>370</v>
      </c>
      <c r="AC364" t="s">
        <v>237</v>
      </c>
      <c r="AD364" t="s">
        <v>210</v>
      </c>
      <c r="AE364" t="s">
        <v>183</v>
      </c>
      <c r="AF364">
        <v>1</v>
      </c>
    </row>
    <row r="365" spans="1:32">
      <c r="A365">
        <v>144</v>
      </c>
      <c r="B365">
        <v>1005</v>
      </c>
      <c r="C365" t="s">
        <v>1747</v>
      </c>
      <c r="D365" t="s">
        <v>169</v>
      </c>
      <c r="E365" t="s">
        <v>2165</v>
      </c>
      <c r="F365" t="s">
        <v>37</v>
      </c>
      <c r="G365" t="s">
        <v>2451</v>
      </c>
      <c r="H365" t="s">
        <v>192</v>
      </c>
      <c r="I365" t="s">
        <v>173</v>
      </c>
      <c r="J365" t="s">
        <v>223</v>
      </c>
      <c r="K365" t="s">
        <v>2446</v>
      </c>
      <c r="L365" s="84">
        <v>42171</v>
      </c>
      <c r="M365" t="s">
        <v>381</v>
      </c>
      <c r="N365" t="s">
        <v>266</v>
      </c>
      <c r="O365">
        <v>3</v>
      </c>
      <c r="P365" t="s">
        <v>2447</v>
      </c>
      <c r="Q365" t="s">
        <v>2448</v>
      </c>
      <c r="R365" t="s">
        <v>2449</v>
      </c>
      <c r="S365" t="s">
        <v>2450</v>
      </c>
      <c r="T365" t="s">
        <v>37</v>
      </c>
      <c r="U365" t="s">
        <v>80</v>
      </c>
      <c r="V365">
        <v>42</v>
      </c>
      <c r="W365">
        <v>82</v>
      </c>
      <c r="X365">
        <v>120</v>
      </c>
      <c r="Y365">
        <v>68</v>
      </c>
      <c r="Z365">
        <v>175</v>
      </c>
      <c r="AA365">
        <v>91</v>
      </c>
      <c r="AB365" t="s">
        <v>370</v>
      </c>
      <c r="AC365" t="s">
        <v>237</v>
      </c>
      <c r="AD365" t="s">
        <v>210</v>
      </c>
      <c r="AE365" t="s">
        <v>183</v>
      </c>
      <c r="AF365">
        <v>1</v>
      </c>
    </row>
    <row r="366" spans="1:32">
      <c r="A366">
        <v>144</v>
      </c>
      <c r="B366">
        <v>1005</v>
      </c>
      <c r="C366" t="s">
        <v>1747</v>
      </c>
      <c r="D366" t="s">
        <v>169</v>
      </c>
      <c r="E366" t="s">
        <v>2165</v>
      </c>
      <c r="F366" t="s">
        <v>37</v>
      </c>
      <c r="G366" t="s">
        <v>2451</v>
      </c>
      <c r="H366" t="s">
        <v>192</v>
      </c>
      <c r="I366" t="s">
        <v>173</v>
      </c>
      <c r="J366" t="s">
        <v>223</v>
      </c>
      <c r="K366" t="s">
        <v>2446</v>
      </c>
      <c r="L366" s="84">
        <v>42171</v>
      </c>
      <c r="M366" t="s">
        <v>381</v>
      </c>
      <c r="N366" t="s">
        <v>266</v>
      </c>
      <c r="O366">
        <v>3</v>
      </c>
      <c r="P366" t="s">
        <v>2447</v>
      </c>
      <c r="Q366" t="s">
        <v>2448</v>
      </c>
      <c r="R366" t="s">
        <v>2449</v>
      </c>
      <c r="S366" t="s">
        <v>2450</v>
      </c>
      <c r="T366" t="s">
        <v>37</v>
      </c>
      <c r="U366" t="s">
        <v>80</v>
      </c>
      <c r="V366">
        <v>42</v>
      </c>
      <c r="W366">
        <v>82</v>
      </c>
      <c r="X366">
        <v>120</v>
      </c>
      <c r="Y366">
        <v>68</v>
      </c>
      <c r="Z366">
        <v>175</v>
      </c>
      <c r="AA366">
        <v>91</v>
      </c>
      <c r="AB366" t="s">
        <v>370</v>
      </c>
      <c r="AC366" t="s">
        <v>237</v>
      </c>
      <c r="AD366" t="s">
        <v>210</v>
      </c>
      <c r="AE366" t="s">
        <v>183</v>
      </c>
      <c r="AF366">
        <v>1</v>
      </c>
    </row>
    <row r="367" spans="1:32">
      <c r="A367">
        <v>144</v>
      </c>
      <c r="B367">
        <v>1005</v>
      </c>
      <c r="C367" t="s">
        <v>1747</v>
      </c>
      <c r="D367" t="s">
        <v>169</v>
      </c>
      <c r="E367" t="s">
        <v>2165</v>
      </c>
      <c r="F367" t="s">
        <v>193</v>
      </c>
      <c r="G367" t="s">
        <v>2445</v>
      </c>
      <c r="H367" t="s">
        <v>192</v>
      </c>
      <c r="I367" t="s">
        <v>181</v>
      </c>
      <c r="J367" t="s">
        <v>192</v>
      </c>
      <c r="K367" t="s">
        <v>2446</v>
      </c>
      <c r="L367" s="84">
        <v>42171</v>
      </c>
      <c r="M367" t="s">
        <v>381</v>
      </c>
      <c r="N367" t="s">
        <v>266</v>
      </c>
      <c r="O367">
        <v>3</v>
      </c>
      <c r="P367" t="s">
        <v>2447</v>
      </c>
      <c r="Q367" t="s">
        <v>2448</v>
      </c>
      <c r="R367" t="s">
        <v>2449</v>
      </c>
      <c r="S367" t="s">
        <v>2450</v>
      </c>
      <c r="T367" t="s">
        <v>36</v>
      </c>
      <c r="U367" t="s">
        <v>80</v>
      </c>
      <c r="V367">
        <v>42</v>
      </c>
      <c r="W367">
        <v>82</v>
      </c>
      <c r="X367">
        <v>120</v>
      </c>
      <c r="Y367">
        <v>68</v>
      </c>
      <c r="Z367">
        <v>175</v>
      </c>
      <c r="AA367">
        <v>91</v>
      </c>
      <c r="AB367" t="s">
        <v>370</v>
      </c>
      <c r="AC367" t="s">
        <v>237</v>
      </c>
      <c r="AD367" t="s">
        <v>210</v>
      </c>
      <c r="AE367" t="s">
        <v>183</v>
      </c>
      <c r="AF367">
        <v>1</v>
      </c>
    </row>
    <row r="368" spans="1:32">
      <c r="A368">
        <v>144</v>
      </c>
      <c r="B368">
        <v>1005</v>
      </c>
      <c r="C368" t="s">
        <v>1747</v>
      </c>
      <c r="D368" t="s">
        <v>169</v>
      </c>
      <c r="E368" t="s">
        <v>2165</v>
      </c>
      <c r="F368" t="s">
        <v>193</v>
      </c>
      <c r="G368" t="s">
        <v>2445</v>
      </c>
      <c r="H368" t="s">
        <v>192</v>
      </c>
      <c r="I368" t="s">
        <v>181</v>
      </c>
      <c r="J368" t="s">
        <v>192</v>
      </c>
      <c r="K368" t="s">
        <v>2446</v>
      </c>
      <c r="L368" s="84">
        <v>42171</v>
      </c>
      <c r="M368" t="s">
        <v>381</v>
      </c>
      <c r="N368" t="s">
        <v>266</v>
      </c>
      <c r="O368">
        <v>3</v>
      </c>
      <c r="P368" t="s">
        <v>2447</v>
      </c>
      <c r="Q368" t="s">
        <v>2448</v>
      </c>
      <c r="R368" t="s">
        <v>2449</v>
      </c>
      <c r="S368" t="s">
        <v>2450</v>
      </c>
      <c r="T368" t="s">
        <v>36</v>
      </c>
      <c r="U368" t="s">
        <v>80</v>
      </c>
      <c r="V368">
        <v>42</v>
      </c>
      <c r="W368">
        <v>82</v>
      </c>
      <c r="X368">
        <v>120</v>
      </c>
      <c r="Y368">
        <v>68</v>
      </c>
      <c r="Z368">
        <v>175</v>
      </c>
      <c r="AA368">
        <v>91</v>
      </c>
      <c r="AB368" t="s">
        <v>370</v>
      </c>
      <c r="AC368" t="s">
        <v>237</v>
      </c>
      <c r="AD368" t="s">
        <v>210</v>
      </c>
      <c r="AE368" t="s">
        <v>183</v>
      </c>
      <c r="AF368">
        <v>1</v>
      </c>
    </row>
    <row r="369" spans="1:32">
      <c r="A369">
        <v>144</v>
      </c>
      <c r="B369">
        <v>1005</v>
      </c>
      <c r="C369" t="s">
        <v>1747</v>
      </c>
      <c r="D369" t="s">
        <v>169</v>
      </c>
      <c r="E369" t="s">
        <v>2165</v>
      </c>
      <c r="F369" t="s">
        <v>193</v>
      </c>
      <c r="G369" t="s">
        <v>2445</v>
      </c>
      <c r="H369" t="s">
        <v>192</v>
      </c>
      <c r="I369" t="s">
        <v>181</v>
      </c>
      <c r="J369" t="s">
        <v>192</v>
      </c>
      <c r="K369" t="s">
        <v>2446</v>
      </c>
      <c r="L369" s="84">
        <v>42171</v>
      </c>
      <c r="M369" t="s">
        <v>381</v>
      </c>
      <c r="N369" t="s">
        <v>266</v>
      </c>
      <c r="O369">
        <v>3</v>
      </c>
      <c r="P369" t="s">
        <v>2447</v>
      </c>
      <c r="Q369" t="s">
        <v>2448</v>
      </c>
      <c r="R369" t="s">
        <v>2449</v>
      </c>
      <c r="S369" t="s">
        <v>2450</v>
      </c>
      <c r="T369" t="s">
        <v>36</v>
      </c>
      <c r="U369" t="s">
        <v>80</v>
      </c>
      <c r="V369">
        <v>42</v>
      </c>
      <c r="W369">
        <v>82</v>
      </c>
      <c r="X369">
        <v>120</v>
      </c>
      <c r="Y369">
        <v>68</v>
      </c>
      <c r="Z369">
        <v>175</v>
      </c>
      <c r="AA369">
        <v>91</v>
      </c>
      <c r="AB369" t="s">
        <v>370</v>
      </c>
      <c r="AC369" t="s">
        <v>237</v>
      </c>
      <c r="AD369" t="s">
        <v>210</v>
      </c>
      <c r="AE369" t="s">
        <v>183</v>
      </c>
      <c r="AF369">
        <v>1</v>
      </c>
    </row>
    <row r="370" spans="1:32">
      <c r="A370">
        <v>144</v>
      </c>
      <c r="B370">
        <v>1005</v>
      </c>
      <c r="C370" t="s">
        <v>1747</v>
      </c>
      <c r="D370" t="s">
        <v>169</v>
      </c>
      <c r="E370" t="s">
        <v>2165</v>
      </c>
      <c r="F370" t="s">
        <v>193</v>
      </c>
      <c r="G370" t="s">
        <v>2445</v>
      </c>
      <c r="H370" t="s">
        <v>192</v>
      </c>
      <c r="I370" t="s">
        <v>181</v>
      </c>
      <c r="J370" t="s">
        <v>192</v>
      </c>
      <c r="K370" t="s">
        <v>2446</v>
      </c>
      <c r="L370" s="84">
        <v>42171</v>
      </c>
      <c r="M370" t="s">
        <v>381</v>
      </c>
      <c r="N370" t="s">
        <v>266</v>
      </c>
      <c r="O370">
        <v>3</v>
      </c>
      <c r="P370" t="s">
        <v>2447</v>
      </c>
      <c r="Q370" t="s">
        <v>2448</v>
      </c>
      <c r="R370" t="s">
        <v>2449</v>
      </c>
      <c r="S370" t="s">
        <v>2450</v>
      </c>
      <c r="T370" t="s">
        <v>36</v>
      </c>
      <c r="U370" t="s">
        <v>80</v>
      </c>
      <c r="V370">
        <v>42</v>
      </c>
      <c r="W370">
        <v>82</v>
      </c>
      <c r="X370">
        <v>120</v>
      </c>
      <c r="Y370">
        <v>68</v>
      </c>
      <c r="Z370">
        <v>175</v>
      </c>
      <c r="AA370">
        <v>91</v>
      </c>
      <c r="AB370" t="s">
        <v>370</v>
      </c>
      <c r="AC370" t="s">
        <v>237</v>
      </c>
      <c r="AD370" t="s">
        <v>210</v>
      </c>
      <c r="AE370" t="s">
        <v>183</v>
      </c>
      <c r="AF370">
        <v>1</v>
      </c>
    </row>
    <row r="371" spans="1:32">
      <c r="A371">
        <v>144</v>
      </c>
      <c r="B371">
        <v>1005</v>
      </c>
      <c r="C371" t="s">
        <v>1747</v>
      </c>
      <c r="D371" t="s">
        <v>169</v>
      </c>
      <c r="E371" t="s">
        <v>2165</v>
      </c>
      <c r="F371" t="s">
        <v>193</v>
      </c>
      <c r="G371" t="s">
        <v>2445</v>
      </c>
      <c r="H371" t="s">
        <v>192</v>
      </c>
      <c r="I371" t="s">
        <v>181</v>
      </c>
      <c r="J371" t="s">
        <v>192</v>
      </c>
      <c r="K371" t="s">
        <v>2446</v>
      </c>
      <c r="L371" s="84">
        <v>42171</v>
      </c>
      <c r="M371" t="s">
        <v>381</v>
      </c>
      <c r="N371" t="s">
        <v>266</v>
      </c>
      <c r="O371">
        <v>3</v>
      </c>
      <c r="P371" t="s">
        <v>2447</v>
      </c>
      <c r="Q371" t="s">
        <v>2448</v>
      </c>
      <c r="R371" t="s">
        <v>2449</v>
      </c>
      <c r="S371" t="s">
        <v>2450</v>
      </c>
      <c r="T371" t="s">
        <v>36</v>
      </c>
      <c r="U371" t="s">
        <v>80</v>
      </c>
      <c r="V371">
        <v>42</v>
      </c>
      <c r="W371">
        <v>82</v>
      </c>
      <c r="X371">
        <v>120</v>
      </c>
      <c r="Y371">
        <v>68</v>
      </c>
      <c r="Z371">
        <v>175</v>
      </c>
      <c r="AA371">
        <v>91</v>
      </c>
      <c r="AB371" t="s">
        <v>370</v>
      </c>
      <c r="AC371" t="s">
        <v>237</v>
      </c>
      <c r="AD371" t="s">
        <v>210</v>
      </c>
      <c r="AE371" t="s">
        <v>183</v>
      </c>
      <c r="AF371">
        <v>1</v>
      </c>
    </row>
    <row r="372" spans="1:32">
      <c r="A372">
        <v>144</v>
      </c>
      <c r="B372">
        <v>1005</v>
      </c>
      <c r="C372" t="s">
        <v>1747</v>
      </c>
      <c r="D372" t="s">
        <v>169</v>
      </c>
      <c r="E372" t="s">
        <v>2165</v>
      </c>
      <c r="F372" t="s">
        <v>193</v>
      </c>
      <c r="G372" t="s">
        <v>2445</v>
      </c>
      <c r="H372" t="s">
        <v>192</v>
      </c>
      <c r="I372" t="s">
        <v>181</v>
      </c>
      <c r="J372" t="s">
        <v>192</v>
      </c>
      <c r="K372" t="s">
        <v>2446</v>
      </c>
      <c r="L372" s="84">
        <v>42171</v>
      </c>
      <c r="M372" t="s">
        <v>381</v>
      </c>
      <c r="N372" t="s">
        <v>266</v>
      </c>
      <c r="O372">
        <v>3</v>
      </c>
      <c r="P372" t="s">
        <v>2447</v>
      </c>
      <c r="Q372" t="s">
        <v>2448</v>
      </c>
      <c r="R372" t="s">
        <v>2449</v>
      </c>
      <c r="S372" t="s">
        <v>2450</v>
      </c>
      <c r="T372" t="s">
        <v>36</v>
      </c>
      <c r="U372" t="s">
        <v>80</v>
      </c>
      <c r="V372">
        <v>42</v>
      </c>
      <c r="W372">
        <v>82</v>
      </c>
      <c r="X372">
        <v>120</v>
      </c>
      <c r="Y372">
        <v>68</v>
      </c>
      <c r="Z372">
        <v>175</v>
      </c>
      <c r="AA372">
        <v>91</v>
      </c>
      <c r="AB372" t="s">
        <v>370</v>
      </c>
      <c r="AC372" t="s">
        <v>237</v>
      </c>
      <c r="AD372" t="s">
        <v>210</v>
      </c>
      <c r="AE372" t="s">
        <v>183</v>
      </c>
      <c r="AF372">
        <v>1</v>
      </c>
    </row>
    <row r="373" spans="1:32">
      <c r="A373">
        <v>144</v>
      </c>
      <c r="B373">
        <v>1005</v>
      </c>
      <c r="C373" t="s">
        <v>1747</v>
      </c>
      <c r="D373" t="s">
        <v>169</v>
      </c>
      <c r="E373" t="s">
        <v>2165</v>
      </c>
      <c r="F373" t="s">
        <v>193</v>
      </c>
      <c r="G373" t="s">
        <v>2445</v>
      </c>
      <c r="H373" t="s">
        <v>192</v>
      </c>
      <c r="I373" t="s">
        <v>181</v>
      </c>
      <c r="J373" t="s">
        <v>192</v>
      </c>
      <c r="K373" t="s">
        <v>2446</v>
      </c>
      <c r="L373" s="84">
        <v>42171</v>
      </c>
      <c r="M373" t="s">
        <v>381</v>
      </c>
      <c r="N373" t="s">
        <v>266</v>
      </c>
      <c r="O373">
        <v>3</v>
      </c>
      <c r="P373" t="s">
        <v>2447</v>
      </c>
      <c r="Q373" t="s">
        <v>2448</v>
      </c>
      <c r="R373" t="s">
        <v>2449</v>
      </c>
      <c r="S373" t="s">
        <v>2450</v>
      </c>
      <c r="T373" t="s">
        <v>36</v>
      </c>
      <c r="U373" t="s">
        <v>80</v>
      </c>
      <c r="V373">
        <v>42</v>
      </c>
      <c r="W373">
        <v>82</v>
      </c>
      <c r="X373">
        <v>120</v>
      </c>
      <c r="Y373">
        <v>68</v>
      </c>
      <c r="Z373">
        <v>175</v>
      </c>
      <c r="AA373">
        <v>91</v>
      </c>
      <c r="AB373" t="s">
        <v>370</v>
      </c>
      <c r="AC373" t="s">
        <v>237</v>
      </c>
      <c r="AD373" t="s">
        <v>210</v>
      </c>
      <c r="AE373" t="s">
        <v>183</v>
      </c>
      <c r="AF373">
        <v>1</v>
      </c>
    </row>
    <row r="374" spans="1:32">
      <c r="A374">
        <v>144</v>
      </c>
      <c r="B374">
        <v>1005</v>
      </c>
      <c r="C374" t="s">
        <v>1747</v>
      </c>
      <c r="D374" t="s">
        <v>169</v>
      </c>
      <c r="E374" t="s">
        <v>2165</v>
      </c>
      <c r="F374" t="s">
        <v>193</v>
      </c>
      <c r="G374" t="s">
        <v>2445</v>
      </c>
      <c r="H374" t="s">
        <v>192</v>
      </c>
      <c r="I374" t="s">
        <v>181</v>
      </c>
      <c r="J374" t="s">
        <v>192</v>
      </c>
      <c r="K374" t="s">
        <v>2446</v>
      </c>
      <c r="L374" s="84">
        <v>42171</v>
      </c>
      <c r="M374" t="s">
        <v>381</v>
      </c>
      <c r="N374" t="s">
        <v>266</v>
      </c>
      <c r="O374">
        <v>3</v>
      </c>
      <c r="P374" t="s">
        <v>2447</v>
      </c>
      <c r="Q374" t="s">
        <v>2448</v>
      </c>
      <c r="R374" t="s">
        <v>2449</v>
      </c>
      <c r="S374" t="s">
        <v>2450</v>
      </c>
      <c r="T374" t="s">
        <v>36</v>
      </c>
      <c r="U374" t="s">
        <v>80</v>
      </c>
      <c r="V374">
        <v>42</v>
      </c>
      <c r="W374">
        <v>82</v>
      </c>
      <c r="X374">
        <v>120</v>
      </c>
      <c r="Y374">
        <v>68</v>
      </c>
      <c r="Z374">
        <v>175</v>
      </c>
      <c r="AA374">
        <v>91</v>
      </c>
      <c r="AB374" t="s">
        <v>370</v>
      </c>
      <c r="AC374" t="s">
        <v>237</v>
      </c>
      <c r="AD374" t="s">
        <v>210</v>
      </c>
      <c r="AE374" t="s">
        <v>183</v>
      </c>
      <c r="AF374">
        <v>1</v>
      </c>
    </row>
    <row r="375" spans="1:32">
      <c r="A375">
        <v>144</v>
      </c>
      <c r="B375">
        <v>1005</v>
      </c>
      <c r="C375" t="s">
        <v>1747</v>
      </c>
      <c r="D375" t="s">
        <v>169</v>
      </c>
      <c r="E375" t="s">
        <v>2165</v>
      </c>
      <c r="F375" t="s">
        <v>193</v>
      </c>
      <c r="G375" t="s">
        <v>2445</v>
      </c>
      <c r="H375" t="s">
        <v>192</v>
      </c>
      <c r="I375" t="s">
        <v>181</v>
      </c>
      <c r="J375" t="s">
        <v>192</v>
      </c>
      <c r="K375" t="s">
        <v>2446</v>
      </c>
      <c r="L375" s="84">
        <v>42171</v>
      </c>
      <c r="M375" t="s">
        <v>381</v>
      </c>
      <c r="N375" t="s">
        <v>266</v>
      </c>
      <c r="O375">
        <v>3</v>
      </c>
      <c r="P375" t="s">
        <v>2447</v>
      </c>
      <c r="Q375" t="s">
        <v>2448</v>
      </c>
      <c r="R375" t="s">
        <v>2449</v>
      </c>
      <c r="S375" t="s">
        <v>2450</v>
      </c>
      <c r="T375" t="s">
        <v>36</v>
      </c>
      <c r="U375" t="s">
        <v>80</v>
      </c>
      <c r="V375">
        <v>42</v>
      </c>
      <c r="W375">
        <v>82</v>
      </c>
      <c r="X375">
        <v>120</v>
      </c>
      <c r="Y375">
        <v>68</v>
      </c>
      <c r="Z375">
        <v>175</v>
      </c>
      <c r="AA375">
        <v>91</v>
      </c>
      <c r="AB375" t="s">
        <v>370</v>
      </c>
      <c r="AC375" t="s">
        <v>237</v>
      </c>
      <c r="AD375" t="s">
        <v>210</v>
      </c>
      <c r="AE375" t="s">
        <v>183</v>
      </c>
      <c r="AF375">
        <v>1</v>
      </c>
    </row>
    <row r="376" spans="1:32">
      <c r="A376">
        <v>144</v>
      </c>
      <c r="B376">
        <v>1005</v>
      </c>
      <c r="C376" t="s">
        <v>1747</v>
      </c>
      <c r="D376" t="s">
        <v>169</v>
      </c>
      <c r="E376" t="s">
        <v>2165</v>
      </c>
      <c r="F376" t="s">
        <v>193</v>
      </c>
      <c r="G376" t="s">
        <v>2445</v>
      </c>
      <c r="H376" t="s">
        <v>192</v>
      </c>
      <c r="I376" t="s">
        <v>181</v>
      </c>
      <c r="J376" t="s">
        <v>192</v>
      </c>
      <c r="K376" t="s">
        <v>2446</v>
      </c>
      <c r="L376" s="84">
        <v>42171</v>
      </c>
      <c r="M376" t="s">
        <v>381</v>
      </c>
      <c r="N376" t="s">
        <v>266</v>
      </c>
      <c r="O376">
        <v>3</v>
      </c>
      <c r="P376" t="s">
        <v>2447</v>
      </c>
      <c r="Q376" t="s">
        <v>2448</v>
      </c>
      <c r="R376" t="s">
        <v>2449</v>
      </c>
      <c r="S376" t="s">
        <v>2450</v>
      </c>
      <c r="T376" t="s">
        <v>36</v>
      </c>
      <c r="U376" t="s">
        <v>80</v>
      </c>
      <c r="V376">
        <v>42</v>
      </c>
      <c r="W376">
        <v>82</v>
      </c>
      <c r="X376">
        <v>120</v>
      </c>
      <c r="Y376">
        <v>68</v>
      </c>
      <c r="Z376">
        <v>175</v>
      </c>
      <c r="AA376">
        <v>91</v>
      </c>
      <c r="AB376" t="s">
        <v>370</v>
      </c>
      <c r="AC376" t="s">
        <v>237</v>
      </c>
      <c r="AD376" t="s">
        <v>210</v>
      </c>
      <c r="AE376" t="s">
        <v>183</v>
      </c>
      <c r="AF376">
        <v>1</v>
      </c>
    </row>
    <row r="377" spans="1:32">
      <c r="A377">
        <v>144</v>
      </c>
      <c r="B377">
        <v>1005</v>
      </c>
      <c r="C377" t="s">
        <v>1747</v>
      </c>
      <c r="D377" t="s">
        <v>169</v>
      </c>
      <c r="E377" t="s">
        <v>2165</v>
      </c>
      <c r="F377" t="s">
        <v>193</v>
      </c>
      <c r="G377" t="s">
        <v>2445</v>
      </c>
      <c r="H377" t="s">
        <v>192</v>
      </c>
      <c r="I377" t="s">
        <v>181</v>
      </c>
      <c r="J377" t="s">
        <v>192</v>
      </c>
      <c r="K377" t="s">
        <v>2446</v>
      </c>
      <c r="L377" s="84">
        <v>42171</v>
      </c>
      <c r="M377" t="s">
        <v>381</v>
      </c>
      <c r="N377" t="s">
        <v>266</v>
      </c>
      <c r="O377">
        <v>3</v>
      </c>
      <c r="P377" t="s">
        <v>2447</v>
      </c>
      <c r="Q377" t="s">
        <v>2448</v>
      </c>
      <c r="R377" t="s">
        <v>2449</v>
      </c>
      <c r="S377" t="s">
        <v>2450</v>
      </c>
      <c r="T377" t="s">
        <v>36</v>
      </c>
      <c r="U377" t="s">
        <v>80</v>
      </c>
      <c r="V377">
        <v>42</v>
      </c>
      <c r="W377">
        <v>82</v>
      </c>
      <c r="X377">
        <v>120</v>
      </c>
      <c r="Y377">
        <v>68</v>
      </c>
      <c r="Z377">
        <v>175</v>
      </c>
      <c r="AA377">
        <v>91</v>
      </c>
      <c r="AB377" t="s">
        <v>370</v>
      </c>
      <c r="AC377" t="s">
        <v>237</v>
      </c>
      <c r="AD377" t="s">
        <v>210</v>
      </c>
      <c r="AE377" t="s">
        <v>183</v>
      </c>
      <c r="AF377">
        <v>1</v>
      </c>
    </row>
    <row r="378" spans="1:32">
      <c r="A378">
        <v>144</v>
      </c>
      <c r="B378">
        <v>1005</v>
      </c>
      <c r="C378" t="s">
        <v>1747</v>
      </c>
      <c r="D378" t="s">
        <v>169</v>
      </c>
      <c r="E378" t="s">
        <v>2165</v>
      </c>
      <c r="F378" t="s">
        <v>193</v>
      </c>
      <c r="G378" t="s">
        <v>2445</v>
      </c>
      <c r="H378" t="s">
        <v>192</v>
      </c>
      <c r="I378" t="s">
        <v>181</v>
      </c>
      <c r="J378" t="s">
        <v>192</v>
      </c>
      <c r="K378" t="s">
        <v>2446</v>
      </c>
      <c r="L378" s="84">
        <v>42171</v>
      </c>
      <c r="M378" t="s">
        <v>381</v>
      </c>
      <c r="N378" t="s">
        <v>266</v>
      </c>
      <c r="O378">
        <v>3</v>
      </c>
      <c r="P378" t="s">
        <v>2447</v>
      </c>
      <c r="Q378" t="s">
        <v>2448</v>
      </c>
      <c r="R378" t="s">
        <v>2449</v>
      </c>
      <c r="S378" t="s">
        <v>2450</v>
      </c>
      <c r="T378" t="s">
        <v>36</v>
      </c>
      <c r="U378" t="s">
        <v>80</v>
      </c>
      <c r="V378">
        <v>42</v>
      </c>
      <c r="W378">
        <v>82</v>
      </c>
      <c r="X378">
        <v>120</v>
      </c>
      <c r="Y378">
        <v>68</v>
      </c>
      <c r="Z378">
        <v>175</v>
      </c>
      <c r="AA378">
        <v>91</v>
      </c>
      <c r="AB378" t="s">
        <v>370</v>
      </c>
      <c r="AC378" t="s">
        <v>237</v>
      </c>
      <c r="AD378" t="s">
        <v>210</v>
      </c>
      <c r="AE378" t="s">
        <v>183</v>
      </c>
      <c r="AF378">
        <v>1</v>
      </c>
    </row>
    <row r="379" spans="1:32">
      <c r="A379">
        <v>144</v>
      </c>
      <c r="B379">
        <v>1005</v>
      </c>
      <c r="C379" t="s">
        <v>1747</v>
      </c>
      <c r="D379" t="s">
        <v>169</v>
      </c>
      <c r="E379" t="s">
        <v>2165</v>
      </c>
      <c r="F379" t="s">
        <v>193</v>
      </c>
      <c r="G379" t="s">
        <v>2445</v>
      </c>
      <c r="H379" t="s">
        <v>192</v>
      </c>
      <c r="I379" t="s">
        <v>181</v>
      </c>
      <c r="J379" t="s">
        <v>192</v>
      </c>
      <c r="K379" t="s">
        <v>2446</v>
      </c>
      <c r="L379" s="84">
        <v>42171</v>
      </c>
      <c r="M379" t="s">
        <v>381</v>
      </c>
      <c r="N379" t="s">
        <v>266</v>
      </c>
      <c r="O379">
        <v>3</v>
      </c>
      <c r="P379" t="s">
        <v>2447</v>
      </c>
      <c r="Q379" t="s">
        <v>2448</v>
      </c>
      <c r="R379" t="s">
        <v>2449</v>
      </c>
      <c r="S379" t="s">
        <v>2450</v>
      </c>
      <c r="T379" t="s">
        <v>36</v>
      </c>
      <c r="U379" t="s">
        <v>80</v>
      </c>
      <c r="V379">
        <v>42</v>
      </c>
      <c r="W379">
        <v>82</v>
      </c>
      <c r="X379">
        <v>120</v>
      </c>
      <c r="Y379">
        <v>68</v>
      </c>
      <c r="Z379">
        <v>175</v>
      </c>
      <c r="AA379">
        <v>91</v>
      </c>
      <c r="AB379" t="s">
        <v>370</v>
      </c>
      <c r="AC379" t="s">
        <v>237</v>
      </c>
      <c r="AD379" t="s">
        <v>210</v>
      </c>
      <c r="AE379" t="s">
        <v>183</v>
      </c>
      <c r="AF379">
        <v>1</v>
      </c>
    </row>
    <row r="380" spans="1:32">
      <c r="A380">
        <v>144</v>
      </c>
      <c r="B380">
        <v>1005</v>
      </c>
      <c r="C380" t="s">
        <v>1747</v>
      </c>
      <c r="D380" t="s">
        <v>169</v>
      </c>
      <c r="E380" t="s">
        <v>2165</v>
      </c>
      <c r="F380" t="s">
        <v>193</v>
      </c>
      <c r="G380" t="s">
        <v>2445</v>
      </c>
      <c r="H380" t="s">
        <v>192</v>
      </c>
      <c r="I380" t="s">
        <v>181</v>
      </c>
      <c r="J380" t="s">
        <v>192</v>
      </c>
      <c r="K380" t="s">
        <v>2446</v>
      </c>
      <c r="L380" s="84">
        <v>42171</v>
      </c>
      <c r="M380" t="s">
        <v>381</v>
      </c>
      <c r="N380" t="s">
        <v>266</v>
      </c>
      <c r="O380">
        <v>3</v>
      </c>
      <c r="P380" t="s">
        <v>2447</v>
      </c>
      <c r="Q380" t="s">
        <v>2448</v>
      </c>
      <c r="R380" t="s">
        <v>2449</v>
      </c>
      <c r="S380" t="s">
        <v>2450</v>
      </c>
      <c r="T380" t="s">
        <v>36</v>
      </c>
      <c r="U380" t="s">
        <v>80</v>
      </c>
      <c r="V380">
        <v>42</v>
      </c>
      <c r="W380">
        <v>82</v>
      </c>
      <c r="X380">
        <v>120</v>
      </c>
      <c r="Y380">
        <v>68</v>
      </c>
      <c r="Z380">
        <v>175</v>
      </c>
      <c r="AA380">
        <v>91</v>
      </c>
      <c r="AB380" t="s">
        <v>370</v>
      </c>
      <c r="AC380" t="s">
        <v>237</v>
      </c>
      <c r="AD380" t="s">
        <v>210</v>
      </c>
      <c r="AE380" t="s">
        <v>183</v>
      </c>
      <c r="AF380">
        <v>1</v>
      </c>
    </row>
    <row r="381" spans="1:32">
      <c r="A381">
        <v>144</v>
      </c>
      <c r="B381">
        <v>1005</v>
      </c>
      <c r="C381" t="s">
        <v>1747</v>
      </c>
      <c r="D381" t="s">
        <v>169</v>
      </c>
      <c r="E381" t="s">
        <v>2165</v>
      </c>
      <c r="F381" t="s">
        <v>193</v>
      </c>
      <c r="G381" t="s">
        <v>2445</v>
      </c>
      <c r="H381" t="s">
        <v>192</v>
      </c>
      <c r="I381" t="s">
        <v>181</v>
      </c>
      <c r="J381" t="s">
        <v>192</v>
      </c>
      <c r="K381" t="s">
        <v>2446</v>
      </c>
      <c r="L381" s="84">
        <v>42171</v>
      </c>
      <c r="M381" t="s">
        <v>381</v>
      </c>
      <c r="N381" t="s">
        <v>266</v>
      </c>
      <c r="O381">
        <v>3</v>
      </c>
      <c r="P381" t="s">
        <v>2447</v>
      </c>
      <c r="Q381" t="s">
        <v>2448</v>
      </c>
      <c r="R381" t="s">
        <v>2449</v>
      </c>
      <c r="S381" t="s">
        <v>2450</v>
      </c>
      <c r="T381" t="s">
        <v>36</v>
      </c>
      <c r="U381" t="s">
        <v>80</v>
      </c>
      <c r="V381">
        <v>42</v>
      </c>
      <c r="W381">
        <v>82</v>
      </c>
      <c r="X381">
        <v>120</v>
      </c>
      <c r="Y381">
        <v>68</v>
      </c>
      <c r="Z381">
        <v>175</v>
      </c>
      <c r="AA381">
        <v>91</v>
      </c>
      <c r="AB381" t="s">
        <v>370</v>
      </c>
      <c r="AC381" t="s">
        <v>237</v>
      </c>
      <c r="AD381" t="s">
        <v>210</v>
      </c>
      <c r="AE381" t="s">
        <v>183</v>
      </c>
      <c r="AF381">
        <v>1</v>
      </c>
    </row>
    <row r="382" spans="1:32">
      <c r="A382">
        <v>144</v>
      </c>
      <c r="B382">
        <v>1005</v>
      </c>
      <c r="C382" t="s">
        <v>1747</v>
      </c>
      <c r="D382" t="s">
        <v>169</v>
      </c>
      <c r="E382" t="s">
        <v>2165</v>
      </c>
      <c r="F382" t="s">
        <v>193</v>
      </c>
      <c r="G382" t="s">
        <v>2445</v>
      </c>
      <c r="H382" t="s">
        <v>192</v>
      </c>
      <c r="I382" t="s">
        <v>181</v>
      </c>
      <c r="J382" t="s">
        <v>192</v>
      </c>
      <c r="K382" t="s">
        <v>2446</v>
      </c>
      <c r="L382" s="84">
        <v>42171</v>
      </c>
      <c r="M382" t="s">
        <v>381</v>
      </c>
      <c r="N382" t="s">
        <v>266</v>
      </c>
      <c r="O382">
        <v>3</v>
      </c>
      <c r="P382" t="s">
        <v>2447</v>
      </c>
      <c r="Q382" t="s">
        <v>2448</v>
      </c>
      <c r="R382" t="s">
        <v>2449</v>
      </c>
      <c r="S382" t="s">
        <v>2450</v>
      </c>
      <c r="T382" t="s">
        <v>36</v>
      </c>
      <c r="U382" t="s">
        <v>80</v>
      </c>
      <c r="V382">
        <v>42</v>
      </c>
      <c r="W382">
        <v>82</v>
      </c>
      <c r="X382">
        <v>120</v>
      </c>
      <c r="Y382">
        <v>68</v>
      </c>
      <c r="Z382">
        <v>175</v>
      </c>
      <c r="AA382">
        <v>91</v>
      </c>
      <c r="AB382" t="s">
        <v>370</v>
      </c>
      <c r="AC382" t="s">
        <v>237</v>
      </c>
      <c r="AD382" t="s">
        <v>210</v>
      </c>
      <c r="AE382" t="s">
        <v>183</v>
      </c>
      <c r="AF382">
        <v>1</v>
      </c>
    </row>
    <row r="383" spans="1:32">
      <c r="A383">
        <v>144</v>
      </c>
      <c r="B383">
        <v>1005</v>
      </c>
      <c r="C383" t="s">
        <v>1747</v>
      </c>
      <c r="D383" t="s">
        <v>169</v>
      </c>
      <c r="E383" t="s">
        <v>2165</v>
      </c>
      <c r="F383" t="s">
        <v>193</v>
      </c>
      <c r="G383" t="s">
        <v>2445</v>
      </c>
      <c r="H383" t="s">
        <v>192</v>
      </c>
      <c r="I383" t="s">
        <v>181</v>
      </c>
      <c r="J383" t="s">
        <v>192</v>
      </c>
      <c r="K383" t="s">
        <v>2446</v>
      </c>
      <c r="L383" s="84">
        <v>42171</v>
      </c>
      <c r="M383" t="s">
        <v>381</v>
      </c>
      <c r="N383" t="s">
        <v>266</v>
      </c>
      <c r="O383">
        <v>3</v>
      </c>
      <c r="P383" t="s">
        <v>2447</v>
      </c>
      <c r="Q383" t="s">
        <v>2448</v>
      </c>
      <c r="R383" t="s">
        <v>2449</v>
      </c>
      <c r="S383" t="s">
        <v>2450</v>
      </c>
      <c r="T383" t="s">
        <v>36</v>
      </c>
      <c r="U383" t="s">
        <v>80</v>
      </c>
      <c r="V383">
        <v>42</v>
      </c>
      <c r="W383">
        <v>82</v>
      </c>
      <c r="X383">
        <v>120</v>
      </c>
      <c r="Y383">
        <v>68</v>
      </c>
      <c r="Z383">
        <v>175</v>
      </c>
      <c r="AA383">
        <v>91</v>
      </c>
      <c r="AB383" t="s">
        <v>370</v>
      </c>
      <c r="AC383" t="s">
        <v>237</v>
      </c>
      <c r="AD383" t="s">
        <v>210</v>
      </c>
      <c r="AE383" t="s">
        <v>183</v>
      </c>
      <c r="AF383">
        <v>1</v>
      </c>
    </row>
    <row r="384" spans="1:32">
      <c r="A384">
        <v>144</v>
      </c>
      <c r="B384">
        <v>1005</v>
      </c>
      <c r="C384" t="s">
        <v>1747</v>
      </c>
      <c r="D384" t="s">
        <v>169</v>
      </c>
      <c r="E384" t="s">
        <v>2165</v>
      </c>
      <c r="F384" t="s">
        <v>193</v>
      </c>
      <c r="G384" t="s">
        <v>2445</v>
      </c>
      <c r="H384" t="s">
        <v>192</v>
      </c>
      <c r="I384" t="s">
        <v>181</v>
      </c>
      <c r="J384" t="s">
        <v>192</v>
      </c>
      <c r="K384" t="s">
        <v>2446</v>
      </c>
      <c r="L384" s="84">
        <v>42171</v>
      </c>
      <c r="M384" t="s">
        <v>381</v>
      </c>
      <c r="N384" t="s">
        <v>266</v>
      </c>
      <c r="O384">
        <v>3</v>
      </c>
      <c r="P384" t="s">
        <v>2447</v>
      </c>
      <c r="Q384" t="s">
        <v>2448</v>
      </c>
      <c r="R384" t="s">
        <v>2449</v>
      </c>
      <c r="S384" t="s">
        <v>2450</v>
      </c>
      <c r="T384" t="s">
        <v>36</v>
      </c>
      <c r="U384" t="s">
        <v>80</v>
      </c>
      <c r="V384">
        <v>42</v>
      </c>
      <c r="W384">
        <v>82</v>
      </c>
      <c r="X384">
        <v>120</v>
      </c>
      <c r="Y384">
        <v>68</v>
      </c>
      <c r="Z384">
        <v>175</v>
      </c>
      <c r="AA384">
        <v>91</v>
      </c>
      <c r="AB384" t="s">
        <v>370</v>
      </c>
      <c r="AC384" t="s">
        <v>237</v>
      </c>
      <c r="AD384" t="s">
        <v>210</v>
      </c>
      <c r="AE384" t="s">
        <v>183</v>
      </c>
      <c r="AF384">
        <v>1</v>
      </c>
    </row>
    <row r="385" spans="1:32">
      <c r="A385">
        <v>144</v>
      </c>
      <c r="B385">
        <v>1005</v>
      </c>
      <c r="C385" t="s">
        <v>1747</v>
      </c>
      <c r="D385" t="s">
        <v>169</v>
      </c>
      <c r="E385" t="s">
        <v>2165</v>
      </c>
      <c r="F385" t="s">
        <v>193</v>
      </c>
      <c r="G385" t="s">
        <v>2445</v>
      </c>
      <c r="H385" t="s">
        <v>192</v>
      </c>
      <c r="I385" t="s">
        <v>181</v>
      </c>
      <c r="J385" t="s">
        <v>192</v>
      </c>
      <c r="K385" t="s">
        <v>2446</v>
      </c>
      <c r="L385" s="84">
        <v>42171</v>
      </c>
      <c r="M385" t="s">
        <v>381</v>
      </c>
      <c r="N385" t="s">
        <v>266</v>
      </c>
      <c r="O385">
        <v>3</v>
      </c>
      <c r="P385" t="s">
        <v>2447</v>
      </c>
      <c r="Q385" t="s">
        <v>2448</v>
      </c>
      <c r="R385" t="s">
        <v>2449</v>
      </c>
      <c r="S385" t="s">
        <v>2450</v>
      </c>
      <c r="T385" t="s">
        <v>36</v>
      </c>
      <c r="U385" t="s">
        <v>80</v>
      </c>
      <c r="V385">
        <v>42</v>
      </c>
      <c r="W385">
        <v>82</v>
      </c>
      <c r="X385">
        <v>120</v>
      </c>
      <c r="Y385">
        <v>68</v>
      </c>
      <c r="Z385">
        <v>175</v>
      </c>
      <c r="AA385">
        <v>91</v>
      </c>
      <c r="AB385" t="s">
        <v>370</v>
      </c>
      <c r="AC385" t="s">
        <v>237</v>
      </c>
      <c r="AD385" t="s">
        <v>210</v>
      </c>
      <c r="AE385" t="s">
        <v>183</v>
      </c>
      <c r="AF385">
        <v>1</v>
      </c>
    </row>
    <row r="386" spans="1:32">
      <c r="A386">
        <v>144</v>
      </c>
      <c r="B386">
        <v>1005</v>
      </c>
      <c r="C386" t="s">
        <v>1747</v>
      </c>
      <c r="D386" t="s">
        <v>169</v>
      </c>
      <c r="E386" t="s">
        <v>2165</v>
      </c>
      <c r="F386" t="s">
        <v>193</v>
      </c>
      <c r="G386" t="s">
        <v>2445</v>
      </c>
      <c r="H386" t="s">
        <v>192</v>
      </c>
      <c r="I386" t="s">
        <v>181</v>
      </c>
      <c r="J386" t="s">
        <v>192</v>
      </c>
      <c r="K386" t="s">
        <v>2446</v>
      </c>
      <c r="L386" s="84">
        <v>42171</v>
      </c>
      <c r="M386" t="s">
        <v>381</v>
      </c>
      <c r="N386" t="s">
        <v>266</v>
      </c>
      <c r="O386">
        <v>3</v>
      </c>
      <c r="P386" t="s">
        <v>2447</v>
      </c>
      <c r="Q386" t="s">
        <v>2448</v>
      </c>
      <c r="R386" t="s">
        <v>2449</v>
      </c>
      <c r="S386" t="s">
        <v>2450</v>
      </c>
      <c r="T386" t="s">
        <v>36</v>
      </c>
      <c r="U386" t="s">
        <v>80</v>
      </c>
      <c r="V386">
        <v>42</v>
      </c>
      <c r="W386">
        <v>82</v>
      </c>
      <c r="X386">
        <v>120</v>
      </c>
      <c r="Y386">
        <v>68</v>
      </c>
      <c r="Z386">
        <v>175</v>
      </c>
      <c r="AA386">
        <v>91</v>
      </c>
      <c r="AB386" t="s">
        <v>370</v>
      </c>
      <c r="AC386" t="s">
        <v>237</v>
      </c>
      <c r="AD386" t="s">
        <v>210</v>
      </c>
      <c r="AE386" t="s">
        <v>183</v>
      </c>
      <c r="AF386">
        <v>1</v>
      </c>
    </row>
    <row r="387" spans="1:32">
      <c r="A387">
        <v>144</v>
      </c>
      <c r="B387">
        <v>1005</v>
      </c>
      <c r="C387" t="s">
        <v>1747</v>
      </c>
      <c r="D387" t="s">
        <v>169</v>
      </c>
      <c r="E387" t="s">
        <v>2165</v>
      </c>
      <c r="F387" t="s">
        <v>193</v>
      </c>
      <c r="G387" t="s">
        <v>2445</v>
      </c>
      <c r="H387" t="s">
        <v>192</v>
      </c>
      <c r="I387" t="s">
        <v>181</v>
      </c>
      <c r="J387" t="s">
        <v>192</v>
      </c>
      <c r="K387" t="s">
        <v>2446</v>
      </c>
      <c r="L387" s="84">
        <v>42171</v>
      </c>
      <c r="M387" t="s">
        <v>381</v>
      </c>
      <c r="N387" t="s">
        <v>266</v>
      </c>
      <c r="O387">
        <v>3</v>
      </c>
      <c r="P387" t="s">
        <v>2447</v>
      </c>
      <c r="Q387" t="s">
        <v>2448</v>
      </c>
      <c r="R387" t="s">
        <v>2449</v>
      </c>
      <c r="S387" t="s">
        <v>2450</v>
      </c>
      <c r="T387" t="s">
        <v>36</v>
      </c>
      <c r="U387" t="s">
        <v>80</v>
      </c>
      <c r="V387">
        <v>42</v>
      </c>
      <c r="W387">
        <v>82</v>
      </c>
      <c r="X387">
        <v>120</v>
      </c>
      <c r="Y387">
        <v>68</v>
      </c>
      <c r="Z387">
        <v>175</v>
      </c>
      <c r="AA387">
        <v>91</v>
      </c>
      <c r="AB387" t="s">
        <v>370</v>
      </c>
      <c r="AC387" t="s">
        <v>237</v>
      </c>
      <c r="AD387" t="s">
        <v>210</v>
      </c>
      <c r="AE387" t="s">
        <v>183</v>
      </c>
      <c r="AF387">
        <v>1</v>
      </c>
    </row>
    <row r="388" spans="1:32">
      <c r="A388">
        <v>144</v>
      </c>
      <c r="B388">
        <v>1005</v>
      </c>
      <c r="C388" t="s">
        <v>1747</v>
      </c>
      <c r="D388" t="s">
        <v>169</v>
      </c>
      <c r="E388" t="s">
        <v>2165</v>
      </c>
      <c r="F388" t="s">
        <v>193</v>
      </c>
      <c r="G388" t="s">
        <v>2445</v>
      </c>
      <c r="H388" t="s">
        <v>192</v>
      </c>
      <c r="I388" t="s">
        <v>181</v>
      </c>
      <c r="J388" t="s">
        <v>192</v>
      </c>
      <c r="K388" t="s">
        <v>2446</v>
      </c>
      <c r="L388" s="84">
        <v>42171</v>
      </c>
      <c r="M388" t="s">
        <v>381</v>
      </c>
      <c r="N388" t="s">
        <v>266</v>
      </c>
      <c r="O388">
        <v>3</v>
      </c>
      <c r="P388" t="s">
        <v>2447</v>
      </c>
      <c r="Q388" t="s">
        <v>2448</v>
      </c>
      <c r="R388" t="s">
        <v>2449</v>
      </c>
      <c r="S388" t="s">
        <v>2450</v>
      </c>
      <c r="T388" t="s">
        <v>36</v>
      </c>
      <c r="U388" t="s">
        <v>80</v>
      </c>
      <c r="V388">
        <v>42</v>
      </c>
      <c r="W388">
        <v>82</v>
      </c>
      <c r="X388">
        <v>120</v>
      </c>
      <c r="Y388">
        <v>68</v>
      </c>
      <c r="Z388">
        <v>175</v>
      </c>
      <c r="AA388">
        <v>91</v>
      </c>
      <c r="AB388" t="s">
        <v>370</v>
      </c>
      <c r="AC388" t="s">
        <v>237</v>
      </c>
      <c r="AD388" t="s">
        <v>210</v>
      </c>
      <c r="AE388" t="s">
        <v>183</v>
      </c>
      <c r="AF388">
        <v>1</v>
      </c>
    </row>
    <row r="389" spans="1:32">
      <c r="A389">
        <v>144</v>
      </c>
      <c r="B389">
        <v>1005</v>
      </c>
      <c r="C389" t="s">
        <v>1747</v>
      </c>
      <c r="D389" t="s">
        <v>169</v>
      </c>
      <c r="E389" t="s">
        <v>2165</v>
      </c>
      <c r="F389" t="s">
        <v>193</v>
      </c>
      <c r="G389" t="s">
        <v>2445</v>
      </c>
      <c r="H389" t="s">
        <v>192</v>
      </c>
      <c r="I389" t="s">
        <v>181</v>
      </c>
      <c r="J389" t="s">
        <v>192</v>
      </c>
      <c r="K389" t="s">
        <v>2446</v>
      </c>
      <c r="L389" s="84">
        <v>42171</v>
      </c>
      <c r="M389" t="s">
        <v>381</v>
      </c>
      <c r="N389" t="s">
        <v>266</v>
      </c>
      <c r="O389">
        <v>3</v>
      </c>
      <c r="P389" t="s">
        <v>2447</v>
      </c>
      <c r="Q389" t="s">
        <v>2448</v>
      </c>
      <c r="R389" t="s">
        <v>2449</v>
      </c>
      <c r="S389" t="s">
        <v>2450</v>
      </c>
      <c r="T389" t="s">
        <v>36</v>
      </c>
      <c r="U389" t="s">
        <v>80</v>
      </c>
      <c r="V389">
        <v>42</v>
      </c>
      <c r="W389">
        <v>82</v>
      </c>
      <c r="X389">
        <v>120</v>
      </c>
      <c r="Y389">
        <v>68</v>
      </c>
      <c r="Z389">
        <v>175</v>
      </c>
      <c r="AA389">
        <v>91</v>
      </c>
      <c r="AB389" t="s">
        <v>370</v>
      </c>
      <c r="AC389" t="s">
        <v>237</v>
      </c>
      <c r="AD389" t="s">
        <v>210</v>
      </c>
      <c r="AE389" t="s">
        <v>183</v>
      </c>
      <c r="AF389">
        <v>1</v>
      </c>
    </row>
    <row r="390" spans="1:32">
      <c r="A390">
        <v>144</v>
      </c>
      <c r="B390">
        <v>1005</v>
      </c>
      <c r="C390" t="s">
        <v>1747</v>
      </c>
      <c r="D390" t="s">
        <v>169</v>
      </c>
      <c r="E390" t="s">
        <v>2165</v>
      </c>
      <c r="F390" t="s">
        <v>193</v>
      </c>
      <c r="G390" t="s">
        <v>2445</v>
      </c>
      <c r="H390" t="s">
        <v>192</v>
      </c>
      <c r="I390" t="s">
        <v>181</v>
      </c>
      <c r="J390" t="s">
        <v>192</v>
      </c>
      <c r="K390" t="s">
        <v>2446</v>
      </c>
      <c r="L390" s="84">
        <v>42171</v>
      </c>
      <c r="M390" t="s">
        <v>381</v>
      </c>
      <c r="N390" t="s">
        <v>266</v>
      </c>
      <c r="O390">
        <v>3</v>
      </c>
      <c r="P390" t="s">
        <v>2447</v>
      </c>
      <c r="Q390" t="s">
        <v>2448</v>
      </c>
      <c r="R390" t="s">
        <v>2449</v>
      </c>
      <c r="S390" t="s">
        <v>2450</v>
      </c>
      <c r="T390" t="s">
        <v>36</v>
      </c>
      <c r="U390" t="s">
        <v>80</v>
      </c>
      <c r="V390">
        <v>42</v>
      </c>
      <c r="W390">
        <v>82</v>
      </c>
      <c r="X390">
        <v>120</v>
      </c>
      <c r="Y390">
        <v>68</v>
      </c>
      <c r="Z390">
        <v>175</v>
      </c>
      <c r="AA390">
        <v>91</v>
      </c>
      <c r="AB390" t="s">
        <v>370</v>
      </c>
      <c r="AC390" t="s">
        <v>237</v>
      </c>
      <c r="AD390" t="s">
        <v>210</v>
      </c>
      <c r="AE390" t="s">
        <v>183</v>
      </c>
      <c r="AF390">
        <v>1</v>
      </c>
    </row>
    <row r="391" spans="1:32">
      <c r="A391">
        <v>144</v>
      </c>
      <c r="B391">
        <v>1005</v>
      </c>
      <c r="C391" t="s">
        <v>1747</v>
      </c>
      <c r="D391" t="s">
        <v>169</v>
      </c>
      <c r="E391" t="s">
        <v>2165</v>
      </c>
      <c r="F391" t="s">
        <v>193</v>
      </c>
      <c r="G391" t="s">
        <v>2445</v>
      </c>
      <c r="H391" t="s">
        <v>192</v>
      </c>
      <c r="I391" t="s">
        <v>181</v>
      </c>
      <c r="J391" t="s">
        <v>192</v>
      </c>
      <c r="K391" t="s">
        <v>2446</v>
      </c>
      <c r="L391" s="84">
        <v>42171</v>
      </c>
      <c r="M391" t="s">
        <v>381</v>
      </c>
      <c r="N391" t="s">
        <v>266</v>
      </c>
      <c r="O391">
        <v>3</v>
      </c>
      <c r="P391" t="s">
        <v>2447</v>
      </c>
      <c r="Q391" t="s">
        <v>2448</v>
      </c>
      <c r="R391" t="s">
        <v>2449</v>
      </c>
      <c r="S391" t="s">
        <v>2450</v>
      </c>
      <c r="T391" t="s">
        <v>36</v>
      </c>
      <c r="U391" t="s">
        <v>80</v>
      </c>
      <c r="V391">
        <v>42</v>
      </c>
      <c r="W391">
        <v>82</v>
      </c>
      <c r="X391">
        <v>120</v>
      </c>
      <c r="Y391">
        <v>68</v>
      </c>
      <c r="Z391">
        <v>175</v>
      </c>
      <c r="AA391">
        <v>91</v>
      </c>
      <c r="AB391" t="s">
        <v>370</v>
      </c>
      <c r="AC391" t="s">
        <v>237</v>
      </c>
      <c r="AD391" t="s">
        <v>210</v>
      </c>
      <c r="AE391" t="s">
        <v>183</v>
      </c>
      <c r="AF391">
        <v>1</v>
      </c>
    </row>
    <row r="392" spans="1:32">
      <c r="A392">
        <v>144</v>
      </c>
      <c r="B392">
        <v>1005</v>
      </c>
      <c r="C392" t="s">
        <v>1747</v>
      </c>
      <c r="D392" t="s">
        <v>169</v>
      </c>
      <c r="E392" t="s">
        <v>2165</v>
      </c>
      <c r="F392" t="s">
        <v>193</v>
      </c>
      <c r="G392" t="s">
        <v>2445</v>
      </c>
      <c r="H392" t="s">
        <v>192</v>
      </c>
      <c r="I392" t="s">
        <v>181</v>
      </c>
      <c r="J392" t="s">
        <v>192</v>
      </c>
      <c r="K392" t="s">
        <v>2446</v>
      </c>
      <c r="L392" s="84">
        <v>42171</v>
      </c>
      <c r="M392" t="s">
        <v>381</v>
      </c>
      <c r="N392" t="s">
        <v>266</v>
      </c>
      <c r="O392">
        <v>3</v>
      </c>
      <c r="P392" t="s">
        <v>2447</v>
      </c>
      <c r="Q392" t="s">
        <v>2448</v>
      </c>
      <c r="R392" t="s">
        <v>2449</v>
      </c>
      <c r="S392" t="s">
        <v>2450</v>
      </c>
      <c r="T392" t="s">
        <v>36</v>
      </c>
      <c r="U392" t="s">
        <v>80</v>
      </c>
      <c r="V392">
        <v>42</v>
      </c>
      <c r="W392">
        <v>82</v>
      </c>
      <c r="X392">
        <v>120</v>
      </c>
      <c r="Y392">
        <v>68</v>
      </c>
      <c r="Z392">
        <v>175</v>
      </c>
      <c r="AA392">
        <v>91</v>
      </c>
      <c r="AB392" t="s">
        <v>370</v>
      </c>
      <c r="AC392" t="s">
        <v>237</v>
      </c>
      <c r="AD392" t="s">
        <v>210</v>
      </c>
      <c r="AE392" t="s">
        <v>183</v>
      </c>
      <c r="AF392">
        <v>1</v>
      </c>
    </row>
    <row r="393" spans="1:32">
      <c r="A393">
        <v>144</v>
      </c>
      <c r="B393">
        <v>1005</v>
      </c>
      <c r="C393" t="s">
        <v>1747</v>
      </c>
      <c r="D393" t="s">
        <v>169</v>
      </c>
      <c r="E393" t="s">
        <v>2165</v>
      </c>
      <c r="F393" t="s">
        <v>193</v>
      </c>
      <c r="G393" t="s">
        <v>2445</v>
      </c>
      <c r="H393" t="s">
        <v>192</v>
      </c>
      <c r="I393" t="s">
        <v>181</v>
      </c>
      <c r="J393" t="s">
        <v>192</v>
      </c>
      <c r="K393" t="s">
        <v>2446</v>
      </c>
      <c r="L393" s="84">
        <v>42171</v>
      </c>
      <c r="M393" t="s">
        <v>381</v>
      </c>
      <c r="N393" t="s">
        <v>266</v>
      </c>
      <c r="O393">
        <v>3</v>
      </c>
      <c r="P393" t="s">
        <v>2447</v>
      </c>
      <c r="Q393" t="s">
        <v>2448</v>
      </c>
      <c r="R393" t="s">
        <v>2449</v>
      </c>
      <c r="S393" t="s">
        <v>2450</v>
      </c>
      <c r="T393" t="s">
        <v>36</v>
      </c>
      <c r="U393" t="s">
        <v>80</v>
      </c>
      <c r="V393">
        <v>42</v>
      </c>
      <c r="W393">
        <v>82</v>
      </c>
      <c r="X393">
        <v>120</v>
      </c>
      <c r="Y393">
        <v>68</v>
      </c>
      <c r="Z393">
        <v>175</v>
      </c>
      <c r="AA393">
        <v>91</v>
      </c>
      <c r="AB393" t="s">
        <v>370</v>
      </c>
      <c r="AC393" t="s">
        <v>237</v>
      </c>
      <c r="AD393" t="s">
        <v>210</v>
      </c>
      <c r="AE393" t="s">
        <v>183</v>
      </c>
      <c r="AF393">
        <v>1</v>
      </c>
    </row>
    <row r="394" spans="1:32">
      <c r="A394">
        <v>144</v>
      </c>
      <c r="B394">
        <v>1005</v>
      </c>
      <c r="C394" t="s">
        <v>1747</v>
      </c>
      <c r="D394" t="s">
        <v>169</v>
      </c>
      <c r="E394" t="s">
        <v>2165</v>
      </c>
      <c r="F394" t="s">
        <v>193</v>
      </c>
      <c r="G394" t="s">
        <v>2445</v>
      </c>
      <c r="H394" t="s">
        <v>192</v>
      </c>
      <c r="I394" t="s">
        <v>181</v>
      </c>
      <c r="J394" t="s">
        <v>192</v>
      </c>
      <c r="K394" t="s">
        <v>2446</v>
      </c>
      <c r="L394" s="84">
        <v>42171</v>
      </c>
      <c r="M394" t="s">
        <v>381</v>
      </c>
      <c r="N394" t="s">
        <v>266</v>
      </c>
      <c r="O394">
        <v>3</v>
      </c>
      <c r="P394" t="s">
        <v>2447</v>
      </c>
      <c r="Q394" t="s">
        <v>2448</v>
      </c>
      <c r="R394" t="s">
        <v>2449</v>
      </c>
      <c r="S394" t="s">
        <v>2450</v>
      </c>
      <c r="T394" t="s">
        <v>36</v>
      </c>
      <c r="U394" t="s">
        <v>80</v>
      </c>
      <c r="V394">
        <v>42</v>
      </c>
      <c r="W394">
        <v>82</v>
      </c>
      <c r="X394">
        <v>120</v>
      </c>
      <c r="Y394">
        <v>68</v>
      </c>
      <c r="Z394">
        <v>175</v>
      </c>
      <c r="AA394">
        <v>91</v>
      </c>
      <c r="AB394" t="s">
        <v>370</v>
      </c>
      <c r="AC394" t="s">
        <v>237</v>
      </c>
      <c r="AD394" t="s">
        <v>210</v>
      </c>
      <c r="AE394" t="s">
        <v>183</v>
      </c>
      <c r="AF394">
        <v>1</v>
      </c>
    </row>
    <row r="395" spans="1:32">
      <c r="A395">
        <v>144</v>
      </c>
      <c r="B395">
        <v>1005</v>
      </c>
      <c r="C395" t="s">
        <v>1747</v>
      </c>
      <c r="D395" t="s">
        <v>169</v>
      </c>
      <c r="E395" t="s">
        <v>2165</v>
      </c>
      <c r="F395" t="s">
        <v>193</v>
      </c>
      <c r="G395" t="s">
        <v>2445</v>
      </c>
      <c r="H395" t="s">
        <v>192</v>
      </c>
      <c r="I395" t="s">
        <v>181</v>
      </c>
      <c r="J395" t="s">
        <v>192</v>
      </c>
      <c r="K395" t="s">
        <v>2446</v>
      </c>
      <c r="L395" s="84">
        <v>42171</v>
      </c>
      <c r="M395" t="s">
        <v>381</v>
      </c>
      <c r="N395" t="s">
        <v>266</v>
      </c>
      <c r="O395">
        <v>3</v>
      </c>
      <c r="P395" t="s">
        <v>2447</v>
      </c>
      <c r="Q395" t="s">
        <v>2448</v>
      </c>
      <c r="R395" t="s">
        <v>2449</v>
      </c>
      <c r="S395" t="s">
        <v>2450</v>
      </c>
      <c r="T395" t="s">
        <v>36</v>
      </c>
      <c r="U395" t="s">
        <v>80</v>
      </c>
      <c r="V395">
        <v>42</v>
      </c>
      <c r="W395">
        <v>82</v>
      </c>
      <c r="X395">
        <v>120</v>
      </c>
      <c r="Y395">
        <v>68</v>
      </c>
      <c r="Z395">
        <v>175</v>
      </c>
      <c r="AA395">
        <v>91</v>
      </c>
      <c r="AB395" t="s">
        <v>370</v>
      </c>
      <c r="AC395" t="s">
        <v>237</v>
      </c>
      <c r="AD395" t="s">
        <v>210</v>
      </c>
      <c r="AE395" t="s">
        <v>183</v>
      </c>
      <c r="AF395">
        <v>1</v>
      </c>
    </row>
    <row r="396" spans="1:32">
      <c r="A396">
        <v>144</v>
      </c>
      <c r="B396">
        <v>1005</v>
      </c>
      <c r="C396" t="s">
        <v>1747</v>
      </c>
      <c r="D396" t="s">
        <v>169</v>
      </c>
      <c r="E396" t="s">
        <v>2165</v>
      </c>
      <c r="F396" t="s">
        <v>193</v>
      </c>
      <c r="G396" t="s">
        <v>2445</v>
      </c>
      <c r="H396" t="s">
        <v>192</v>
      </c>
      <c r="I396" t="s">
        <v>181</v>
      </c>
      <c r="J396" t="s">
        <v>192</v>
      </c>
      <c r="K396" t="s">
        <v>2446</v>
      </c>
      <c r="L396" s="84">
        <v>42171</v>
      </c>
      <c r="M396" t="s">
        <v>381</v>
      </c>
      <c r="N396" t="s">
        <v>266</v>
      </c>
      <c r="O396">
        <v>3</v>
      </c>
      <c r="P396" t="s">
        <v>2447</v>
      </c>
      <c r="Q396" t="s">
        <v>2448</v>
      </c>
      <c r="R396" t="s">
        <v>2449</v>
      </c>
      <c r="S396" t="s">
        <v>2450</v>
      </c>
      <c r="T396" t="s">
        <v>36</v>
      </c>
      <c r="U396" t="s">
        <v>80</v>
      </c>
      <c r="V396">
        <v>42</v>
      </c>
      <c r="W396">
        <v>82</v>
      </c>
      <c r="X396">
        <v>120</v>
      </c>
      <c r="Y396">
        <v>68</v>
      </c>
      <c r="Z396">
        <v>175</v>
      </c>
      <c r="AA396">
        <v>91</v>
      </c>
      <c r="AB396" t="s">
        <v>370</v>
      </c>
      <c r="AC396" t="s">
        <v>237</v>
      </c>
      <c r="AD396" t="s">
        <v>210</v>
      </c>
      <c r="AE396" t="s">
        <v>183</v>
      </c>
      <c r="AF396">
        <v>1</v>
      </c>
    </row>
    <row r="397" spans="1:32">
      <c r="A397">
        <v>144</v>
      </c>
      <c r="B397">
        <v>1005</v>
      </c>
      <c r="C397" t="s">
        <v>1747</v>
      </c>
      <c r="D397" t="s">
        <v>169</v>
      </c>
      <c r="E397" t="s">
        <v>2165</v>
      </c>
      <c r="F397" t="s">
        <v>193</v>
      </c>
      <c r="G397" t="s">
        <v>2445</v>
      </c>
      <c r="H397" t="s">
        <v>192</v>
      </c>
      <c r="I397" t="s">
        <v>181</v>
      </c>
      <c r="J397" t="s">
        <v>192</v>
      </c>
      <c r="K397" t="s">
        <v>2446</v>
      </c>
      <c r="L397" s="84">
        <v>42171</v>
      </c>
      <c r="M397" t="s">
        <v>381</v>
      </c>
      <c r="N397" t="s">
        <v>266</v>
      </c>
      <c r="O397">
        <v>3</v>
      </c>
      <c r="P397" t="s">
        <v>2447</v>
      </c>
      <c r="Q397" t="s">
        <v>2448</v>
      </c>
      <c r="R397" t="s">
        <v>2449</v>
      </c>
      <c r="S397" t="s">
        <v>2450</v>
      </c>
      <c r="T397" t="s">
        <v>36</v>
      </c>
      <c r="U397" t="s">
        <v>80</v>
      </c>
      <c r="V397">
        <v>42</v>
      </c>
      <c r="W397">
        <v>82</v>
      </c>
      <c r="X397">
        <v>120</v>
      </c>
      <c r="Y397">
        <v>68</v>
      </c>
      <c r="Z397">
        <v>175</v>
      </c>
      <c r="AA397">
        <v>91</v>
      </c>
      <c r="AB397" t="s">
        <v>370</v>
      </c>
      <c r="AC397" t="s">
        <v>237</v>
      </c>
      <c r="AD397" t="s">
        <v>210</v>
      </c>
      <c r="AE397" t="s">
        <v>183</v>
      </c>
      <c r="AF397">
        <v>1</v>
      </c>
    </row>
    <row r="398" spans="1:32">
      <c r="A398">
        <v>144</v>
      </c>
      <c r="B398">
        <v>1005</v>
      </c>
      <c r="C398" t="s">
        <v>1747</v>
      </c>
      <c r="D398" t="s">
        <v>169</v>
      </c>
      <c r="E398" t="s">
        <v>2165</v>
      </c>
      <c r="F398" t="s">
        <v>193</v>
      </c>
      <c r="G398" t="s">
        <v>2445</v>
      </c>
      <c r="H398" t="s">
        <v>192</v>
      </c>
      <c r="I398" t="s">
        <v>181</v>
      </c>
      <c r="J398" t="s">
        <v>192</v>
      </c>
      <c r="K398" t="s">
        <v>2446</v>
      </c>
      <c r="L398" s="84">
        <v>42171</v>
      </c>
      <c r="M398" t="s">
        <v>381</v>
      </c>
      <c r="N398" t="s">
        <v>266</v>
      </c>
      <c r="O398">
        <v>3</v>
      </c>
      <c r="P398" t="s">
        <v>2447</v>
      </c>
      <c r="Q398" t="s">
        <v>2448</v>
      </c>
      <c r="R398" t="s">
        <v>2449</v>
      </c>
      <c r="S398" t="s">
        <v>2450</v>
      </c>
      <c r="T398" t="s">
        <v>36</v>
      </c>
      <c r="U398" t="s">
        <v>80</v>
      </c>
      <c r="V398">
        <v>42</v>
      </c>
      <c r="W398">
        <v>82</v>
      </c>
      <c r="X398">
        <v>120</v>
      </c>
      <c r="Y398">
        <v>68</v>
      </c>
      <c r="Z398">
        <v>175</v>
      </c>
      <c r="AA398">
        <v>91</v>
      </c>
      <c r="AB398" t="s">
        <v>370</v>
      </c>
      <c r="AC398" t="s">
        <v>237</v>
      </c>
      <c r="AD398" t="s">
        <v>210</v>
      </c>
      <c r="AE398" t="s">
        <v>183</v>
      </c>
      <c r="AF398">
        <v>1</v>
      </c>
    </row>
    <row r="399" spans="1:32">
      <c r="A399">
        <v>144</v>
      </c>
      <c r="B399">
        <v>1005</v>
      </c>
      <c r="C399" t="s">
        <v>1747</v>
      </c>
      <c r="D399" t="s">
        <v>169</v>
      </c>
      <c r="E399" t="s">
        <v>2165</v>
      </c>
      <c r="F399" t="s">
        <v>197</v>
      </c>
      <c r="G399" t="s">
        <v>2452</v>
      </c>
      <c r="H399" t="s">
        <v>192</v>
      </c>
      <c r="I399" t="s">
        <v>212</v>
      </c>
      <c r="J399" t="s">
        <v>192</v>
      </c>
      <c r="K399" t="s">
        <v>2446</v>
      </c>
      <c r="L399" s="84">
        <v>42171</v>
      </c>
      <c r="M399" t="s">
        <v>381</v>
      </c>
      <c r="N399" t="s">
        <v>266</v>
      </c>
      <c r="O399">
        <v>3</v>
      </c>
      <c r="P399" t="s">
        <v>2447</v>
      </c>
      <c r="Q399" t="s">
        <v>2448</v>
      </c>
      <c r="R399" t="s">
        <v>2449</v>
      </c>
      <c r="S399" t="s">
        <v>2450</v>
      </c>
      <c r="T399" t="s">
        <v>38</v>
      </c>
      <c r="U399" t="s">
        <v>80</v>
      </c>
      <c r="V399">
        <v>42</v>
      </c>
      <c r="W399">
        <v>82</v>
      </c>
      <c r="X399">
        <v>120</v>
      </c>
      <c r="Y399">
        <v>68</v>
      </c>
      <c r="Z399">
        <v>175</v>
      </c>
      <c r="AA399">
        <v>91</v>
      </c>
      <c r="AB399" t="s">
        <v>370</v>
      </c>
      <c r="AC399" t="s">
        <v>237</v>
      </c>
      <c r="AD399" t="s">
        <v>210</v>
      </c>
      <c r="AE399" t="s">
        <v>183</v>
      </c>
      <c r="AF399">
        <v>1</v>
      </c>
    </row>
    <row r="400" spans="1:32">
      <c r="A400">
        <v>144</v>
      </c>
      <c r="B400">
        <v>1005</v>
      </c>
      <c r="C400" t="s">
        <v>1747</v>
      </c>
      <c r="D400" t="s">
        <v>169</v>
      </c>
      <c r="E400" t="s">
        <v>2165</v>
      </c>
      <c r="F400" t="s">
        <v>197</v>
      </c>
      <c r="G400" t="s">
        <v>2452</v>
      </c>
      <c r="H400" t="s">
        <v>192</v>
      </c>
      <c r="I400" t="s">
        <v>212</v>
      </c>
      <c r="J400" t="s">
        <v>192</v>
      </c>
      <c r="K400" t="s">
        <v>2446</v>
      </c>
      <c r="L400" s="84">
        <v>42171</v>
      </c>
      <c r="M400" t="s">
        <v>381</v>
      </c>
      <c r="N400" t="s">
        <v>266</v>
      </c>
      <c r="O400">
        <v>3</v>
      </c>
      <c r="P400" t="s">
        <v>2447</v>
      </c>
      <c r="Q400" t="s">
        <v>2448</v>
      </c>
      <c r="R400" t="s">
        <v>2449</v>
      </c>
      <c r="S400" t="s">
        <v>2450</v>
      </c>
      <c r="T400" t="s">
        <v>38</v>
      </c>
      <c r="U400" t="s">
        <v>80</v>
      </c>
      <c r="V400">
        <v>42</v>
      </c>
      <c r="W400">
        <v>82</v>
      </c>
      <c r="X400">
        <v>120</v>
      </c>
      <c r="Y400">
        <v>68</v>
      </c>
      <c r="Z400">
        <v>175</v>
      </c>
      <c r="AA400">
        <v>91</v>
      </c>
      <c r="AB400" t="s">
        <v>370</v>
      </c>
      <c r="AC400" t="s">
        <v>237</v>
      </c>
      <c r="AD400" t="s">
        <v>210</v>
      </c>
      <c r="AE400" t="s">
        <v>183</v>
      </c>
      <c r="AF400">
        <v>1</v>
      </c>
    </row>
    <row r="401" spans="1:32">
      <c r="A401">
        <v>144</v>
      </c>
      <c r="B401">
        <v>1005</v>
      </c>
      <c r="C401" t="s">
        <v>1747</v>
      </c>
      <c r="D401" t="s">
        <v>169</v>
      </c>
      <c r="E401" t="s">
        <v>2165</v>
      </c>
      <c r="F401" t="s">
        <v>197</v>
      </c>
      <c r="G401" t="s">
        <v>2452</v>
      </c>
      <c r="H401" t="s">
        <v>192</v>
      </c>
      <c r="I401" t="s">
        <v>212</v>
      </c>
      <c r="J401" t="s">
        <v>192</v>
      </c>
      <c r="K401" t="s">
        <v>2446</v>
      </c>
      <c r="L401" s="84">
        <v>42171</v>
      </c>
      <c r="M401" t="s">
        <v>381</v>
      </c>
      <c r="N401" t="s">
        <v>266</v>
      </c>
      <c r="O401">
        <v>3</v>
      </c>
      <c r="P401" t="s">
        <v>2447</v>
      </c>
      <c r="Q401" t="s">
        <v>2448</v>
      </c>
      <c r="R401" t="s">
        <v>2449</v>
      </c>
      <c r="S401" t="s">
        <v>2450</v>
      </c>
      <c r="T401" t="s">
        <v>38</v>
      </c>
      <c r="U401" t="s">
        <v>80</v>
      </c>
      <c r="V401">
        <v>42</v>
      </c>
      <c r="W401">
        <v>82</v>
      </c>
      <c r="X401">
        <v>120</v>
      </c>
      <c r="Y401">
        <v>68</v>
      </c>
      <c r="Z401">
        <v>175</v>
      </c>
      <c r="AA401">
        <v>91</v>
      </c>
      <c r="AB401" t="s">
        <v>370</v>
      </c>
      <c r="AC401" t="s">
        <v>237</v>
      </c>
      <c r="AD401" t="s">
        <v>210</v>
      </c>
      <c r="AE401" t="s">
        <v>183</v>
      </c>
      <c r="AF401">
        <v>1</v>
      </c>
    </row>
    <row r="402" spans="1:32">
      <c r="A402">
        <v>144</v>
      </c>
      <c r="B402">
        <v>1005</v>
      </c>
      <c r="C402" t="s">
        <v>1747</v>
      </c>
      <c r="D402" t="s">
        <v>169</v>
      </c>
      <c r="E402" t="s">
        <v>2165</v>
      </c>
      <c r="F402" t="s">
        <v>197</v>
      </c>
      <c r="G402" t="s">
        <v>2452</v>
      </c>
      <c r="H402" t="s">
        <v>192</v>
      </c>
      <c r="I402" t="s">
        <v>212</v>
      </c>
      <c r="J402" t="s">
        <v>192</v>
      </c>
      <c r="K402" t="s">
        <v>2446</v>
      </c>
      <c r="L402" s="84">
        <v>42171</v>
      </c>
      <c r="M402" t="s">
        <v>381</v>
      </c>
      <c r="N402" t="s">
        <v>266</v>
      </c>
      <c r="O402">
        <v>3</v>
      </c>
      <c r="P402" t="s">
        <v>2447</v>
      </c>
      <c r="Q402" t="s">
        <v>2448</v>
      </c>
      <c r="R402" t="s">
        <v>2449</v>
      </c>
      <c r="S402" t="s">
        <v>2450</v>
      </c>
      <c r="T402" t="s">
        <v>38</v>
      </c>
      <c r="U402" t="s">
        <v>80</v>
      </c>
      <c r="V402">
        <v>42</v>
      </c>
      <c r="W402">
        <v>82</v>
      </c>
      <c r="X402">
        <v>120</v>
      </c>
      <c r="Y402">
        <v>68</v>
      </c>
      <c r="Z402">
        <v>175</v>
      </c>
      <c r="AA402">
        <v>91</v>
      </c>
      <c r="AB402" t="s">
        <v>370</v>
      </c>
      <c r="AC402" t="s">
        <v>237</v>
      </c>
      <c r="AD402" t="s">
        <v>210</v>
      </c>
      <c r="AE402" t="s">
        <v>183</v>
      </c>
      <c r="AF402">
        <v>1</v>
      </c>
    </row>
    <row r="403" spans="1:32">
      <c r="A403">
        <v>144</v>
      </c>
      <c r="B403">
        <v>1005</v>
      </c>
      <c r="C403" t="s">
        <v>1747</v>
      </c>
      <c r="D403" t="s">
        <v>169</v>
      </c>
      <c r="E403" t="s">
        <v>2165</v>
      </c>
      <c r="F403" t="s">
        <v>197</v>
      </c>
      <c r="G403" t="s">
        <v>2452</v>
      </c>
      <c r="H403" t="s">
        <v>192</v>
      </c>
      <c r="I403" t="s">
        <v>212</v>
      </c>
      <c r="J403" t="s">
        <v>192</v>
      </c>
      <c r="K403" t="s">
        <v>2446</v>
      </c>
      <c r="L403" s="84">
        <v>42171</v>
      </c>
      <c r="M403" t="s">
        <v>381</v>
      </c>
      <c r="N403" t="s">
        <v>266</v>
      </c>
      <c r="O403">
        <v>3</v>
      </c>
      <c r="P403" t="s">
        <v>2447</v>
      </c>
      <c r="Q403" t="s">
        <v>2448</v>
      </c>
      <c r="R403" t="s">
        <v>2449</v>
      </c>
      <c r="S403" t="s">
        <v>2450</v>
      </c>
      <c r="T403" t="s">
        <v>38</v>
      </c>
      <c r="U403" t="s">
        <v>80</v>
      </c>
      <c r="V403">
        <v>42</v>
      </c>
      <c r="W403">
        <v>82</v>
      </c>
      <c r="X403">
        <v>120</v>
      </c>
      <c r="Y403">
        <v>68</v>
      </c>
      <c r="Z403">
        <v>175</v>
      </c>
      <c r="AA403">
        <v>91</v>
      </c>
      <c r="AB403" t="s">
        <v>370</v>
      </c>
      <c r="AC403" t="s">
        <v>237</v>
      </c>
      <c r="AD403" t="s">
        <v>210</v>
      </c>
      <c r="AE403" t="s">
        <v>183</v>
      </c>
      <c r="AF403">
        <v>1</v>
      </c>
    </row>
    <row r="404" spans="1:32">
      <c r="A404">
        <v>144</v>
      </c>
      <c r="B404">
        <v>1005</v>
      </c>
      <c r="C404" t="s">
        <v>1747</v>
      </c>
      <c r="D404" t="s">
        <v>169</v>
      </c>
      <c r="E404" t="s">
        <v>2165</v>
      </c>
      <c r="F404" t="s">
        <v>197</v>
      </c>
      <c r="G404" t="s">
        <v>2452</v>
      </c>
      <c r="H404" t="s">
        <v>192</v>
      </c>
      <c r="I404" t="s">
        <v>212</v>
      </c>
      <c r="J404" t="s">
        <v>192</v>
      </c>
      <c r="K404" t="s">
        <v>2446</v>
      </c>
      <c r="L404" s="84">
        <v>42171</v>
      </c>
      <c r="M404" t="s">
        <v>381</v>
      </c>
      <c r="N404" t="s">
        <v>266</v>
      </c>
      <c r="O404">
        <v>3</v>
      </c>
      <c r="P404" t="s">
        <v>2447</v>
      </c>
      <c r="Q404" t="s">
        <v>2448</v>
      </c>
      <c r="R404" t="s">
        <v>2449</v>
      </c>
      <c r="S404" t="s">
        <v>2450</v>
      </c>
      <c r="T404" t="s">
        <v>38</v>
      </c>
      <c r="U404" t="s">
        <v>80</v>
      </c>
      <c r="V404">
        <v>42</v>
      </c>
      <c r="W404">
        <v>82</v>
      </c>
      <c r="X404">
        <v>120</v>
      </c>
      <c r="Y404">
        <v>68</v>
      </c>
      <c r="Z404">
        <v>175</v>
      </c>
      <c r="AA404">
        <v>91</v>
      </c>
      <c r="AB404" t="s">
        <v>370</v>
      </c>
      <c r="AC404" t="s">
        <v>237</v>
      </c>
      <c r="AD404" t="s">
        <v>210</v>
      </c>
      <c r="AE404" t="s">
        <v>183</v>
      </c>
      <c r="AF404">
        <v>1</v>
      </c>
    </row>
    <row r="405" spans="1:32">
      <c r="A405">
        <v>144</v>
      </c>
      <c r="B405">
        <v>1005</v>
      </c>
      <c r="C405" t="s">
        <v>1747</v>
      </c>
      <c r="D405" t="s">
        <v>169</v>
      </c>
      <c r="E405" t="s">
        <v>2165</v>
      </c>
      <c r="F405" t="s">
        <v>197</v>
      </c>
      <c r="G405" t="s">
        <v>2452</v>
      </c>
      <c r="H405" t="s">
        <v>192</v>
      </c>
      <c r="I405" t="s">
        <v>212</v>
      </c>
      <c r="J405" t="s">
        <v>192</v>
      </c>
      <c r="K405" t="s">
        <v>2446</v>
      </c>
      <c r="L405" s="84">
        <v>42171</v>
      </c>
      <c r="M405" t="s">
        <v>381</v>
      </c>
      <c r="N405" t="s">
        <v>266</v>
      </c>
      <c r="O405">
        <v>3</v>
      </c>
      <c r="P405" t="s">
        <v>2447</v>
      </c>
      <c r="Q405" t="s">
        <v>2448</v>
      </c>
      <c r="R405" t="s">
        <v>2449</v>
      </c>
      <c r="S405" t="s">
        <v>2450</v>
      </c>
      <c r="T405" t="s">
        <v>38</v>
      </c>
      <c r="U405" t="s">
        <v>80</v>
      </c>
      <c r="V405">
        <v>42</v>
      </c>
      <c r="W405">
        <v>82</v>
      </c>
      <c r="X405">
        <v>120</v>
      </c>
      <c r="Y405">
        <v>68</v>
      </c>
      <c r="Z405">
        <v>175</v>
      </c>
      <c r="AA405">
        <v>91</v>
      </c>
      <c r="AB405" t="s">
        <v>370</v>
      </c>
      <c r="AC405" t="s">
        <v>237</v>
      </c>
      <c r="AD405" t="s">
        <v>210</v>
      </c>
      <c r="AE405" t="s">
        <v>183</v>
      </c>
      <c r="AF405">
        <v>1</v>
      </c>
    </row>
    <row r="406" spans="1:32">
      <c r="A406">
        <v>144</v>
      </c>
      <c r="B406">
        <v>1005</v>
      </c>
      <c r="C406" t="s">
        <v>1747</v>
      </c>
      <c r="D406" t="s">
        <v>169</v>
      </c>
      <c r="E406" t="s">
        <v>2165</v>
      </c>
      <c r="F406" t="s">
        <v>197</v>
      </c>
      <c r="G406" t="s">
        <v>2452</v>
      </c>
      <c r="H406" t="s">
        <v>192</v>
      </c>
      <c r="I406" t="s">
        <v>212</v>
      </c>
      <c r="J406" t="s">
        <v>192</v>
      </c>
      <c r="K406" t="s">
        <v>2446</v>
      </c>
      <c r="L406" s="84">
        <v>42171</v>
      </c>
      <c r="M406" t="s">
        <v>381</v>
      </c>
      <c r="N406" t="s">
        <v>266</v>
      </c>
      <c r="O406">
        <v>3</v>
      </c>
      <c r="P406" t="s">
        <v>2447</v>
      </c>
      <c r="Q406" t="s">
        <v>2448</v>
      </c>
      <c r="R406" t="s">
        <v>2449</v>
      </c>
      <c r="S406" t="s">
        <v>2450</v>
      </c>
      <c r="T406" t="s">
        <v>38</v>
      </c>
      <c r="U406" t="s">
        <v>80</v>
      </c>
      <c r="V406">
        <v>42</v>
      </c>
      <c r="W406">
        <v>82</v>
      </c>
      <c r="X406">
        <v>120</v>
      </c>
      <c r="Y406">
        <v>68</v>
      </c>
      <c r="Z406">
        <v>175</v>
      </c>
      <c r="AA406">
        <v>91</v>
      </c>
      <c r="AB406" t="s">
        <v>370</v>
      </c>
      <c r="AC406" t="s">
        <v>237</v>
      </c>
      <c r="AD406" t="s">
        <v>210</v>
      </c>
      <c r="AE406" t="s">
        <v>183</v>
      </c>
      <c r="AF406">
        <v>1</v>
      </c>
    </row>
    <row r="407" spans="1:32">
      <c r="A407">
        <v>144</v>
      </c>
      <c r="B407">
        <v>1005</v>
      </c>
      <c r="C407" t="s">
        <v>1747</v>
      </c>
      <c r="D407" t="s">
        <v>169</v>
      </c>
      <c r="E407" t="s">
        <v>2165</v>
      </c>
      <c r="F407" t="s">
        <v>197</v>
      </c>
      <c r="G407" t="s">
        <v>2452</v>
      </c>
      <c r="H407" t="s">
        <v>192</v>
      </c>
      <c r="I407" t="s">
        <v>212</v>
      </c>
      <c r="J407" t="s">
        <v>192</v>
      </c>
      <c r="K407" t="s">
        <v>2446</v>
      </c>
      <c r="L407" s="84">
        <v>42171</v>
      </c>
      <c r="M407" t="s">
        <v>381</v>
      </c>
      <c r="N407" t="s">
        <v>266</v>
      </c>
      <c r="O407">
        <v>3</v>
      </c>
      <c r="P407" t="s">
        <v>2447</v>
      </c>
      <c r="Q407" t="s">
        <v>2448</v>
      </c>
      <c r="R407" t="s">
        <v>2449</v>
      </c>
      <c r="S407" t="s">
        <v>2450</v>
      </c>
      <c r="T407" t="s">
        <v>38</v>
      </c>
      <c r="U407" t="s">
        <v>80</v>
      </c>
      <c r="V407">
        <v>42</v>
      </c>
      <c r="W407">
        <v>82</v>
      </c>
      <c r="X407">
        <v>120</v>
      </c>
      <c r="Y407">
        <v>68</v>
      </c>
      <c r="Z407">
        <v>175</v>
      </c>
      <c r="AA407">
        <v>91</v>
      </c>
      <c r="AB407" t="s">
        <v>370</v>
      </c>
      <c r="AC407" t="s">
        <v>237</v>
      </c>
      <c r="AD407" t="s">
        <v>210</v>
      </c>
      <c r="AE407" t="s">
        <v>183</v>
      </c>
      <c r="AF407">
        <v>1</v>
      </c>
    </row>
    <row r="408" spans="1:32">
      <c r="A408">
        <v>144</v>
      </c>
      <c r="B408">
        <v>1005</v>
      </c>
      <c r="C408" t="s">
        <v>1747</v>
      </c>
      <c r="D408" t="s">
        <v>169</v>
      </c>
      <c r="E408" t="s">
        <v>2165</v>
      </c>
      <c r="F408" t="s">
        <v>197</v>
      </c>
      <c r="G408" t="s">
        <v>2452</v>
      </c>
      <c r="H408" t="s">
        <v>192</v>
      </c>
      <c r="I408" t="s">
        <v>212</v>
      </c>
      <c r="J408" t="s">
        <v>192</v>
      </c>
      <c r="K408" t="s">
        <v>2446</v>
      </c>
      <c r="L408" s="84">
        <v>42171</v>
      </c>
      <c r="M408" t="s">
        <v>381</v>
      </c>
      <c r="N408" t="s">
        <v>266</v>
      </c>
      <c r="O408">
        <v>3</v>
      </c>
      <c r="P408" t="s">
        <v>2447</v>
      </c>
      <c r="Q408" t="s">
        <v>2448</v>
      </c>
      <c r="R408" t="s">
        <v>2449</v>
      </c>
      <c r="S408" t="s">
        <v>2450</v>
      </c>
      <c r="T408" t="s">
        <v>38</v>
      </c>
      <c r="U408" t="s">
        <v>80</v>
      </c>
      <c r="V408">
        <v>42</v>
      </c>
      <c r="W408">
        <v>82</v>
      </c>
      <c r="X408">
        <v>120</v>
      </c>
      <c r="Y408">
        <v>68</v>
      </c>
      <c r="Z408">
        <v>175</v>
      </c>
      <c r="AA408">
        <v>91</v>
      </c>
      <c r="AB408" t="s">
        <v>370</v>
      </c>
      <c r="AC408" t="s">
        <v>237</v>
      </c>
      <c r="AD408" t="s">
        <v>210</v>
      </c>
      <c r="AE408" t="s">
        <v>183</v>
      </c>
      <c r="AF408">
        <v>1</v>
      </c>
    </row>
    <row r="409" spans="1:32">
      <c r="A409">
        <v>144</v>
      </c>
      <c r="B409">
        <v>1005</v>
      </c>
      <c r="C409" t="s">
        <v>1747</v>
      </c>
      <c r="D409" t="s">
        <v>169</v>
      </c>
      <c r="E409" t="s">
        <v>2165</v>
      </c>
      <c r="F409" t="s">
        <v>197</v>
      </c>
      <c r="G409" t="s">
        <v>2452</v>
      </c>
      <c r="H409" t="s">
        <v>192</v>
      </c>
      <c r="I409" t="s">
        <v>212</v>
      </c>
      <c r="J409" t="s">
        <v>192</v>
      </c>
      <c r="K409" t="s">
        <v>2446</v>
      </c>
      <c r="L409" s="84">
        <v>42171</v>
      </c>
      <c r="M409" t="s">
        <v>381</v>
      </c>
      <c r="N409" t="s">
        <v>266</v>
      </c>
      <c r="O409">
        <v>3</v>
      </c>
      <c r="P409" t="s">
        <v>2447</v>
      </c>
      <c r="Q409" t="s">
        <v>2448</v>
      </c>
      <c r="R409" t="s">
        <v>2449</v>
      </c>
      <c r="S409" t="s">
        <v>2450</v>
      </c>
      <c r="T409" t="s">
        <v>38</v>
      </c>
      <c r="U409" t="s">
        <v>80</v>
      </c>
      <c r="V409">
        <v>42</v>
      </c>
      <c r="W409">
        <v>82</v>
      </c>
      <c r="X409">
        <v>120</v>
      </c>
      <c r="Y409">
        <v>68</v>
      </c>
      <c r="Z409">
        <v>175</v>
      </c>
      <c r="AA409">
        <v>91</v>
      </c>
      <c r="AB409" t="s">
        <v>370</v>
      </c>
      <c r="AC409" t="s">
        <v>237</v>
      </c>
      <c r="AD409" t="s">
        <v>210</v>
      </c>
      <c r="AE409" t="s">
        <v>183</v>
      </c>
      <c r="AF409">
        <v>1</v>
      </c>
    </row>
    <row r="410" spans="1:32">
      <c r="A410">
        <v>144</v>
      </c>
      <c r="B410">
        <v>1005</v>
      </c>
      <c r="C410" t="s">
        <v>1747</v>
      </c>
      <c r="D410" t="s">
        <v>169</v>
      </c>
      <c r="E410" t="s">
        <v>2165</v>
      </c>
      <c r="F410" t="s">
        <v>197</v>
      </c>
      <c r="G410" t="s">
        <v>2452</v>
      </c>
      <c r="H410" t="s">
        <v>192</v>
      </c>
      <c r="I410" t="s">
        <v>212</v>
      </c>
      <c r="J410" t="s">
        <v>192</v>
      </c>
      <c r="K410" t="s">
        <v>2446</v>
      </c>
      <c r="L410" s="84">
        <v>42171</v>
      </c>
      <c r="M410" t="s">
        <v>381</v>
      </c>
      <c r="N410" t="s">
        <v>266</v>
      </c>
      <c r="O410">
        <v>3</v>
      </c>
      <c r="P410" t="s">
        <v>2447</v>
      </c>
      <c r="Q410" t="s">
        <v>2448</v>
      </c>
      <c r="R410" t="s">
        <v>2449</v>
      </c>
      <c r="S410" t="s">
        <v>2450</v>
      </c>
      <c r="T410" t="s">
        <v>38</v>
      </c>
      <c r="U410" t="s">
        <v>80</v>
      </c>
      <c r="V410">
        <v>42</v>
      </c>
      <c r="W410">
        <v>82</v>
      </c>
      <c r="X410">
        <v>120</v>
      </c>
      <c r="Y410">
        <v>68</v>
      </c>
      <c r="Z410">
        <v>175</v>
      </c>
      <c r="AA410">
        <v>91</v>
      </c>
      <c r="AB410" t="s">
        <v>370</v>
      </c>
      <c r="AC410" t="s">
        <v>237</v>
      </c>
      <c r="AD410" t="s">
        <v>210</v>
      </c>
      <c r="AE410" t="s">
        <v>183</v>
      </c>
      <c r="AF410">
        <v>1</v>
      </c>
    </row>
    <row r="411" spans="1:32">
      <c r="A411">
        <v>144</v>
      </c>
      <c r="B411">
        <v>1005</v>
      </c>
      <c r="C411" t="s">
        <v>1747</v>
      </c>
      <c r="D411" t="s">
        <v>169</v>
      </c>
      <c r="E411" t="s">
        <v>2165</v>
      </c>
      <c r="F411" t="s">
        <v>197</v>
      </c>
      <c r="G411" t="s">
        <v>2452</v>
      </c>
      <c r="H411" t="s">
        <v>192</v>
      </c>
      <c r="I411" t="s">
        <v>212</v>
      </c>
      <c r="J411" t="s">
        <v>192</v>
      </c>
      <c r="K411" t="s">
        <v>2446</v>
      </c>
      <c r="L411" s="84">
        <v>42171</v>
      </c>
      <c r="M411" t="s">
        <v>381</v>
      </c>
      <c r="N411" t="s">
        <v>266</v>
      </c>
      <c r="O411">
        <v>3</v>
      </c>
      <c r="P411" t="s">
        <v>2447</v>
      </c>
      <c r="Q411" t="s">
        <v>2448</v>
      </c>
      <c r="R411" t="s">
        <v>2449</v>
      </c>
      <c r="S411" t="s">
        <v>2450</v>
      </c>
      <c r="T411" t="s">
        <v>38</v>
      </c>
      <c r="U411" t="s">
        <v>80</v>
      </c>
      <c r="V411">
        <v>42</v>
      </c>
      <c r="W411">
        <v>82</v>
      </c>
      <c r="X411">
        <v>120</v>
      </c>
      <c r="Y411">
        <v>68</v>
      </c>
      <c r="Z411">
        <v>175</v>
      </c>
      <c r="AA411">
        <v>91</v>
      </c>
      <c r="AB411" t="s">
        <v>370</v>
      </c>
      <c r="AC411" t="s">
        <v>237</v>
      </c>
      <c r="AD411" t="s">
        <v>210</v>
      </c>
      <c r="AE411" t="s">
        <v>183</v>
      </c>
      <c r="AF411">
        <v>1</v>
      </c>
    </row>
    <row r="412" spans="1:32">
      <c r="A412">
        <v>144</v>
      </c>
      <c r="B412">
        <v>1005</v>
      </c>
      <c r="C412" t="s">
        <v>1747</v>
      </c>
      <c r="D412" t="s">
        <v>169</v>
      </c>
      <c r="E412" t="s">
        <v>2165</v>
      </c>
      <c r="F412" t="s">
        <v>197</v>
      </c>
      <c r="G412" t="s">
        <v>2452</v>
      </c>
      <c r="H412" t="s">
        <v>192</v>
      </c>
      <c r="I412" t="s">
        <v>212</v>
      </c>
      <c r="J412" t="s">
        <v>192</v>
      </c>
      <c r="K412" t="s">
        <v>2446</v>
      </c>
      <c r="L412" s="84">
        <v>42171</v>
      </c>
      <c r="M412" t="s">
        <v>381</v>
      </c>
      <c r="N412" t="s">
        <v>266</v>
      </c>
      <c r="O412">
        <v>3</v>
      </c>
      <c r="P412" t="s">
        <v>2447</v>
      </c>
      <c r="Q412" t="s">
        <v>2448</v>
      </c>
      <c r="R412" t="s">
        <v>2449</v>
      </c>
      <c r="S412" t="s">
        <v>2450</v>
      </c>
      <c r="T412" t="s">
        <v>38</v>
      </c>
      <c r="U412" t="s">
        <v>80</v>
      </c>
      <c r="V412">
        <v>42</v>
      </c>
      <c r="W412">
        <v>82</v>
      </c>
      <c r="X412">
        <v>120</v>
      </c>
      <c r="Y412">
        <v>68</v>
      </c>
      <c r="Z412">
        <v>175</v>
      </c>
      <c r="AA412">
        <v>91</v>
      </c>
      <c r="AB412" t="s">
        <v>370</v>
      </c>
      <c r="AC412" t="s">
        <v>237</v>
      </c>
      <c r="AD412" t="s">
        <v>210</v>
      </c>
      <c r="AE412" t="s">
        <v>183</v>
      </c>
      <c r="AF412">
        <v>1</v>
      </c>
    </row>
    <row r="413" spans="1:32">
      <c r="A413">
        <v>144</v>
      </c>
      <c r="B413">
        <v>1005</v>
      </c>
      <c r="C413" t="s">
        <v>1747</v>
      </c>
      <c r="D413" t="s">
        <v>169</v>
      </c>
      <c r="E413" t="s">
        <v>2165</v>
      </c>
      <c r="F413" t="s">
        <v>197</v>
      </c>
      <c r="G413" t="s">
        <v>2452</v>
      </c>
      <c r="H413" t="s">
        <v>192</v>
      </c>
      <c r="I413" t="s">
        <v>212</v>
      </c>
      <c r="J413" t="s">
        <v>192</v>
      </c>
      <c r="K413" t="s">
        <v>2446</v>
      </c>
      <c r="L413" s="84">
        <v>42171</v>
      </c>
      <c r="M413" t="s">
        <v>381</v>
      </c>
      <c r="N413" t="s">
        <v>266</v>
      </c>
      <c r="O413">
        <v>3</v>
      </c>
      <c r="P413" t="s">
        <v>2447</v>
      </c>
      <c r="Q413" t="s">
        <v>2448</v>
      </c>
      <c r="R413" t="s">
        <v>2449</v>
      </c>
      <c r="S413" t="s">
        <v>2450</v>
      </c>
      <c r="T413" t="s">
        <v>38</v>
      </c>
      <c r="U413" t="s">
        <v>80</v>
      </c>
      <c r="V413">
        <v>42</v>
      </c>
      <c r="W413">
        <v>82</v>
      </c>
      <c r="X413">
        <v>120</v>
      </c>
      <c r="Y413">
        <v>68</v>
      </c>
      <c r="Z413">
        <v>175</v>
      </c>
      <c r="AA413">
        <v>91</v>
      </c>
      <c r="AB413" t="s">
        <v>370</v>
      </c>
      <c r="AC413" t="s">
        <v>237</v>
      </c>
      <c r="AD413" t="s">
        <v>210</v>
      </c>
      <c r="AE413" t="s">
        <v>183</v>
      </c>
      <c r="AF413">
        <v>1</v>
      </c>
    </row>
    <row r="414" spans="1:32">
      <c r="A414">
        <v>144</v>
      </c>
      <c r="B414">
        <v>1005</v>
      </c>
      <c r="C414" t="s">
        <v>1747</v>
      </c>
      <c r="D414" t="s">
        <v>169</v>
      </c>
      <c r="E414" t="s">
        <v>2165</v>
      </c>
      <c r="F414" t="s">
        <v>197</v>
      </c>
      <c r="G414" t="s">
        <v>2452</v>
      </c>
      <c r="H414" t="s">
        <v>192</v>
      </c>
      <c r="I414" t="s">
        <v>212</v>
      </c>
      <c r="J414" t="s">
        <v>192</v>
      </c>
      <c r="K414" t="s">
        <v>2446</v>
      </c>
      <c r="L414" s="84">
        <v>42171</v>
      </c>
      <c r="M414" t="s">
        <v>381</v>
      </c>
      <c r="N414" t="s">
        <v>266</v>
      </c>
      <c r="O414">
        <v>3</v>
      </c>
      <c r="P414" t="s">
        <v>2447</v>
      </c>
      <c r="Q414" t="s">
        <v>2448</v>
      </c>
      <c r="R414" t="s">
        <v>2449</v>
      </c>
      <c r="S414" t="s">
        <v>2450</v>
      </c>
      <c r="T414" t="s">
        <v>38</v>
      </c>
      <c r="U414" t="s">
        <v>80</v>
      </c>
      <c r="V414">
        <v>42</v>
      </c>
      <c r="W414">
        <v>82</v>
      </c>
      <c r="X414">
        <v>120</v>
      </c>
      <c r="Y414">
        <v>68</v>
      </c>
      <c r="Z414">
        <v>175</v>
      </c>
      <c r="AA414">
        <v>91</v>
      </c>
      <c r="AB414" t="s">
        <v>370</v>
      </c>
      <c r="AC414" t="s">
        <v>237</v>
      </c>
      <c r="AD414" t="s">
        <v>210</v>
      </c>
      <c r="AE414" t="s">
        <v>183</v>
      </c>
      <c r="AF414">
        <v>1</v>
      </c>
    </row>
    <row r="415" spans="1:32">
      <c r="A415">
        <v>144</v>
      </c>
      <c r="B415">
        <v>1005</v>
      </c>
      <c r="C415" t="s">
        <v>1747</v>
      </c>
      <c r="D415" t="s">
        <v>169</v>
      </c>
      <c r="E415" t="s">
        <v>2165</v>
      </c>
      <c r="F415" t="s">
        <v>197</v>
      </c>
      <c r="G415" t="s">
        <v>2452</v>
      </c>
      <c r="H415" t="s">
        <v>192</v>
      </c>
      <c r="I415" t="s">
        <v>212</v>
      </c>
      <c r="J415" t="s">
        <v>192</v>
      </c>
      <c r="K415" t="s">
        <v>2446</v>
      </c>
      <c r="L415" s="84">
        <v>42171</v>
      </c>
      <c r="M415" t="s">
        <v>381</v>
      </c>
      <c r="N415" t="s">
        <v>266</v>
      </c>
      <c r="O415">
        <v>3</v>
      </c>
      <c r="P415" t="s">
        <v>2447</v>
      </c>
      <c r="Q415" t="s">
        <v>2448</v>
      </c>
      <c r="R415" t="s">
        <v>2449</v>
      </c>
      <c r="S415" t="s">
        <v>2450</v>
      </c>
      <c r="T415" t="s">
        <v>38</v>
      </c>
      <c r="U415" t="s">
        <v>80</v>
      </c>
      <c r="V415">
        <v>42</v>
      </c>
      <c r="W415">
        <v>82</v>
      </c>
      <c r="X415">
        <v>120</v>
      </c>
      <c r="Y415">
        <v>68</v>
      </c>
      <c r="Z415">
        <v>175</v>
      </c>
      <c r="AA415">
        <v>91</v>
      </c>
      <c r="AB415" t="s">
        <v>370</v>
      </c>
      <c r="AC415" t="s">
        <v>237</v>
      </c>
      <c r="AD415" t="s">
        <v>210</v>
      </c>
      <c r="AE415" t="s">
        <v>183</v>
      </c>
      <c r="AF415">
        <v>1</v>
      </c>
    </row>
    <row r="416" spans="1:32">
      <c r="A416">
        <v>144</v>
      </c>
      <c r="B416">
        <v>1005</v>
      </c>
      <c r="C416" t="s">
        <v>1747</v>
      </c>
      <c r="D416" t="s">
        <v>169</v>
      </c>
      <c r="E416" t="s">
        <v>2165</v>
      </c>
      <c r="F416" t="s">
        <v>197</v>
      </c>
      <c r="G416" t="s">
        <v>2452</v>
      </c>
      <c r="H416" t="s">
        <v>192</v>
      </c>
      <c r="I416" t="s">
        <v>212</v>
      </c>
      <c r="J416" t="s">
        <v>192</v>
      </c>
      <c r="K416" t="s">
        <v>2446</v>
      </c>
      <c r="L416" s="84">
        <v>42171</v>
      </c>
      <c r="M416" t="s">
        <v>381</v>
      </c>
      <c r="N416" t="s">
        <v>266</v>
      </c>
      <c r="O416">
        <v>3</v>
      </c>
      <c r="P416" t="s">
        <v>2447</v>
      </c>
      <c r="Q416" t="s">
        <v>2448</v>
      </c>
      <c r="R416" t="s">
        <v>2449</v>
      </c>
      <c r="S416" t="s">
        <v>2450</v>
      </c>
      <c r="T416" t="s">
        <v>38</v>
      </c>
      <c r="U416" t="s">
        <v>80</v>
      </c>
      <c r="V416">
        <v>42</v>
      </c>
      <c r="W416">
        <v>82</v>
      </c>
      <c r="X416">
        <v>120</v>
      </c>
      <c r="Y416">
        <v>68</v>
      </c>
      <c r="Z416">
        <v>175</v>
      </c>
      <c r="AA416">
        <v>91</v>
      </c>
      <c r="AB416" t="s">
        <v>370</v>
      </c>
      <c r="AC416" t="s">
        <v>237</v>
      </c>
      <c r="AD416" t="s">
        <v>210</v>
      </c>
      <c r="AE416" t="s">
        <v>183</v>
      </c>
      <c r="AF416">
        <v>1</v>
      </c>
    </row>
    <row r="417" spans="1:32">
      <c r="A417">
        <v>144</v>
      </c>
      <c r="B417">
        <v>1005</v>
      </c>
      <c r="C417" t="s">
        <v>1747</v>
      </c>
      <c r="D417" t="s">
        <v>169</v>
      </c>
      <c r="E417" t="s">
        <v>2165</v>
      </c>
      <c r="F417" t="s">
        <v>197</v>
      </c>
      <c r="G417" t="s">
        <v>2452</v>
      </c>
      <c r="H417" t="s">
        <v>192</v>
      </c>
      <c r="I417" t="s">
        <v>212</v>
      </c>
      <c r="J417" t="s">
        <v>192</v>
      </c>
      <c r="K417" t="s">
        <v>2446</v>
      </c>
      <c r="L417" s="84">
        <v>42171</v>
      </c>
      <c r="M417" t="s">
        <v>381</v>
      </c>
      <c r="N417" t="s">
        <v>266</v>
      </c>
      <c r="O417">
        <v>3</v>
      </c>
      <c r="P417" t="s">
        <v>2447</v>
      </c>
      <c r="Q417" t="s">
        <v>2448</v>
      </c>
      <c r="R417" t="s">
        <v>2449</v>
      </c>
      <c r="S417" t="s">
        <v>2450</v>
      </c>
      <c r="T417" t="s">
        <v>38</v>
      </c>
      <c r="U417" t="s">
        <v>80</v>
      </c>
      <c r="V417">
        <v>42</v>
      </c>
      <c r="W417">
        <v>82</v>
      </c>
      <c r="X417">
        <v>120</v>
      </c>
      <c r="Y417">
        <v>68</v>
      </c>
      <c r="Z417">
        <v>175</v>
      </c>
      <c r="AA417">
        <v>91</v>
      </c>
      <c r="AB417" t="s">
        <v>370</v>
      </c>
      <c r="AC417" t="s">
        <v>237</v>
      </c>
      <c r="AD417" t="s">
        <v>210</v>
      </c>
      <c r="AE417" t="s">
        <v>183</v>
      </c>
      <c r="AF417">
        <v>1</v>
      </c>
    </row>
    <row r="418" spans="1:32">
      <c r="A418">
        <v>144</v>
      </c>
      <c r="B418">
        <v>1005</v>
      </c>
      <c r="C418" t="s">
        <v>1747</v>
      </c>
      <c r="D418" t="s">
        <v>169</v>
      </c>
      <c r="E418" t="s">
        <v>2165</v>
      </c>
      <c r="F418" t="s">
        <v>197</v>
      </c>
      <c r="G418" t="s">
        <v>2452</v>
      </c>
      <c r="H418" t="s">
        <v>192</v>
      </c>
      <c r="I418" t="s">
        <v>212</v>
      </c>
      <c r="J418" t="s">
        <v>192</v>
      </c>
      <c r="K418" t="s">
        <v>2446</v>
      </c>
      <c r="L418" s="84">
        <v>42171</v>
      </c>
      <c r="M418" t="s">
        <v>381</v>
      </c>
      <c r="N418" t="s">
        <v>266</v>
      </c>
      <c r="O418">
        <v>3</v>
      </c>
      <c r="P418" t="s">
        <v>2447</v>
      </c>
      <c r="Q418" t="s">
        <v>2448</v>
      </c>
      <c r="R418" t="s">
        <v>2449</v>
      </c>
      <c r="S418" t="s">
        <v>2450</v>
      </c>
      <c r="T418" t="s">
        <v>38</v>
      </c>
      <c r="U418" t="s">
        <v>80</v>
      </c>
      <c r="V418">
        <v>42</v>
      </c>
      <c r="W418">
        <v>82</v>
      </c>
      <c r="X418">
        <v>120</v>
      </c>
      <c r="Y418">
        <v>68</v>
      </c>
      <c r="Z418">
        <v>175</v>
      </c>
      <c r="AA418">
        <v>91</v>
      </c>
      <c r="AB418" t="s">
        <v>370</v>
      </c>
      <c r="AC418" t="s">
        <v>237</v>
      </c>
      <c r="AD418" t="s">
        <v>210</v>
      </c>
      <c r="AE418" t="s">
        <v>183</v>
      </c>
      <c r="AF418">
        <v>1</v>
      </c>
    </row>
    <row r="419" spans="1:32">
      <c r="A419">
        <v>144</v>
      </c>
      <c r="B419">
        <v>1005</v>
      </c>
      <c r="C419" t="s">
        <v>1747</v>
      </c>
      <c r="D419" t="s">
        <v>169</v>
      </c>
      <c r="E419" t="s">
        <v>2165</v>
      </c>
      <c r="F419" t="s">
        <v>197</v>
      </c>
      <c r="G419" t="s">
        <v>2452</v>
      </c>
      <c r="H419" t="s">
        <v>192</v>
      </c>
      <c r="I419" t="s">
        <v>212</v>
      </c>
      <c r="J419" t="s">
        <v>192</v>
      </c>
      <c r="K419" t="s">
        <v>2446</v>
      </c>
      <c r="L419" s="84">
        <v>42171</v>
      </c>
      <c r="M419" t="s">
        <v>381</v>
      </c>
      <c r="N419" t="s">
        <v>266</v>
      </c>
      <c r="O419">
        <v>3</v>
      </c>
      <c r="P419" t="s">
        <v>2447</v>
      </c>
      <c r="Q419" t="s">
        <v>2448</v>
      </c>
      <c r="R419" t="s">
        <v>2449</v>
      </c>
      <c r="S419" t="s">
        <v>2450</v>
      </c>
      <c r="T419" t="s">
        <v>38</v>
      </c>
      <c r="U419" t="s">
        <v>80</v>
      </c>
      <c r="V419">
        <v>42</v>
      </c>
      <c r="W419">
        <v>82</v>
      </c>
      <c r="X419">
        <v>120</v>
      </c>
      <c r="Y419">
        <v>68</v>
      </c>
      <c r="Z419">
        <v>175</v>
      </c>
      <c r="AA419">
        <v>91</v>
      </c>
      <c r="AB419" t="s">
        <v>370</v>
      </c>
      <c r="AC419" t="s">
        <v>237</v>
      </c>
      <c r="AD419" t="s">
        <v>210</v>
      </c>
      <c r="AE419" t="s">
        <v>183</v>
      </c>
      <c r="AF419">
        <v>1</v>
      </c>
    </row>
    <row r="420" spans="1:32">
      <c r="A420">
        <v>144</v>
      </c>
      <c r="B420">
        <v>1005</v>
      </c>
      <c r="C420" t="s">
        <v>1747</v>
      </c>
      <c r="D420" t="s">
        <v>169</v>
      </c>
      <c r="E420" t="s">
        <v>2165</v>
      </c>
      <c r="F420" t="s">
        <v>197</v>
      </c>
      <c r="G420" t="s">
        <v>2452</v>
      </c>
      <c r="H420" t="s">
        <v>192</v>
      </c>
      <c r="I420" t="s">
        <v>212</v>
      </c>
      <c r="J420" t="s">
        <v>192</v>
      </c>
      <c r="K420" t="s">
        <v>2446</v>
      </c>
      <c r="L420" s="84">
        <v>42171</v>
      </c>
      <c r="M420" t="s">
        <v>381</v>
      </c>
      <c r="N420" t="s">
        <v>266</v>
      </c>
      <c r="O420">
        <v>3</v>
      </c>
      <c r="P420" t="s">
        <v>2447</v>
      </c>
      <c r="Q420" t="s">
        <v>2448</v>
      </c>
      <c r="R420" t="s">
        <v>2449</v>
      </c>
      <c r="S420" t="s">
        <v>2450</v>
      </c>
      <c r="T420" t="s">
        <v>38</v>
      </c>
      <c r="U420" t="s">
        <v>80</v>
      </c>
      <c r="V420">
        <v>42</v>
      </c>
      <c r="W420">
        <v>82</v>
      </c>
      <c r="X420">
        <v>120</v>
      </c>
      <c r="Y420">
        <v>68</v>
      </c>
      <c r="Z420">
        <v>175</v>
      </c>
      <c r="AA420">
        <v>91</v>
      </c>
      <c r="AB420" t="s">
        <v>370</v>
      </c>
      <c r="AC420" t="s">
        <v>237</v>
      </c>
      <c r="AD420" t="s">
        <v>210</v>
      </c>
      <c r="AE420" t="s">
        <v>183</v>
      </c>
      <c r="AF420">
        <v>1</v>
      </c>
    </row>
    <row r="421" spans="1:32">
      <c r="A421">
        <v>144</v>
      </c>
      <c r="B421">
        <v>1005</v>
      </c>
      <c r="C421" t="s">
        <v>1747</v>
      </c>
      <c r="D421" t="s">
        <v>169</v>
      </c>
      <c r="E421" t="s">
        <v>2165</v>
      </c>
      <c r="F421" t="s">
        <v>197</v>
      </c>
      <c r="G421" t="s">
        <v>2452</v>
      </c>
      <c r="H421" t="s">
        <v>192</v>
      </c>
      <c r="I421" t="s">
        <v>212</v>
      </c>
      <c r="J421" t="s">
        <v>192</v>
      </c>
      <c r="K421" t="s">
        <v>2446</v>
      </c>
      <c r="L421" s="84">
        <v>42171</v>
      </c>
      <c r="M421" t="s">
        <v>381</v>
      </c>
      <c r="N421" t="s">
        <v>266</v>
      </c>
      <c r="O421">
        <v>3</v>
      </c>
      <c r="P421" t="s">
        <v>2447</v>
      </c>
      <c r="Q421" t="s">
        <v>2448</v>
      </c>
      <c r="R421" t="s">
        <v>2449</v>
      </c>
      <c r="S421" t="s">
        <v>2450</v>
      </c>
      <c r="T421" t="s">
        <v>38</v>
      </c>
      <c r="U421" t="s">
        <v>80</v>
      </c>
      <c r="V421">
        <v>42</v>
      </c>
      <c r="W421">
        <v>82</v>
      </c>
      <c r="X421">
        <v>120</v>
      </c>
      <c r="Y421">
        <v>68</v>
      </c>
      <c r="Z421">
        <v>175</v>
      </c>
      <c r="AA421">
        <v>91</v>
      </c>
      <c r="AB421" t="s">
        <v>370</v>
      </c>
      <c r="AC421" t="s">
        <v>237</v>
      </c>
      <c r="AD421" t="s">
        <v>210</v>
      </c>
      <c r="AE421" t="s">
        <v>183</v>
      </c>
      <c r="AF421">
        <v>1</v>
      </c>
    </row>
    <row r="422" spans="1:32">
      <c r="A422">
        <v>144</v>
      </c>
      <c r="B422">
        <v>1005</v>
      </c>
      <c r="C422" t="s">
        <v>1747</v>
      </c>
      <c r="D422" t="s">
        <v>169</v>
      </c>
      <c r="E422" t="s">
        <v>2165</v>
      </c>
      <c r="F422" t="s">
        <v>197</v>
      </c>
      <c r="G422" t="s">
        <v>2452</v>
      </c>
      <c r="H422" t="s">
        <v>192</v>
      </c>
      <c r="I422" t="s">
        <v>212</v>
      </c>
      <c r="J422" t="s">
        <v>192</v>
      </c>
      <c r="K422" t="s">
        <v>2446</v>
      </c>
      <c r="L422" s="84">
        <v>42171</v>
      </c>
      <c r="M422" t="s">
        <v>381</v>
      </c>
      <c r="N422" t="s">
        <v>266</v>
      </c>
      <c r="O422">
        <v>3</v>
      </c>
      <c r="P422" t="s">
        <v>2447</v>
      </c>
      <c r="Q422" t="s">
        <v>2448</v>
      </c>
      <c r="R422" t="s">
        <v>2449</v>
      </c>
      <c r="S422" t="s">
        <v>2450</v>
      </c>
      <c r="T422" t="s">
        <v>38</v>
      </c>
      <c r="U422" t="s">
        <v>80</v>
      </c>
      <c r="V422">
        <v>42</v>
      </c>
      <c r="W422">
        <v>82</v>
      </c>
      <c r="X422">
        <v>120</v>
      </c>
      <c r="Y422">
        <v>68</v>
      </c>
      <c r="Z422">
        <v>175</v>
      </c>
      <c r="AA422">
        <v>91</v>
      </c>
      <c r="AB422" t="s">
        <v>370</v>
      </c>
      <c r="AC422" t="s">
        <v>237</v>
      </c>
      <c r="AD422" t="s">
        <v>210</v>
      </c>
      <c r="AE422" t="s">
        <v>183</v>
      </c>
      <c r="AF422">
        <v>1</v>
      </c>
    </row>
    <row r="423" spans="1:32">
      <c r="A423">
        <v>144</v>
      </c>
      <c r="B423">
        <v>1005</v>
      </c>
      <c r="C423" t="s">
        <v>1747</v>
      </c>
      <c r="D423" t="s">
        <v>169</v>
      </c>
      <c r="E423" t="s">
        <v>2165</v>
      </c>
      <c r="F423" t="s">
        <v>197</v>
      </c>
      <c r="G423" t="s">
        <v>2452</v>
      </c>
      <c r="H423" t="s">
        <v>192</v>
      </c>
      <c r="I423" t="s">
        <v>212</v>
      </c>
      <c r="J423" t="s">
        <v>192</v>
      </c>
      <c r="K423" t="s">
        <v>2446</v>
      </c>
      <c r="L423" s="84">
        <v>42171</v>
      </c>
      <c r="M423" t="s">
        <v>381</v>
      </c>
      <c r="N423" t="s">
        <v>266</v>
      </c>
      <c r="O423">
        <v>3</v>
      </c>
      <c r="P423" t="s">
        <v>2447</v>
      </c>
      <c r="Q423" t="s">
        <v>2448</v>
      </c>
      <c r="R423" t="s">
        <v>2449</v>
      </c>
      <c r="S423" t="s">
        <v>2450</v>
      </c>
      <c r="T423" t="s">
        <v>38</v>
      </c>
      <c r="U423" t="s">
        <v>80</v>
      </c>
      <c r="V423">
        <v>42</v>
      </c>
      <c r="W423">
        <v>82</v>
      </c>
      <c r="X423">
        <v>120</v>
      </c>
      <c r="Y423">
        <v>68</v>
      </c>
      <c r="Z423">
        <v>175</v>
      </c>
      <c r="AA423">
        <v>91</v>
      </c>
      <c r="AB423" t="s">
        <v>370</v>
      </c>
      <c r="AC423" t="s">
        <v>237</v>
      </c>
      <c r="AD423" t="s">
        <v>210</v>
      </c>
      <c r="AE423" t="s">
        <v>183</v>
      </c>
      <c r="AF423">
        <v>1</v>
      </c>
    </row>
    <row r="424" spans="1:32">
      <c r="A424">
        <v>144</v>
      </c>
      <c r="B424">
        <v>1005</v>
      </c>
      <c r="C424" t="s">
        <v>1747</v>
      </c>
      <c r="D424" t="s">
        <v>169</v>
      </c>
      <c r="E424" t="s">
        <v>2165</v>
      </c>
      <c r="F424" t="s">
        <v>197</v>
      </c>
      <c r="G424" t="s">
        <v>2452</v>
      </c>
      <c r="H424" t="s">
        <v>192</v>
      </c>
      <c r="I424" t="s">
        <v>212</v>
      </c>
      <c r="J424" t="s">
        <v>192</v>
      </c>
      <c r="K424" t="s">
        <v>2446</v>
      </c>
      <c r="L424" s="84">
        <v>42171</v>
      </c>
      <c r="M424" t="s">
        <v>381</v>
      </c>
      <c r="N424" t="s">
        <v>266</v>
      </c>
      <c r="O424">
        <v>3</v>
      </c>
      <c r="P424" t="s">
        <v>2447</v>
      </c>
      <c r="Q424" t="s">
        <v>2448</v>
      </c>
      <c r="R424" t="s">
        <v>2449</v>
      </c>
      <c r="S424" t="s">
        <v>2450</v>
      </c>
      <c r="T424" t="s">
        <v>38</v>
      </c>
      <c r="U424" t="s">
        <v>80</v>
      </c>
      <c r="V424">
        <v>42</v>
      </c>
      <c r="W424">
        <v>82</v>
      </c>
      <c r="X424">
        <v>120</v>
      </c>
      <c r="Y424">
        <v>68</v>
      </c>
      <c r="Z424">
        <v>175</v>
      </c>
      <c r="AA424">
        <v>91</v>
      </c>
      <c r="AB424" t="s">
        <v>370</v>
      </c>
      <c r="AC424" t="s">
        <v>237</v>
      </c>
      <c r="AD424" t="s">
        <v>210</v>
      </c>
      <c r="AE424" t="s">
        <v>183</v>
      </c>
      <c r="AF424">
        <v>1</v>
      </c>
    </row>
    <row r="425" spans="1:32">
      <c r="A425">
        <v>144</v>
      </c>
      <c r="B425">
        <v>1005</v>
      </c>
      <c r="C425" t="s">
        <v>1747</v>
      </c>
      <c r="D425" t="s">
        <v>169</v>
      </c>
      <c r="E425" t="s">
        <v>2165</v>
      </c>
      <c r="F425" t="s">
        <v>197</v>
      </c>
      <c r="G425" t="s">
        <v>2452</v>
      </c>
      <c r="H425" t="s">
        <v>192</v>
      </c>
      <c r="I425" t="s">
        <v>212</v>
      </c>
      <c r="J425" t="s">
        <v>192</v>
      </c>
      <c r="K425" t="s">
        <v>2446</v>
      </c>
      <c r="L425" s="84">
        <v>42171</v>
      </c>
      <c r="M425" t="s">
        <v>381</v>
      </c>
      <c r="N425" t="s">
        <v>266</v>
      </c>
      <c r="O425">
        <v>3</v>
      </c>
      <c r="P425" t="s">
        <v>2447</v>
      </c>
      <c r="Q425" t="s">
        <v>2448</v>
      </c>
      <c r="R425" t="s">
        <v>2449</v>
      </c>
      <c r="S425" t="s">
        <v>2450</v>
      </c>
      <c r="T425" t="s">
        <v>38</v>
      </c>
      <c r="U425" t="s">
        <v>80</v>
      </c>
      <c r="V425">
        <v>42</v>
      </c>
      <c r="W425">
        <v>82</v>
      </c>
      <c r="X425">
        <v>120</v>
      </c>
      <c r="Y425">
        <v>68</v>
      </c>
      <c r="Z425">
        <v>175</v>
      </c>
      <c r="AA425">
        <v>91</v>
      </c>
      <c r="AB425" t="s">
        <v>370</v>
      </c>
      <c r="AC425" t="s">
        <v>237</v>
      </c>
      <c r="AD425" t="s">
        <v>210</v>
      </c>
      <c r="AE425" t="s">
        <v>183</v>
      </c>
      <c r="AF425">
        <v>1</v>
      </c>
    </row>
    <row r="426" spans="1:32">
      <c r="A426">
        <v>144</v>
      </c>
      <c r="B426">
        <v>1005</v>
      </c>
      <c r="C426" t="s">
        <v>1747</v>
      </c>
      <c r="D426" t="s">
        <v>169</v>
      </c>
      <c r="E426" t="s">
        <v>2165</v>
      </c>
      <c r="F426" t="s">
        <v>197</v>
      </c>
      <c r="G426" t="s">
        <v>2452</v>
      </c>
      <c r="H426" t="s">
        <v>192</v>
      </c>
      <c r="I426" t="s">
        <v>212</v>
      </c>
      <c r="J426" t="s">
        <v>192</v>
      </c>
      <c r="K426" t="s">
        <v>2446</v>
      </c>
      <c r="L426" s="84">
        <v>42171</v>
      </c>
      <c r="M426" t="s">
        <v>381</v>
      </c>
      <c r="N426" t="s">
        <v>266</v>
      </c>
      <c r="O426">
        <v>3</v>
      </c>
      <c r="P426" t="s">
        <v>2447</v>
      </c>
      <c r="Q426" t="s">
        <v>2448</v>
      </c>
      <c r="R426" t="s">
        <v>2449</v>
      </c>
      <c r="S426" t="s">
        <v>2450</v>
      </c>
      <c r="T426" t="s">
        <v>38</v>
      </c>
      <c r="U426" t="s">
        <v>80</v>
      </c>
      <c r="V426">
        <v>42</v>
      </c>
      <c r="W426">
        <v>82</v>
      </c>
      <c r="X426">
        <v>120</v>
      </c>
      <c r="Y426">
        <v>68</v>
      </c>
      <c r="Z426">
        <v>175</v>
      </c>
      <c r="AA426">
        <v>91</v>
      </c>
      <c r="AB426" t="s">
        <v>370</v>
      </c>
      <c r="AC426" t="s">
        <v>237</v>
      </c>
      <c r="AD426" t="s">
        <v>210</v>
      </c>
      <c r="AE426" t="s">
        <v>183</v>
      </c>
      <c r="AF426">
        <v>1</v>
      </c>
    </row>
    <row r="427" spans="1:32">
      <c r="A427">
        <v>144</v>
      </c>
      <c r="B427">
        <v>1005</v>
      </c>
      <c r="C427" t="s">
        <v>1747</v>
      </c>
      <c r="D427" t="s">
        <v>169</v>
      </c>
      <c r="E427" t="s">
        <v>2165</v>
      </c>
      <c r="F427" t="s">
        <v>197</v>
      </c>
      <c r="G427" t="s">
        <v>2452</v>
      </c>
      <c r="H427" t="s">
        <v>192</v>
      </c>
      <c r="I427" t="s">
        <v>212</v>
      </c>
      <c r="J427" t="s">
        <v>192</v>
      </c>
      <c r="K427" t="s">
        <v>2446</v>
      </c>
      <c r="L427" s="84">
        <v>42171</v>
      </c>
      <c r="M427" t="s">
        <v>381</v>
      </c>
      <c r="N427" t="s">
        <v>266</v>
      </c>
      <c r="O427">
        <v>3</v>
      </c>
      <c r="P427" t="s">
        <v>2447</v>
      </c>
      <c r="Q427" t="s">
        <v>2448</v>
      </c>
      <c r="R427" t="s">
        <v>2449</v>
      </c>
      <c r="S427" t="s">
        <v>2450</v>
      </c>
      <c r="T427" t="s">
        <v>38</v>
      </c>
      <c r="U427" t="s">
        <v>80</v>
      </c>
      <c r="V427">
        <v>42</v>
      </c>
      <c r="W427">
        <v>82</v>
      </c>
      <c r="X427">
        <v>120</v>
      </c>
      <c r="Y427">
        <v>68</v>
      </c>
      <c r="Z427">
        <v>175</v>
      </c>
      <c r="AA427">
        <v>91</v>
      </c>
      <c r="AB427" t="s">
        <v>370</v>
      </c>
      <c r="AC427" t="s">
        <v>237</v>
      </c>
      <c r="AD427" t="s">
        <v>210</v>
      </c>
      <c r="AE427" t="s">
        <v>183</v>
      </c>
      <c r="AF427">
        <v>1</v>
      </c>
    </row>
    <row r="428" spans="1:32">
      <c r="A428">
        <v>144</v>
      </c>
      <c r="B428">
        <v>1005</v>
      </c>
      <c r="C428" t="s">
        <v>1747</v>
      </c>
      <c r="D428" t="s">
        <v>169</v>
      </c>
      <c r="E428" t="s">
        <v>2165</v>
      </c>
      <c r="F428" t="s">
        <v>197</v>
      </c>
      <c r="G428" t="s">
        <v>2452</v>
      </c>
      <c r="H428" t="s">
        <v>192</v>
      </c>
      <c r="I428" t="s">
        <v>212</v>
      </c>
      <c r="J428" t="s">
        <v>192</v>
      </c>
      <c r="K428" t="s">
        <v>2446</v>
      </c>
      <c r="L428" s="84">
        <v>42171</v>
      </c>
      <c r="M428" t="s">
        <v>381</v>
      </c>
      <c r="N428" t="s">
        <v>266</v>
      </c>
      <c r="O428">
        <v>3</v>
      </c>
      <c r="P428" t="s">
        <v>2447</v>
      </c>
      <c r="Q428" t="s">
        <v>2448</v>
      </c>
      <c r="R428" t="s">
        <v>2449</v>
      </c>
      <c r="S428" t="s">
        <v>2450</v>
      </c>
      <c r="T428" t="s">
        <v>38</v>
      </c>
      <c r="U428" t="s">
        <v>80</v>
      </c>
      <c r="V428">
        <v>42</v>
      </c>
      <c r="W428">
        <v>82</v>
      </c>
      <c r="X428">
        <v>120</v>
      </c>
      <c r="Y428">
        <v>68</v>
      </c>
      <c r="Z428">
        <v>175</v>
      </c>
      <c r="AA428">
        <v>91</v>
      </c>
      <c r="AB428" t="s">
        <v>370</v>
      </c>
      <c r="AC428" t="s">
        <v>237</v>
      </c>
      <c r="AD428" t="s">
        <v>210</v>
      </c>
      <c r="AE428" t="s">
        <v>183</v>
      </c>
      <c r="AF428">
        <v>1</v>
      </c>
    </row>
    <row r="429" spans="1:32">
      <c r="A429">
        <v>144</v>
      </c>
      <c r="B429">
        <v>1005</v>
      </c>
      <c r="C429" t="s">
        <v>1747</v>
      </c>
      <c r="D429" t="s">
        <v>169</v>
      </c>
      <c r="E429" t="s">
        <v>2165</v>
      </c>
      <c r="F429" t="s">
        <v>197</v>
      </c>
      <c r="G429" t="s">
        <v>2452</v>
      </c>
      <c r="H429" t="s">
        <v>192</v>
      </c>
      <c r="I429" t="s">
        <v>212</v>
      </c>
      <c r="J429" t="s">
        <v>192</v>
      </c>
      <c r="K429" t="s">
        <v>2446</v>
      </c>
      <c r="L429" s="84">
        <v>42171</v>
      </c>
      <c r="M429" t="s">
        <v>381</v>
      </c>
      <c r="N429" t="s">
        <v>266</v>
      </c>
      <c r="O429">
        <v>3</v>
      </c>
      <c r="P429" t="s">
        <v>2447</v>
      </c>
      <c r="Q429" t="s">
        <v>2448</v>
      </c>
      <c r="R429" t="s">
        <v>2449</v>
      </c>
      <c r="S429" t="s">
        <v>2450</v>
      </c>
      <c r="T429" t="s">
        <v>38</v>
      </c>
      <c r="U429" t="s">
        <v>80</v>
      </c>
      <c r="V429">
        <v>42</v>
      </c>
      <c r="W429">
        <v>82</v>
      </c>
      <c r="X429">
        <v>120</v>
      </c>
      <c r="Y429">
        <v>68</v>
      </c>
      <c r="Z429">
        <v>175</v>
      </c>
      <c r="AA429">
        <v>91</v>
      </c>
      <c r="AB429" t="s">
        <v>370</v>
      </c>
      <c r="AC429" t="s">
        <v>237</v>
      </c>
      <c r="AD429" t="s">
        <v>210</v>
      </c>
      <c r="AE429" t="s">
        <v>183</v>
      </c>
      <c r="AF429">
        <v>1</v>
      </c>
    </row>
    <row r="430" spans="1:32">
      <c r="A430">
        <v>144</v>
      </c>
      <c r="B430">
        <v>1005</v>
      </c>
      <c r="C430" t="s">
        <v>1747</v>
      </c>
      <c r="D430" t="s">
        <v>169</v>
      </c>
      <c r="E430" t="s">
        <v>2165</v>
      </c>
      <c r="F430" t="s">
        <v>197</v>
      </c>
      <c r="G430" t="s">
        <v>2452</v>
      </c>
      <c r="H430" t="s">
        <v>192</v>
      </c>
      <c r="I430" t="s">
        <v>212</v>
      </c>
      <c r="J430" t="s">
        <v>192</v>
      </c>
      <c r="K430" t="s">
        <v>2446</v>
      </c>
      <c r="L430" s="84">
        <v>42171</v>
      </c>
      <c r="M430" t="s">
        <v>381</v>
      </c>
      <c r="N430" t="s">
        <v>266</v>
      </c>
      <c r="O430">
        <v>3</v>
      </c>
      <c r="P430" t="s">
        <v>2447</v>
      </c>
      <c r="Q430" t="s">
        <v>2448</v>
      </c>
      <c r="R430" t="s">
        <v>2449</v>
      </c>
      <c r="S430" t="s">
        <v>2450</v>
      </c>
      <c r="T430" t="s">
        <v>38</v>
      </c>
      <c r="U430" t="s">
        <v>80</v>
      </c>
      <c r="V430">
        <v>42</v>
      </c>
      <c r="W430">
        <v>82</v>
      </c>
      <c r="X430">
        <v>120</v>
      </c>
      <c r="Y430">
        <v>68</v>
      </c>
      <c r="Z430">
        <v>175</v>
      </c>
      <c r="AA430">
        <v>91</v>
      </c>
      <c r="AB430" t="s">
        <v>370</v>
      </c>
      <c r="AC430" t="s">
        <v>237</v>
      </c>
      <c r="AD430" t="s">
        <v>210</v>
      </c>
      <c r="AE430" t="s">
        <v>183</v>
      </c>
      <c r="AF430">
        <v>1</v>
      </c>
    </row>
    <row r="431" spans="1:32">
      <c r="A431">
        <v>144</v>
      </c>
      <c r="B431">
        <v>1005</v>
      </c>
      <c r="C431" t="s">
        <v>1747</v>
      </c>
      <c r="D431" t="s">
        <v>169</v>
      </c>
      <c r="E431" t="s">
        <v>2165</v>
      </c>
      <c r="F431" t="s">
        <v>6</v>
      </c>
      <c r="G431" t="s">
        <v>2453</v>
      </c>
      <c r="H431" t="s">
        <v>173</v>
      </c>
      <c r="I431" t="s">
        <v>256</v>
      </c>
      <c r="J431" t="s">
        <v>436</v>
      </c>
      <c r="K431" t="s">
        <v>2446</v>
      </c>
      <c r="L431" s="84">
        <v>42171</v>
      </c>
      <c r="M431" t="s">
        <v>381</v>
      </c>
      <c r="N431" t="s">
        <v>266</v>
      </c>
      <c r="O431">
        <v>3</v>
      </c>
      <c r="P431" t="s">
        <v>2447</v>
      </c>
      <c r="Q431" t="s">
        <v>2448</v>
      </c>
      <c r="R431" t="s">
        <v>2449</v>
      </c>
      <c r="S431" t="s">
        <v>2450</v>
      </c>
      <c r="T431" t="s">
        <v>34</v>
      </c>
      <c r="U431" t="s">
        <v>80</v>
      </c>
      <c r="V431">
        <v>42</v>
      </c>
      <c r="W431">
        <v>82</v>
      </c>
      <c r="X431">
        <v>120</v>
      </c>
      <c r="Y431">
        <v>68</v>
      </c>
      <c r="Z431">
        <v>175</v>
      </c>
      <c r="AA431">
        <v>91</v>
      </c>
      <c r="AB431" t="s">
        <v>370</v>
      </c>
      <c r="AC431" t="s">
        <v>237</v>
      </c>
      <c r="AD431" t="s">
        <v>210</v>
      </c>
      <c r="AE431" t="s">
        <v>183</v>
      </c>
      <c r="AF431">
        <v>1</v>
      </c>
    </row>
    <row r="432" spans="1:32">
      <c r="A432">
        <v>144</v>
      </c>
      <c r="B432">
        <v>1005</v>
      </c>
      <c r="C432" t="s">
        <v>1747</v>
      </c>
      <c r="D432" t="s">
        <v>169</v>
      </c>
      <c r="E432" t="s">
        <v>2165</v>
      </c>
      <c r="F432" t="s">
        <v>6</v>
      </c>
      <c r="G432" t="s">
        <v>2453</v>
      </c>
      <c r="H432" t="s">
        <v>173</v>
      </c>
      <c r="I432" t="s">
        <v>256</v>
      </c>
      <c r="J432" t="s">
        <v>436</v>
      </c>
      <c r="K432" t="s">
        <v>2446</v>
      </c>
      <c r="L432" s="84">
        <v>42171</v>
      </c>
      <c r="M432" t="s">
        <v>381</v>
      </c>
      <c r="N432" t="s">
        <v>266</v>
      </c>
      <c r="O432">
        <v>3</v>
      </c>
      <c r="P432" t="s">
        <v>2447</v>
      </c>
      <c r="Q432" t="s">
        <v>2448</v>
      </c>
      <c r="R432" t="s">
        <v>2449</v>
      </c>
      <c r="S432" t="s">
        <v>2450</v>
      </c>
      <c r="T432" t="s">
        <v>34</v>
      </c>
      <c r="U432" t="s">
        <v>80</v>
      </c>
      <c r="V432">
        <v>42</v>
      </c>
      <c r="W432">
        <v>82</v>
      </c>
      <c r="X432">
        <v>120</v>
      </c>
      <c r="Y432">
        <v>68</v>
      </c>
      <c r="Z432">
        <v>175</v>
      </c>
      <c r="AA432">
        <v>91</v>
      </c>
      <c r="AB432" t="s">
        <v>370</v>
      </c>
      <c r="AC432" t="s">
        <v>237</v>
      </c>
      <c r="AD432" t="s">
        <v>210</v>
      </c>
      <c r="AE432" t="s">
        <v>183</v>
      </c>
      <c r="AF432">
        <v>1</v>
      </c>
    </row>
    <row r="433" spans="1:32">
      <c r="A433">
        <v>144</v>
      </c>
      <c r="B433">
        <v>1005</v>
      </c>
      <c r="C433" t="s">
        <v>1747</v>
      </c>
      <c r="D433" t="s">
        <v>169</v>
      </c>
      <c r="E433" t="s">
        <v>2165</v>
      </c>
      <c r="F433" t="s">
        <v>6</v>
      </c>
      <c r="G433" t="s">
        <v>2453</v>
      </c>
      <c r="H433" t="s">
        <v>173</v>
      </c>
      <c r="I433" t="s">
        <v>256</v>
      </c>
      <c r="J433" t="s">
        <v>436</v>
      </c>
      <c r="K433" t="s">
        <v>2446</v>
      </c>
      <c r="L433" s="84">
        <v>42171</v>
      </c>
      <c r="M433" t="s">
        <v>381</v>
      </c>
      <c r="N433" t="s">
        <v>266</v>
      </c>
      <c r="O433">
        <v>3</v>
      </c>
      <c r="P433" t="s">
        <v>2447</v>
      </c>
      <c r="Q433" t="s">
        <v>2448</v>
      </c>
      <c r="R433" t="s">
        <v>2449</v>
      </c>
      <c r="S433" t="s">
        <v>2450</v>
      </c>
      <c r="T433" t="s">
        <v>34</v>
      </c>
      <c r="U433" t="s">
        <v>80</v>
      </c>
      <c r="V433">
        <v>42</v>
      </c>
      <c r="W433">
        <v>82</v>
      </c>
      <c r="X433">
        <v>120</v>
      </c>
      <c r="Y433">
        <v>68</v>
      </c>
      <c r="Z433">
        <v>175</v>
      </c>
      <c r="AA433">
        <v>91</v>
      </c>
      <c r="AB433" t="s">
        <v>370</v>
      </c>
      <c r="AC433" t="s">
        <v>237</v>
      </c>
      <c r="AD433" t="s">
        <v>210</v>
      </c>
      <c r="AE433" t="s">
        <v>183</v>
      </c>
      <c r="AF433">
        <v>1</v>
      </c>
    </row>
    <row r="434" spans="1:32">
      <c r="A434">
        <v>144</v>
      </c>
      <c r="B434">
        <v>1005</v>
      </c>
      <c r="C434" t="s">
        <v>1747</v>
      </c>
      <c r="D434" t="s">
        <v>169</v>
      </c>
      <c r="E434" t="s">
        <v>2165</v>
      </c>
      <c r="F434" t="s">
        <v>6</v>
      </c>
      <c r="G434" t="s">
        <v>2453</v>
      </c>
      <c r="H434" t="s">
        <v>173</v>
      </c>
      <c r="I434" t="s">
        <v>256</v>
      </c>
      <c r="J434" t="s">
        <v>436</v>
      </c>
      <c r="K434" t="s">
        <v>2446</v>
      </c>
      <c r="L434" s="84">
        <v>42171</v>
      </c>
      <c r="M434" t="s">
        <v>381</v>
      </c>
      <c r="N434" t="s">
        <v>266</v>
      </c>
      <c r="O434">
        <v>3</v>
      </c>
      <c r="P434" t="s">
        <v>2447</v>
      </c>
      <c r="Q434" t="s">
        <v>2448</v>
      </c>
      <c r="R434" t="s">
        <v>2449</v>
      </c>
      <c r="S434" t="s">
        <v>2450</v>
      </c>
      <c r="T434" t="s">
        <v>34</v>
      </c>
      <c r="U434" t="s">
        <v>80</v>
      </c>
      <c r="V434">
        <v>42</v>
      </c>
      <c r="W434">
        <v>82</v>
      </c>
      <c r="X434">
        <v>120</v>
      </c>
      <c r="Y434">
        <v>68</v>
      </c>
      <c r="Z434">
        <v>175</v>
      </c>
      <c r="AA434">
        <v>91</v>
      </c>
      <c r="AB434" t="s">
        <v>370</v>
      </c>
      <c r="AC434" t="s">
        <v>237</v>
      </c>
      <c r="AD434" t="s">
        <v>210</v>
      </c>
      <c r="AE434" t="s">
        <v>183</v>
      </c>
      <c r="AF434">
        <v>1</v>
      </c>
    </row>
    <row r="435" spans="1:32">
      <c r="A435">
        <v>144</v>
      </c>
      <c r="B435">
        <v>1005</v>
      </c>
      <c r="C435" t="s">
        <v>1747</v>
      </c>
      <c r="D435" t="s">
        <v>169</v>
      </c>
      <c r="E435" t="s">
        <v>2165</v>
      </c>
      <c r="F435" t="s">
        <v>6</v>
      </c>
      <c r="G435" t="s">
        <v>2453</v>
      </c>
      <c r="H435" t="s">
        <v>173</v>
      </c>
      <c r="I435" t="s">
        <v>256</v>
      </c>
      <c r="J435" t="s">
        <v>436</v>
      </c>
      <c r="K435" t="s">
        <v>2446</v>
      </c>
      <c r="L435" s="84">
        <v>42171</v>
      </c>
      <c r="M435" t="s">
        <v>381</v>
      </c>
      <c r="N435" t="s">
        <v>266</v>
      </c>
      <c r="O435">
        <v>3</v>
      </c>
      <c r="P435" t="s">
        <v>2447</v>
      </c>
      <c r="Q435" t="s">
        <v>2448</v>
      </c>
      <c r="R435" t="s">
        <v>2449</v>
      </c>
      <c r="S435" t="s">
        <v>2450</v>
      </c>
      <c r="T435" t="s">
        <v>34</v>
      </c>
      <c r="U435" t="s">
        <v>80</v>
      </c>
      <c r="V435">
        <v>42</v>
      </c>
      <c r="W435">
        <v>82</v>
      </c>
      <c r="X435">
        <v>120</v>
      </c>
      <c r="Y435">
        <v>68</v>
      </c>
      <c r="Z435">
        <v>175</v>
      </c>
      <c r="AA435">
        <v>91</v>
      </c>
      <c r="AB435" t="s">
        <v>370</v>
      </c>
      <c r="AC435" t="s">
        <v>237</v>
      </c>
      <c r="AD435" t="s">
        <v>210</v>
      </c>
      <c r="AE435" t="s">
        <v>183</v>
      </c>
      <c r="AF435">
        <v>1</v>
      </c>
    </row>
    <row r="436" spans="1:32">
      <c r="A436">
        <v>144</v>
      </c>
      <c r="B436">
        <v>1005</v>
      </c>
      <c r="C436" t="s">
        <v>1747</v>
      </c>
      <c r="D436" t="s">
        <v>169</v>
      </c>
      <c r="E436" t="s">
        <v>2165</v>
      </c>
      <c r="F436" t="s">
        <v>6</v>
      </c>
      <c r="G436" t="s">
        <v>2453</v>
      </c>
      <c r="H436" t="s">
        <v>173</v>
      </c>
      <c r="I436" t="s">
        <v>256</v>
      </c>
      <c r="J436" t="s">
        <v>436</v>
      </c>
      <c r="K436" t="s">
        <v>2446</v>
      </c>
      <c r="L436" s="84">
        <v>42171</v>
      </c>
      <c r="M436" t="s">
        <v>381</v>
      </c>
      <c r="N436" t="s">
        <v>266</v>
      </c>
      <c r="O436">
        <v>3</v>
      </c>
      <c r="P436" t="s">
        <v>2447</v>
      </c>
      <c r="Q436" t="s">
        <v>2448</v>
      </c>
      <c r="R436" t="s">
        <v>2449</v>
      </c>
      <c r="S436" t="s">
        <v>2450</v>
      </c>
      <c r="T436" t="s">
        <v>34</v>
      </c>
      <c r="U436" t="s">
        <v>80</v>
      </c>
      <c r="V436">
        <v>42</v>
      </c>
      <c r="W436">
        <v>82</v>
      </c>
      <c r="X436">
        <v>120</v>
      </c>
      <c r="Y436">
        <v>68</v>
      </c>
      <c r="Z436">
        <v>175</v>
      </c>
      <c r="AA436">
        <v>91</v>
      </c>
      <c r="AB436" t="s">
        <v>370</v>
      </c>
      <c r="AC436" t="s">
        <v>237</v>
      </c>
      <c r="AD436" t="s">
        <v>210</v>
      </c>
      <c r="AE436" t="s">
        <v>183</v>
      </c>
      <c r="AF436">
        <v>1</v>
      </c>
    </row>
    <row r="437" spans="1:32">
      <c r="A437">
        <v>144</v>
      </c>
      <c r="B437">
        <v>1005</v>
      </c>
      <c r="C437" t="s">
        <v>1747</v>
      </c>
      <c r="D437" t="s">
        <v>169</v>
      </c>
      <c r="E437" t="s">
        <v>2165</v>
      </c>
      <c r="F437" t="s">
        <v>6</v>
      </c>
      <c r="G437" t="s">
        <v>2453</v>
      </c>
      <c r="H437" t="s">
        <v>173</v>
      </c>
      <c r="I437" t="s">
        <v>256</v>
      </c>
      <c r="J437" t="s">
        <v>436</v>
      </c>
      <c r="K437" t="s">
        <v>2446</v>
      </c>
      <c r="L437" s="84">
        <v>42171</v>
      </c>
      <c r="M437" t="s">
        <v>381</v>
      </c>
      <c r="N437" t="s">
        <v>266</v>
      </c>
      <c r="O437">
        <v>3</v>
      </c>
      <c r="P437" t="s">
        <v>2447</v>
      </c>
      <c r="Q437" t="s">
        <v>2448</v>
      </c>
      <c r="R437" t="s">
        <v>2449</v>
      </c>
      <c r="S437" t="s">
        <v>2450</v>
      </c>
      <c r="T437" t="s">
        <v>34</v>
      </c>
      <c r="U437" t="s">
        <v>80</v>
      </c>
      <c r="V437">
        <v>42</v>
      </c>
      <c r="W437">
        <v>82</v>
      </c>
      <c r="X437">
        <v>120</v>
      </c>
      <c r="Y437">
        <v>68</v>
      </c>
      <c r="Z437">
        <v>175</v>
      </c>
      <c r="AA437">
        <v>91</v>
      </c>
      <c r="AB437" t="s">
        <v>370</v>
      </c>
      <c r="AC437" t="s">
        <v>237</v>
      </c>
      <c r="AD437" t="s">
        <v>210</v>
      </c>
      <c r="AE437" t="s">
        <v>183</v>
      </c>
      <c r="AF437">
        <v>1</v>
      </c>
    </row>
    <row r="438" spans="1:32">
      <c r="A438">
        <v>144</v>
      </c>
      <c r="B438">
        <v>1005</v>
      </c>
      <c r="C438" t="s">
        <v>1747</v>
      </c>
      <c r="D438" t="s">
        <v>169</v>
      </c>
      <c r="E438" t="s">
        <v>2165</v>
      </c>
      <c r="F438" t="s">
        <v>6</v>
      </c>
      <c r="G438" t="s">
        <v>2453</v>
      </c>
      <c r="H438" t="s">
        <v>173</v>
      </c>
      <c r="I438" t="s">
        <v>256</v>
      </c>
      <c r="J438" t="s">
        <v>436</v>
      </c>
      <c r="K438" t="s">
        <v>2446</v>
      </c>
      <c r="L438" s="84">
        <v>42171</v>
      </c>
      <c r="M438" t="s">
        <v>381</v>
      </c>
      <c r="N438" t="s">
        <v>266</v>
      </c>
      <c r="O438">
        <v>3</v>
      </c>
      <c r="P438" t="s">
        <v>2447</v>
      </c>
      <c r="Q438" t="s">
        <v>2448</v>
      </c>
      <c r="R438" t="s">
        <v>2449</v>
      </c>
      <c r="S438" t="s">
        <v>2450</v>
      </c>
      <c r="T438" t="s">
        <v>34</v>
      </c>
      <c r="U438" t="s">
        <v>80</v>
      </c>
      <c r="V438">
        <v>42</v>
      </c>
      <c r="W438">
        <v>82</v>
      </c>
      <c r="X438">
        <v>120</v>
      </c>
      <c r="Y438">
        <v>68</v>
      </c>
      <c r="Z438">
        <v>175</v>
      </c>
      <c r="AA438">
        <v>91</v>
      </c>
      <c r="AB438" t="s">
        <v>370</v>
      </c>
      <c r="AC438" t="s">
        <v>237</v>
      </c>
      <c r="AD438" t="s">
        <v>210</v>
      </c>
      <c r="AE438" t="s">
        <v>183</v>
      </c>
      <c r="AF438">
        <v>1</v>
      </c>
    </row>
    <row r="439" spans="1:32">
      <c r="A439">
        <v>144</v>
      </c>
      <c r="B439">
        <v>1005</v>
      </c>
      <c r="C439" t="s">
        <v>1747</v>
      </c>
      <c r="D439" t="s">
        <v>169</v>
      </c>
      <c r="E439" t="s">
        <v>2165</v>
      </c>
      <c r="F439" t="s">
        <v>6</v>
      </c>
      <c r="G439" t="s">
        <v>2453</v>
      </c>
      <c r="H439" t="s">
        <v>173</v>
      </c>
      <c r="I439" t="s">
        <v>256</v>
      </c>
      <c r="J439" t="s">
        <v>436</v>
      </c>
      <c r="K439" t="s">
        <v>2446</v>
      </c>
      <c r="L439" s="84">
        <v>42171</v>
      </c>
      <c r="M439" t="s">
        <v>381</v>
      </c>
      <c r="N439" t="s">
        <v>266</v>
      </c>
      <c r="O439">
        <v>3</v>
      </c>
      <c r="P439" t="s">
        <v>2447</v>
      </c>
      <c r="Q439" t="s">
        <v>2448</v>
      </c>
      <c r="R439" t="s">
        <v>2449</v>
      </c>
      <c r="S439" t="s">
        <v>2450</v>
      </c>
      <c r="T439" t="s">
        <v>34</v>
      </c>
      <c r="U439" t="s">
        <v>80</v>
      </c>
      <c r="V439">
        <v>42</v>
      </c>
      <c r="W439">
        <v>82</v>
      </c>
      <c r="X439">
        <v>120</v>
      </c>
      <c r="Y439">
        <v>68</v>
      </c>
      <c r="Z439">
        <v>175</v>
      </c>
      <c r="AA439">
        <v>91</v>
      </c>
      <c r="AB439" t="s">
        <v>370</v>
      </c>
      <c r="AC439" t="s">
        <v>237</v>
      </c>
      <c r="AD439" t="s">
        <v>210</v>
      </c>
      <c r="AE439" t="s">
        <v>183</v>
      </c>
      <c r="AF439">
        <v>1</v>
      </c>
    </row>
    <row r="440" spans="1:32">
      <c r="A440">
        <v>144</v>
      </c>
      <c r="B440">
        <v>1005</v>
      </c>
      <c r="C440" t="s">
        <v>1747</v>
      </c>
      <c r="D440" t="s">
        <v>169</v>
      </c>
      <c r="E440" t="s">
        <v>2165</v>
      </c>
      <c r="F440" t="s">
        <v>6</v>
      </c>
      <c r="G440" t="s">
        <v>2453</v>
      </c>
      <c r="H440" t="s">
        <v>173</v>
      </c>
      <c r="I440" t="s">
        <v>256</v>
      </c>
      <c r="J440" t="s">
        <v>436</v>
      </c>
      <c r="K440" t="s">
        <v>2446</v>
      </c>
      <c r="L440" s="84">
        <v>42171</v>
      </c>
      <c r="M440" t="s">
        <v>381</v>
      </c>
      <c r="N440" t="s">
        <v>266</v>
      </c>
      <c r="O440">
        <v>3</v>
      </c>
      <c r="P440" t="s">
        <v>2447</v>
      </c>
      <c r="Q440" t="s">
        <v>2448</v>
      </c>
      <c r="R440" t="s">
        <v>2449</v>
      </c>
      <c r="S440" t="s">
        <v>2450</v>
      </c>
      <c r="T440" t="s">
        <v>34</v>
      </c>
      <c r="U440" t="s">
        <v>80</v>
      </c>
      <c r="V440">
        <v>42</v>
      </c>
      <c r="W440">
        <v>82</v>
      </c>
      <c r="X440">
        <v>120</v>
      </c>
      <c r="Y440">
        <v>68</v>
      </c>
      <c r="Z440">
        <v>175</v>
      </c>
      <c r="AA440">
        <v>91</v>
      </c>
      <c r="AB440" t="s">
        <v>370</v>
      </c>
      <c r="AC440" t="s">
        <v>237</v>
      </c>
      <c r="AD440" t="s">
        <v>210</v>
      </c>
      <c r="AE440" t="s">
        <v>183</v>
      </c>
      <c r="AF440">
        <v>1</v>
      </c>
    </row>
    <row r="441" spans="1:32">
      <c r="A441">
        <v>144</v>
      </c>
      <c r="B441">
        <v>1005</v>
      </c>
      <c r="C441" t="s">
        <v>1747</v>
      </c>
      <c r="D441" t="s">
        <v>169</v>
      </c>
      <c r="E441" t="s">
        <v>2165</v>
      </c>
      <c r="F441" t="s">
        <v>6</v>
      </c>
      <c r="G441" t="s">
        <v>2453</v>
      </c>
      <c r="H441" t="s">
        <v>173</v>
      </c>
      <c r="I441" t="s">
        <v>256</v>
      </c>
      <c r="J441" t="s">
        <v>436</v>
      </c>
      <c r="K441" t="s">
        <v>2446</v>
      </c>
      <c r="L441" s="84">
        <v>42171</v>
      </c>
      <c r="M441" t="s">
        <v>381</v>
      </c>
      <c r="N441" t="s">
        <v>266</v>
      </c>
      <c r="O441">
        <v>3</v>
      </c>
      <c r="P441" t="s">
        <v>2447</v>
      </c>
      <c r="Q441" t="s">
        <v>2448</v>
      </c>
      <c r="R441" t="s">
        <v>2449</v>
      </c>
      <c r="S441" t="s">
        <v>2450</v>
      </c>
      <c r="T441" t="s">
        <v>34</v>
      </c>
      <c r="U441" t="s">
        <v>80</v>
      </c>
      <c r="V441">
        <v>42</v>
      </c>
      <c r="W441">
        <v>82</v>
      </c>
      <c r="X441">
        <v>120</v>
      </c>
      <c r="Y441">
        <v>68</v>
      </c>
      <c r="Z441">
        <v>175</v>
      </c>
      <c r="AA441">
        <v>91</v>
      </c>
      <c r="AB441" t="s">
        <v>370</v>
      </c>
      <c r="AC441" t="s">
        <v>237</v>
      </c>
      <c r="AD441" t="s">
        <v>210</v>
      </c>
      <c r="AE441" t="s">
        <v>183</v>
      </c>
      <c r="AF441">
        <v>1</v>
      </c>
    </row>
    <row r="442" spans="1:32">
      <c r="A442">
        <v>144</v>
      </c>
      <c r="B442">
        <v>1005</v>
      </c>
      <c r="C442" t="s">
        <v>1747</v>
      </c>
      <c r="D442" t="s">
        <v>169</v>
      </c>
      <c r="E442" t="s">
        <v>2165</v>
      </c>
      <c r="F442" t="s">
        <v>6</v>
      </c>
      <c r="G442" t="s">
        <v>2453</v>
      </c>
      <c r="H442" t="s">
        <v>173</v>
      </c>
      <c r="I442" t="s">
        <v>256</v>
      </c>
      <c r="J442" t="s">
        <v>436</v>
      </c>
      <c r="K442" t="s">
        <v>2446</v>
      </c>
      <c r="L442" s="84">
        <v>42171</v>
      </c>
      <c r="M442" t="s">
        <v>381</v>
      </c>
      <c r="N442" t="s">
        <v>266</v>
      </c>
      <c r="O442">
        <v>3</v>
      </c>
      <c r="P442" t="s">
        <v>2447</v>
      </c>
      <c r="Q442" t="s">
        <v>2448</v>
      </c>
      <c r="R442" t="s">
        <v>2449</v>
      </c>
      <c r="S442" t="s">
        <v>2450</v>
      </c>
      <c r="T442" t="s">
        <v>34</v>
      </c>
      <c r="U442" t="s">
        <v>80</v>
      </c>
      <c r="V442">
        <v>42</v>
      </c>
      <c r="W442">
        <v>82</v>
      </c>
      <c r="X442">
        <v>120</v>
      </c>
      <c r="Y442">
        <v>68</v>
      </c>
      <c r="Z442">
        <v>175</v>
      </c>
      <c r="AA442">
        <v>91</v>
      </c>
      <c r="AB442" t="s">
        <v>370</v>
      </c>
      <c r="AC442" t="s">
        <v>237</v>
      </c>
      <c r="AD442" t="s">
        <v>210</v>
      </c>
      <c r="AE442" t="s">
        <v>183</v>
      </c>
      <c r="AF442">
        <v>1</v>
      </c>
    </row>
    <row r="443" spans="1:32">
      <c r="A443">
        <v>144</v>
      </c>
      <c r="B443">
        <v>1005</v>
      </c>
      <c r="C443" t="s">
        <v>1747</v>
      </c>
      <c r="D443" t="s">
        <v>169</v>
      </c>
      <c r="E443" t="s">
        <v>2165</v>
      </c>
      <c r="F443" t="s">
        <v>6</v>
      </c>
      <c r="G443" t="s">
        <v>2453</v>
      </c>
      <c r="H443" t="s">
        <v>173</v>
      </c>
      <c r="I443" t="s">
        <v>256</v>
      </c>
      <c r="J443" t="s">
        <v>436</v>
      </c>
      <c r="K443" t="s">
        <v>2446</v>
      </c>
      <c r="L443" s="84">
        <v>42171</v>
      </c>
      <c r="M443" t="s">
        <v>381</v>
      </c>
      <c r="N443" t="s">
        <v>266</v>
      </c>
      <c r="O443">
        <v>3</v>
      </c>
      <c r="P443" t="s">
        <v>2447</v>
      </c>
      <c r="Q443" t="s">
        <v>2448</v>
      </c>
      <c r="R443" t="s">
        <v>2449</v>
      </c>
      <c r="S443" t="s">
        <v>2450</v>
      </c>
      <c r="T443" t="s">
        <v>34</v>
      </c>
      <c r="U443" t="s">
        <v>80</v>
      </c>
      <c r="V443">
        <v>42</v>
      </c>
      <c r="W443">
        <v>82</v>
      </c>
      <c r="X443">
        <v>120</v>
      </c>
      <c r="Y443">
        <v>68</v>
      </c>
      <c r="Z443">
        <v>175</v>
      </c>
      <c r="AA443">
        <v>91</v>
      </c>
      <c r="AB443" t="s">
        <v>370</v>
      </c>
      <c r="AC443" t="s">
        <v>237</v>
      </c>
      <c r="AD443" t="s">
        <v>210</v>
      </c>
      <c r="AE443" t="s">
        <v>183</v>
      </c>
      <c r="AF443">
        <v>1</v>
      </c>
    </row>
    <row r="444" spans="1:32">
      <c r="A444">
        <v>144</v>
      </c>
      <c r="B444">
        <v>1005</v>
      </c>
      <c r="C444" t="s">
        <v>1747</v>
      </c>
      <c r="D444" t="s">
        <v>169</v>
      </c>
      <c r="E444" t="s">
        <v>2165</v>
      </c>
      <c r="F444" t="s">
        <v>6</v>
      </c>
      <c r="G444" t="s">
        <v>2453</v>
      </c>
      <c r="H444" t="s">
        <v>173</v>
      </c>
      <c r="I444" t="s">
        <v>256</v>
      </c>
      <c r="J444" t="s">
        <v>436</v>
      </c>
      <c r="K444" t="s">
        <v>2446</v>
      </c>
      <c r="L444" s="84">
        <v>42171</v>
      </c>
      <c r="M444" t="s">
        <v>381</v>
      </c>
      <c r="N444" t="s">
        <v>266</v>
      </c>
      <c r="O444">
        <v>3</v>
      </c>
      <c r="P444" t="s">
        <v>2447</v>
      </c>
      <c r="Q444" t="s">
        <v>2448</v>
      </c>
      <c r="R444" t="s">
        <v>2449</v>
      </c>
      <c r="S444" t="s">
        <v>2450</v>
      </c>
      <c r="T444" t="s">
        <v>34</v>
      </c>
      <c r="U444" t="s">
        <v>80</v>
      </c>
      <c r="V444">
        <v>42</v>
      </c>
      <c r="W444">
        <v>82</v>
      </c>
      <c r="X444">
        <v>120</v>
      </c>
      <c r="Y444">
        <v>68</v>
      </c>
      <c r="Z444">
        <v>175</v>
      </c>
      <c r="AA444">
        <v>91</v>
      </c>
      <c r="AB444" t="s">
        <v>370</v>
      </c>
      <c r="AC444" t="s">
        <v>237</v>
      </c>
      <c r="AD444" t="s">
        <v>210</v>
      </c>
      <c r="AE444" t="s">
        <v>183</v>
      </c>
      <c r="AF444">
        <v>1</v>
      </c>
    </row>
    <row r="445" spans="1:32">
      <c r="A445">
        <v>144</v>
      </c>
      <c r="B445">
        <v>1005</v>
      </c>
      <c r="C445" t="s">
        <v>1747</v>
      </c>
      <c r="D445" t="s">
        <v>169</v>
      </c>
      <c r="E445" t="s">
        <v>2165</v>
      </c>
      <c r="F445" t="s">
        <v>6</v>
      </c>
      <c r="G445" t="s">
        <v>2453</v>
      </c>
      <c r="H445" t="s">
        <v>173</v>
      </c>
      <c r="I445" t="s">
        <v>256</v>
      </c>
      <c r="J445" t="s">
        <v>436</v>
      </c>
      <c r="K445" t="s">
        <v>2446</v>
      </c>
      <c r="L445" s="84">
        <v>42171</v>
      </c>
      <c r="M445" t="s">
        <v>381</v>
      </c>
      <c r="N445" t="s">
        <v>266</v>
      </c>
      <c r="O445">
        <v>3</v>
      </c>
      <c r="P445" t="s">
        <v>2447</v>
      </c>
      <c r="Q445" t="s">
        <v>2448</v>
      </c>
      <c r="R445" t="s">
        <v>2449</v>
      </c>
      <c r="S445" t="s">
        <v>2450</v>
      </c>
      <c r="T445" t="s">
        <v>34</v>
      </c>
      <c r="U445" t="s">
        <v>80</v>
      </c>
      <c r="V445">
        <v>42</v>
      </c>
      <c r="W445">
        <v>82</v>
      </c>
      <c r="X445">
        <v>120</v>
      </c>
      <c r="Y445">
        <v>68</v>
      </c>
      <c r="Z445">
        <v>175</v>
      </c>
      <c r="AA445">
        <v>91</v>
      </c>
      <c r="AB445" t="s">
        <v>370</v>
      </c>
      <c r="AC445" t="s">
        <v>237</v>
      </c>
      <c r="AD445" t="s">
        <v>210</v>
      </c>
      <c r="AE445" t="s">
        <v>183</v>
      </c>
      <c r="AF445">
        <v>1</v>
      </c>
    </row>
    <row r="446" spans="1:32">
      <c r="A446">
        <v>144</v>
      </c>
      <c r="B446">
        <v>1005</v>
      </c>
      <c r="C446" t="s">
        <v>1747</v>
      </c>
      <c r="D446" t="s">
        <v>169</v>
      </c>
      <c r="E446" t="s">
        <v>2165</v>
      </c>
      <c r="F446" t="s">
        <v>6</v>
      </c>
      <c r="G446" t="s">
        <v>2453</v>
      </c>
      <c r="H446" t="s">
        <v>173</v>
      </c>
      <c r="I446" t="s">
        <v>256</v>
      </c>
      <c r="J446" t="s">
        <v>436</v>
      </c>
      <c r="K446" t="s">
        <v>2446</v>
      </c>
      <c r="L446" s="84">
        <v>42171</v>
      </c>
      <c r="M446" t="s">
        <v>381</v>
      </c>
      <c r="N446" t="s">
        <v>266</v>
      </c>
      <c r="O446">
        <v>3</v>
      </c>
      <c r="P446" t="s">
        <v>2447</v>
      </c>
      <c r="Q446" t="s">
        <v>2448</v>
      </c>
      <c r="R446" t="s">
        <v>2449</v>
      </c>
      <c r="S446" t="s">
        <v>2450</v>
      </c>
      <c r="T446" t="s">
        <v>34</v>
      </c>
      <c r="U446" t="s">
        <v>80</v>
      </c>
      <c r="V446">
        <v>42</v>
      </c>
      <c r="W446">
        <v>82</v>
      </c>
      <c r="X446">
        <v>120</v>
      </c>
      <c r="Y446">
        <v>68</v>
      </c>
      <c r="Z446">
        <v>175</v>
      </c>
      <c r="AA446">
        <v>91</v>
      </c>
      <c r="AB446" t="s">
        <v>370</v>
      </c>
      <c r="AC446" t="s">
        <v>237</v>
      </c>
      <c r="AD446" t="s">
        <v>210</v>
      </c>
      <c r="AE446" t="s">
        <v>183</v>
      </c>
      <c r="AF446">
        <v>1</v>
      </c>
    </row>
    <row r="447" spans="1:32">
      <c r="A447">
        <v>144</v>
      </c>
      <c r="B447">
        <v>1005</v>
      </c>
      <c r="C447" t="s">
        <v>1747</v>
      </c>
      <c r="D447" t="s">
        <v>169</v>
      </c>
      <c r="E447" t="s">
        <v>2165</v>
      </c>
      <c r="F447" t="s">
        <v>6</v>
      </c>
      <c r="G447" t="s">
        <v>2453</v>
      </c>
      <c r="H447" t="s">
        <v>173</v>
      </c>
      <c r="I447" t="s">
        <v>256</v>
      </c>
      <c r="J447" t="s">
        <v>436</v>
      </c>
      <c r="K447" t="s">
        <v>2446</v>
      </c>
      <c r="L447" s="84">
        <v>42171</v>
      </c>
      <c r="M447" t="s">
        <v>381</v>
      </c>
      <c r="N447" t="s">
        <v>266</v>
      </c>
      <c r="O447">
        <v>3</v>
      </c>
      <c r="P447" t="s">
        <v>2447</v>
      </c>
      <c r="Q447" t="s">
        <v>2448</v>
      </c>
      <c r="R447" t="s">
        <v>2449</v>
      </c>
      <c r="S447" t="s">
        <v>2450</v>
      </c>
      <c r="T447" t="s">
        <v>34</v>
      </c>
      <c r="U447" t="s">
        <v>80</v>
      </c>
      <c r="V447">
        <v>42</v>
      </c>
      <c r="W447">
        <v>82</v>
      </c>
      <c r="X447">
        <v>120</v>
      </c>
      <c r="Y447">
        <v>68</v>
      </c>
      <c r="Z447">
        <v>175</v>
      </c>
      <c r="AA447">
        <v>91</v>
      </c>
      <c r="AB447" t="s">
        <v>370</v>
      </c>
      <c r="AC447" t="s">
        <v>237</v>
      </c>
      <c r="AD447" t="s">
        <v>210</v>
      </c>
      <c r="AE447" t="s">
        <v>183</v>
      </c>
      <c r="AF447">
        <v>1</v>
      </c>
    </row>
    <row r="448" spans="1:32">
      <c r="A448">
        <v>144</v>
      </c>
      <c r="B448">
        <v>1005</v>
      </c>
      <c r="C448" t="s">
        <v>1747</v>
      </c>
      <c r="D448" t="s">
        <v>169</v>
      </c>
      <c r="E448" t="s">
        <v>2165</v>
      </c>
      <c r="F448" t="s">
        <v>6</v>
      </c>
      <c r="G448" t="s">
        <v>2453</v>
      </c>
      <c r="H448" t="s">
        <v>173</v>
      </c>
      <c r="I448" t="s">
        <v>256</v>
      </c>
      <c r="J448" t="s">
        <v>436</v>
      </c>
      <c r="K448" t="s">
        <v>2446</v>
      </c>
      <c r="L448" s="84">
        <v>42171</v>
      </c>
      <c r="M448" t="s">
        <v>381</v>
      </c>
      <c r="N448" t="s">
        <v>266</v>
      </c>
      <c r="O448">
        <v>3</v>
      </c>
      <c r="P448" t="s">
        <v>2447</v>
      </c>
      <c r="Q448" t="s">
        <v>2448</v>
      </c>
      <c r="R448" t="s">
        <v>2449</v>
      </c>
      <c r="S448" t="s">
        <v>2450</v>
      </c>
      <c r="T448" t="s">
        <v>34</v>
      </c>
      <c r="U448" t="s">
        <v>80</v>
      </c>
      <c r="V448">
        <v>42</v>
      </c>
      <c r="W448">
        <v>82</v>
      </c>
      <c r="X448">
        <v>120</v>
      </c>
      <c r="Y448">
        <v>68</v>
      </c>
      <c r="Z448">
        <v>175</v>
      </c>
      <c r="AA448">
        <v>91</v>
      </c>
      <c r="AB448" t="s">
        <v>370</v>
      </c>
      <c r="AC448" t="s">
        <v>237</v>
      </c>
      <c r="AD448" t="s">
        <v>210</v>
      </c>
      <c r="AE448" t="s">
        <v>183</v>
      </c>
      <c r="AF448">
        <v>1</v>
      </c>
    </row>
    <row r="449" spans="1:32">
      <c r="A449">
        <v>144</v>
      </c>
      <c r="B449">
        <v>1005</v>
      </c>
      <c r="C449" t="s">
        <v>1747</v>
      </c>
      <c r="D449" t="s">
        <v>169</v>
      </c>
      <c r="E449" t="s">
        <v>2165</v>
      </c>
      <c r="F449" t="s">
        <v>6</v>
      </c>
      <c r="G449" t="s">
        <v>2453</v>
      </c>
      <c r="H449" t="s">
        <v>173</v>
      </c>
      <c r="I449" t="s">
        <v>256</v>
      </c>
      <c r="J449" t="s">
        <v>436</v>
      </c>
      <c r="K449" t="s">
        <v>2446</v>
      </c>
      <c r="L449" s="84">
        <v>42171</v>
      </c>
      <c r="M449" t="s">
        <v>381</v>
      </c>
      <c r="N449" t="s">
        <v>266</v>
      </c>
      <c r="O449">
        <v>3</v>
      </c>
      <c r="P449" t="s">
        <v>2447</v>
      </c>
      <c r="Q449" t="s">
        <v>2448</v>
      </c>
      <c r="R449" t="s">
        <v>2449</v>
      </c>
      <c r="S449" t="s">
        <v>2450</v>
      </c>
      <c r="T449" t="s">
        <v>34</v>
      </c>
      <c r="U449" t="s">
        <v>80</v>
      </c>
      <c r="V449">
        <v>42</v>
      </c>
      <c r="W449">
        <v>82</v>
      </c>
      <c r="X449">
        <v>120</v>
      </c>
      <c r="Y449">
        <v>68</v>
      </c>
      <c r="Z449">
        <v>175</v>
      </c>
      <c r="AA449">
        <v>91</v>
      </c>
      <c r="AB449" t="s">
        <v>370</v>
      </c>
      <c r="AC449" t="s">
        <v>237</v>
      </c>
      <c r="AD449" t="s">
        <v>210</v>
      </c>
      <c r="AE449" t="s">
        <v>183</v>
      </c>
      <c r="AF449">
        <v>1</v>
      </c>
    </row>
    <row r="450" spans="1:32">
      <c r="A450">
        <v>144</v>
      </c>
      <c r="B450">
        <v>1005</v>
      </c>
      <c r="C450" t="s">
        <v>1747</v>
      </c>
      <c r="D450" t="s">
        <v>169</v>
      </c>
      <c r="E450" t="s">
        <v>2165</v>
      </c>
      <c r="F450" t="s">
        <v>6</v>
      </c>
      <c r="G450" t="s">
        <v>2453</v>
      </c>
      <c r="H450" t="s">
        <v>173</v>
      </c>
      <c r="I450" t="s">
        <v>256</v>
      </c>
      <c r="J450" t="s">
        <v>436</v>
      </c>
      <c r="K450" t="s">
        <v>2446</v>
      </c>
      <c r="L450" s="84">
        <v>42171</v>
      </c>
      <c r="M450" t="s">
        <v>381</v>
      </c>
      <c r="N450" t="s">
        <v>266</v>
      </c>
      <c r="O450">
        <v>3</v>
      </c>
      <c r="P450" t="s">
        <v>2447</v>
      </c>
      <c r="Q450" t="s">
        <v>2448</v>
      </c>
      <c r="R450" t="s">
        <v>2449</v>
      </c>
      <c r="S450" t="s">
        <v>2450</v>
      </c>
      <c r="T450" t="s">
        <v>34</v>
      </c>
      <c r="U450" t="s">
        <v>80</v>
      </c>
      <c r="V450">
        <v>42</v>
      </c>
      <c r="W450">
        <v>82</v>
      </c>
      <c r="X450">
        <v>120</v>
      </c>
      <c r="Y450">
        <v>68</v>
      </c>
      <c r="Z450">
        <v>175</v>
      </c>
      <c r="AA450">
        <v>91</v>
      </c>
      <c r="AB450" t="s">
        <v>370</v>
      </c>
      <c r="AC450" t="s">
        <v>237</v>
      </c>
      <c r="AD450" t="s">
        <v>210</v>
      </c>
      <c r="AE450" t="s">
        <v>183</v>
      </c>
      <c r="AF450">
        <v>1</v>
      </c>
    </row>
    <row r="451" spans="1:32">
      <c r="A451">
        <v>144</v>
      </c>
      <c r="B451">
        <v>1005</v>
      </c>
      <c r="C451" t="s">
        <v>1747</v>
      </c>
      <c r="D451" t="s">
        <v>169</v>
      </c>
      <c r="E451" t="s">
        <v>2165</v>
      </c>
      <c r="F451" t="s">
        <v>6</v>
      </c>
      <c r="G451" t="s">
        <v>2453</v>
      </c>
      <c r="H451" t="s">
        <v>173</v>
      </c>
      <c r="I451" t="s">
        <v>256</v>
      </c>
      <c r="J451" t="s">
        <v>436</v>
      </c>
      <c r="K451" t="s">
        <v>2446</v>
      </c>
      <c r="L451" s="84">
        <v>42171</v>
      </c>
      <c r="M451" t="s">
        <v>381</v>
      </c>
      <c r="N451" t="s">
        <v>266</v>
      </c>
      <c r="O451">
        <v>3</v>
      </c>
      <c r="P451" t="s">
        <v>2447</v>
      </c>
      <c r="Q451" t="s">
        <v>2448</v>
      </c>
      <c r="R451" t="s">
        <v>2449</v>
      </c>
      <c r="S451" t="s">
        <v>2450</v>
      </c>
      <c r="T451" t="s">
        <v>34</v>
      </c>
      <c r="U451" t="s">
        <v>80</v>
      </c>
      <c r="V451">
        <v>42</v>
      </c>
      <c r="W451">
        <v>82</v>
      </c>
      <c r="X451">
        <v>120</v>
      </c>
      <c r="Y451">
        <v>68</v>
      </c>
      <c r="Z451">
        <v>175</v>
      </c>
      <c r="AA451">
        <v>91</v>
      </c>
      <c r="AB451" t="s">
        <v>370</v>
      </c>
      <c r="AC451" t="s">
        <v>237</v>
      </c>
      <c r="AD451" t="s">
        <v>210</v>
      </c>
      <c r="AE451" t="s">
        <v>183</v>
      </c>
      <c r="AF451">
        <v>1</v>
      </c>
    </row>
    <row r="452" spans="1:32">
      <c r="A452">
        <v>144</v>
      </c>
      <c r="B452">
        <v>1005</v>
      </c>
      <c r="C452" t="s">
        <v>1747</v>
      </c>
      <c r="D452" t="s">
        <v>169</v>
      </c>
      <c r="E452" t="s">
        <v>2165</v>
      </c>
      <c r="F452" t="s">
        <v>6</v>
      </c>
      <c r="G452" t="s">
        <v>2453</v>
      </c>
      <c r="H452" t="s">
        <v>173</v>
      </c>
      <c r="I452" t="s">
        <v>256</v>
      </c>
      <c r="J452" t="s">
        <v>436</v>
      </c>
      <c r="K452" t="s">
        <v>2446</v>
      </c>
      <c r="L452" s="84">
        <v>42171</v>
      </c>
      <c r="M452" t="s">
        <v>381</v>
      </c>
      <c r="N452" t="s">
        <v>266</v>
      </c>
      <c r="O452">
        <v>3</v>
      </c>
      <c r="P452" t="s">
        <v>2447</v>
      </c>
      <c r="Q452" t="s">
        <v>2448</v>
      </c>
      <c r="R452" t="s">
        <v>2449</v>
      </c>
      <c r="S452" t="s">
        <v>2450</v>
      </c>
      <c r="T452" t="s">
        <v>34</v>
      </c>
      <c r="U452" t="s">
        <v>80</v>
      </c>
      <c r="V452">
        <v>42</v>
      </c>
      <c r="W452">
        <v>82</v>
      </c>
      <c r="X452">
        <v>120</v>
      </c>
      <c r="Y452">
        <v>68</v>
      </c>
      <c r="Z452">
        <v>175</v>
      </c>
      <c r="AA452">
        <v>91</v>
      </c>
      <c r="AB452" t="s">
        <v>370</v>
      </c>
      <c r="AC452" t="s">
        <v>237</v>
      </c>
      <c r="AD452" t="s">
        <v>210</v>
      </c>
      <c r="AE452" t="s">
        <v>183</v>
      </c>
      <c r="AF452">
        <v>1</v>
      </c>
    </row>
    <row r="453" spans="1:32">
      <c r="A453">
        <v>144</v>
      </c>
      <c r="B453">
        <v>1005</v>
      </c>
      <c r="C453" t="s">
        <v>1747</v>
      </c>
      <c r="D453" t="s">
        <v>169</v>
      </c>
      <c r="E453" t="s">
        <v>2165</v>
      </c>
      <c r="F453" t="s">
        <v>6</v>
      </c>
      <c r="G453" t="s">
        <v>2453</v>
      </c>
      <c r="H453" t="s">
        <v>173</v>
      </c>
      <c r="I453" t="s">
        <v>256</v>
      </c>
      <c r="J453" t="s">
        <v>436</v>
      </c>
      <c r="K453" t="s">
        <v>2446</v>
      </c>
      <c r="L453" s="84">
        <v>42171</v>
      </c>
      <c r="M453" t="s">
        <v>381</v>
      </c>
      <c r="N453" t="s">
        <v>266</v>
      </c>
      <c r="O453">
        <v>3</v>
      </c>
      <c r="P453" t="s">
        <v>2447</v>
      </c>
      <c r="Q453" t="s">
        <v>2448</v>
      </c>
      <c r="R453" t="s">
        <v>2449</v>
      </c>
      <c r="S453" t="s">
        <v>2450</v>
      </c>
      <c r="T453" t="s">
        <v>34</v>
      </c>
      <c r="U453" t="s">
        <v>80</v>
      </c>
      <c r="V453">
        <v>42</v>
      </c>
      <c r="W453">
        <v>82</v>
      </c>
      <c r="X453">
        <v>120</v>
      </c>
      <c r="Y453">
        <v>68</v>
      </c>
      <c r="Z453">
        <v>175</v>
      </c>
      <c r="AA453">
        <v>91</v>
      </c>
      <c r="AB453" t="s">
        <v>370</v>
      </c>
      <c r="AC453" t="s">
        <v>237</v>
      </c>
      <c r="AD453" t="s">
        <v>210</v>
      </c>
      <c r="AE453" t="s">
        <v>183</v>
      </c>
      <c r="AF453">
        <v>1</v>
      </c>
    </row>
    <row r="454" spans="1:32">
      <c r="A454">
        <v>144</v>
      </c>
      <c r="B454">
        <v>1005</v>
      </c>
      <c r="C454" t="s">
        <v>1747</v>
      </c>
      <c r="D454" t="s">
        <v>169</v>
      </c>
      <c r="E454" t="s">
        <v>2165</v>
      </c>
      <c r="F454" t="s">
        <v>6</v>
      </c>
      <c r="G454" t="s">
        <v>2453</v>
      </c>
      <c r="H454" t="s">
        <v>173</v>
      </c>
      <c r="I454" t="s">
        <v>256</v>
      </c>
      <c r="J454" t="s">
        <v>436</v>
      </c>
      <c r="K454" t="s">
        <v>2446</v>
      </c>
      <c r="L454" s="84">
        <v>42171</v>
      </c>
      <c r="M454" t="s">
        <v>381</v>
      </c>
      <c r="N454" t="s">
        <v>266</v>
      </c>
      <c r="O454">
        <v>3</v>
      </c>
      <c r="P454" t="s">
        <v>2447</v>
      </c>
      <c r="Q454" t="s">
        <v>2448</v>
      </c>
      <c r="R454" t="s">
        <v>2449</v>
      </c>
      <c r="S454" t="s">
        <v>2450</v>
      </c>
      <c r="T454" t="s">
        <v>34</v>
      </c>
      <c r="U454" t="s">
        <v>80</v>
      </c>
      <c r="V454">
        <v>42</v>
      </c>
      <c r="W454">
        <v>82</v>
      </c>
      <c r="X454">
        <v>120</v>
      </c>
      <c r="Y454">
        <v>68</v>
      </c>
      <c r="Z454">
        <v>175</v>
      </c>
      <c r="AA454">
        <v>91</v>
      </c>
      <c r="AB454" t="s">
        <v>370</v>
      </c>
      <c r="AC454" t="s">
        <v>237</v>
      </c>
      <c r="AD454" t="s">
        <v>210</v>
      </c>
      <c r="AE454" t="s">
        <v>183</v>
      </c>
      <c r="AF454">
        <v>1</v>
      </c>
    </row>
    <row r="455" spans="1:32">
      <c r="A455">
        <v>144</v>
      </c>
      <c r="B455">
        <v>1005</v>
      </c>
      <c r="C455" t="s">
        <v>1747</v>
      </c>
      <c r="D455" t="s">
        <v>169</v>
      </c>
      <c r="E455" t="s">
        <v>2165</v>
      </c>
      <c r="F455" t="s">
        <v>6</v>
      </c>
      <c r="G455" t="s">
        <v>2453</v>
      </c>
      <c r="H455" t="s">
        <v>173</v>
      </c>
      <c r="I455" t="s">
        <v>256</v>
      </c>
      <c r="J455" t="s">
        <v>436</v>
      </c>
      <c r="K455" t="s">
        <v>2446</v>
      </c>
      <c r="L455" s="84">
        <v>42171</v>
      </c>
      <c r="M455" t="s">
        <v>381</v>
      </c>
      <c r="N455" t="s">
        <v>266</v>
      </c>
      <c r="O455">
        <v>3</v>
      </c>
      <c r="P455" t="s">
        <v>2447</v>
      </c>
      <c r="Q455" t="s">
        <v>2448</v>
      </c>
      <c r="R455" t="s">
        <v>2449</v>
      </c>
      <c r="S455" t="s">
        <v>2450</v>
      </c>
      <c r="T455" t="s">
        <v>34</v>
      </c>
      <c r="U455" t="s">
        <v>80</v>
      </c>
      <c r="V455">
        <v>42</v>
      </c>
      <c r="W455">
        <v>82</v>
      </c>
      <c r="X455">
        <v>120</v>
      </c>
      <c r="Y455">
        <v>68</v>
      </c>
      <c r="Z455">
        <v>175</v>
      </c>
      <c r="AA455">
        <v>91</v>
      </c>
      <c r="AB455" t="s">
        <v>370</v>
      </c>
      <c r="AC455" t="s">
        <v>237</v>
      </c>
      <c r="AD455" t="s">
        <v>210</v>
      </c>
      <c r="AE455" t="s">
        <v>183</v>
      </c>
      <c r="AF455">
        <v>1</v>
      </c>
    </row>
    <row r="456" spans="1:32">
      <c r="A456">
        <v>144</v>
      </c>
      <c r="B456">
        <v>1005</v>
      </c>
      <c r="C456" t="s">
        <v>1747</v>
      </c>
      <c r="D456" t="s">
        <v>169</v>
      </c>
      <c r="E456" t="s">
        <v>2165</v>
      </c>
      <c r="F456" t="s">
        <v>6</v>
      </c>
      <c r="G456" t="s">
        <v>2453</v>
      </c>
      <c r="H456" t="s">
        <v>173</v>
      </c>
      <c r="I456" t="s">
        <v>256</v>
      </c>
      <c r="J456" t="s">
        <v>436</v>
      </c>
      <c r="K456" t="s">
        <v>2446</v>
      </c>
      <c r="L456" s="84">
        <v>42171</v>
      </c>
      <c r="M456" t="s">
        <v>381</v>
      </c>
      <c r="N456" t="s">
        <v>266</v>
      </c>
      <c r="O456">
        <v>3</v>
      </c>
      <c r="P456" t="s">
        <v>2447</v>
      </c>
      <c r="Q456" t="s">
        <v>2448</v>
      </c>
      <c r="R456" t="s">
        <v>2449</v>
      </c>
      <c r="S456" t="s">
        <v>2450</v>
      </c>
      <c r="T456" t="s">
        <v>34</v>
      </c>
      <c r="U456" t="s">
        <v>80</v>
      </c>
      <c r="V456">
        <v>42</v>
      </c>
      <c r="W456">
        <v>82</v>
      </c>
      <c r="X456">
        <v>120</v>
      </c>
      <c r="Y456">
        <v>68</v>
      </c>
      <c r="Z456">
        <v>175</v>
      </c>
      <c r="AA456">
        <v>91</v>
      </c>
      <c r="AB456" t="s">
        <v>370</v>
      </c>
      <c r="AC456" t="s">
        <v>237</v>
      </c>
      <c r="AD456" t="s">
        <v>210</v>
      </c>
      <c r="AE456" t="s">
        <v>183</v>
      </c>
      <c r="AF456">
        <v>1</v>
      </c>
    </row>
    <row r="457" spans="1:32">
      <c r="A457">
        <v>144</v>
      </c>
      <c r="B457">
        <v>1005</v>
      </c>
      <c r="C457" t="s">
        <v>1747</v>
      </c>
      <c r="D457" t="s">
        <v>169</v>
      </c>
      <c r="E457" t="s">
        <v>2165</v>
      </c>
      <c r="F457" t="s">
        <v>6</v>
      </c>
      <c r="G457" t="s">
        <v>2453</v>
      </c>
      <c r="H457" t="s">
        <v>173</v>
      </c>
      <c r="I457" t="s">
        <v>256</v>
      </c>
      <c r="J457" t="s">
        <v>436</v>
      </c>
      <c r="K457" t="s">
        <v>2446</v>
      </c>
      <c r="L457" s="84">
        <v>42171</v>
      </c>
      <c r="M457" t="s">
        <v>381</v>
      </c>
      <c r="N457" t="s">
        <v>266</v>
      </c>
      <c r="O457">
        <v>3</v>
      </c>
      <c r="P457" t="s">
        <v>2447</v>
      </c>
      <c r="Q457" t="s">
        <v>2448</v>
      </c>
      <c r="R457" t="s">
        <v>2449</v>
      </c>
      <c r="S457" t="s">
        <v>2450</v>
      </c>
      <c r="T457" t="s">
        <v>34</v>
      </c>
      <c r="U457" t="s">
        <v>80</v>
      </c>
      <c r="V457">
        <v>42</v>
      </c>
      <c r="W457">
        <v>82</v>
      </c>
      <c r="X457">
        <v>120</v>
      </c>
      <c r="Y457">
        <v>68</v>
      </c>
      <c r="Z457">
        <v>175</v>
      </c>
      <c r="AA457">
        <v>91</v>
      </c>
      <c r="AB457" t="s">
        <v>370</v>
      </c>
      <c r="AC457" t="s">
        <v>237</v>
      </c>
      <c r="AD457" t="s">
        <v>210</v>
      </c>
      <c r="AE457" t="s">
        <v>183</v>
      </c>
      <c r="AF457">
        <v>1</v>
      </c>
    </row>
    <row r="458" spans="1:32">
      <c r="A458">
        <v>144</v>
      </c>
      <c r="B458">
        <v>1005</v>
      </c>
      <c r="C458" t="s">
        <v>1747</v>
      </c>
      <c r="D458" t="s">
        <v>169</v>
      </c>
      <c r="E458" t="s">
        <v>2165</v>
      </c>
      <c r="F458" t="s">
        <v>6</v>
      </c>
      <c r="G458" t="s">
        <v>2453</v>
      </c>
      <c r="H458" t="s">
        <v>173</v>
      </c>
      <c r="I458" t="s">
        <v>256</v>
      </c>
      <c r="J458" t="s">
        <v>436</v>
      </c>
      <c r="K458" t="s">
        <v>2446</v>
      </c>
      <c r="L458" s="84">
        <v>42171</v>
      </c>
      <c r="M458" t="s">
        <v>381</v>
      </c>
      <c r="N458" t="s">
        <v>266</v>
      </c>
      <c r="O458">
        <v>3</v>
      </c>
      <c r="P458" t="s">
        <v>2447</v>
      </c>
      <c r="Q458" t="s">
        <v>2448</v>
      </c>
      <c r="R458" t="s">
        <v>2449</v>
      </c>
      <c r="S458" t="s">
        <v>2450</v>
      </c>
      <c r="T458" t="s">
        <v>34</v>
      </c>
      <c r="U458" t="s">
        <v>80</v>
      </c>
      <c r="V458">
        <v>42</v>
      </c>
      <c r="W458">
        <v>82</v>
      </c>
      <c r="X458">
        <v>120</v>
      </c>
      <c r="Y458">
        <v>68</v>
      </c>
      <c r="Z458">
        <v>175</v>
      </c>
      <c r="AA458">
        <v>91</v>
      </c>
      <c r="AB458" t="s">
        <v>370</v>
      </c>
      <c r="AC458" t="s">
        <v>237</v>
      </c>
      <c r="AD458" t="s">
        <v>210</v>
      </c>
      <c r="AE458" t="s">
        <v>183</v>
      </c>
      <c r="AF458">
        <v>1</v>
      </c>
    </row>
    <row r="459" spans="1:32">
      <c r="A459">
        <v>144</v>
      </c>
      <c r="B459">
        <v>1005</v>
      </c>
      <c r="C459" t="s">
        <v>1747</v>
      </c>
      <c r="D459" t="s">
        <v>169</v>
      </c>
      <c r="E459" t="s">
        <v>2165</v>
      </c>
      <c r="F459" t="s">
        <v>6</v>
      </c>
      <c r="G459" t="s">
        <v>2453</v>
      </c>
      <c r="H459" t="s">
        <v>173</v>
      </c>
      <c r="I459" t="s">
        <v>256</v>
      </c>
      <c r="J459" t="s">
        <v>436</v>
      </c>
      <c r="K459" t="s">
        <v>2446</v>
      </c>
      <c r="L459" s="84">
        <v>42171</v>
      </c>
      <c r="M459" t="s">
        <v>381</v>
      </c>
      <c r="N459" t="s">
        <v>266</v>
      </c>
      <c r="O459">
        <v>3</v>
      </c>
      <c r="P459" t="s">
        <v>2447</v>
      </c>
      <c r="Q459" t="s">
        <v>2448</v>
      </c>
      <c r="R459" t="s">
        <v>2449</v>
      </c>
      <c r="S459" t="s">
        <v>2450</v>
      </c>
      <c r="T459" t="s">
        <v>34</v>
      </c>
      <c r="U459" t="s">
        <v>80</v>
      </c>
      <c r="V459">
        <v>42</v>
      </c>
      <c r="W459">
        <v>82</v>
      </c>
      <c r="X459">
        <v>120</v>
      </c>
      <c r="Y459">
        <v>68</v>
      </c>
      <c r="Z459">
        <v>175</v>
      </c>
      <c r="AA459">
        <v>91</v>
      </c>
      <c r="AB459" t="s">
        <v>370</v>
      </c>
      <c r="AC459" t="s">
        <v>237</v>
      </c>
      <c r="AD459" t="s">
        <v>210</v>
      </c>
      <c r="AE459" t="s">
        <v>183</v>
      </c>
      <c r="AF459">
        <v>1</v>
      </c>
    </row>
    <row r="460" spans="1:32">
      <c r="A460">
        <v>144</v>
      </c>
      <c r="B460">
        <v>1005</v>
      </c>
      <c r="C460" t="s">
        <v>1747</v>
      </c>
      <c r="D460" t="s">
        <v>169</v>
      </c>
      <c r="E460" t="s">
        <v>2165</v>
      </c>
      <c r="F460" t="s">
        <v>6</v>
      </c>
      <c r="G460" t="s">
        <v>2453</v>
      </c>
      <c r="H460" t="s">
        <v>173</v>
      </c>
      <c r="I460" t="s">
        <v>256</v>
      </c>
      <c r="J460" t="s">
        <v>436</v>
      </c>
      <c r="K460" t="s">
        <v>2446</v>
      </c>
      <c r="L460" s="84">
        <v>42171</v>
      </c>
      <c r="M460" t="s">
        <v>381</v>
      </c>
      <c r="N460" t="s">
        <v>266</v>
      </c>
      <c r="O460">
        <v>3</v>
      </c>
      <c r="P460" t="s">
        <v>2447</v>
      </c>
      <c r="Q460" t="s">
        <v>2448</v>
      </c>
      <c r="R460" t="s">
        <v>2449</v>
      </c>
      <c r="S460" t="s">
        <v>2450</v>
      </c>
      <c r="T460" t="s">
        <v>34</v>
      </c>
      <c r="U460" t="s">
        <v>80</v>
      </c>
      <c r="V460">
        <v>42</v>
      </c>
      <c r="W460">
        <v>82</v>
      </c>
      <c r="X460">
        <v>120</v>
      </c>
      <c r="Y460">
        <v>68</v>
      </c>
      <c r="Z460">
        <v>175</v>
      </c>
      <c r="AA460">
        <v>91</v>
      </c>
      <c r="AB460" t="s">
        <v>370</v>
      </c>
      <c r="AC460" t="s">
        <v>237</v>
      </c>
      <c r="AD460" t="s">
        <v>210</v>
      </c>
      <c r="AE460" t="s">
        <v>183</v>
      </c>
      <c r="AF460">
        <v>1</v>
      </c>
    </row>
    <row r="461" spans="1:32">
      <c r="A461">
        <v>144</v>
      </c>
      <c r="B461">
        <v>1005</v>
      </c>
      <c r="C461" t="s">
        <v>1747</v>
      </c>
      <c r="D461" t="s">
        <v>169</v>
      </c>
      <c r="E461" t="s">
        <v>2165</v>
      </c>
      <c r="F461" t="s">
        <v>6</v>
      </c>
      <c r="G461" t="s">
        <v>2453</v>
      </c>
      <c r="H461" t="s">
        <v>173</v>
      </c>
      <c r="I461" t="s">
        <v>256</v>
      </c>
      <c r="J461" t="s">
        <v>436</v>
      </c>
      <c r="K461" t="s">
        <v>2446</v>
      </c>
      <c r="L461" s="84">
        <v>42171</v>
      </c>
      <c r="M461" t="s">
        <v>381</v>
      </c>
      <c r="N461" t="s">
        <v>266</v>
      </c>
      <c r="O461">
        <v>3</v>
      </c>
      <c r="P461" t="s">
        <v>2447</v>
      </c>
      <c r="Q461" t="s">
        <v>2448</v>
      </c>
      <c r="R461" t="s">
        <v>2449</v>
      </c>
      <c r="S461" t="s">
        <v>2450</v>
      </c>
      <c r="T461" t="s">
        <v>34</v>
      </c>
      <c r="U461" t="s">
        <v>80</v>
      </c>
      <c r="V461">
        <v>42</v>
      </c>
      <c r="W461">
        <v>82</v>
      </c>
      <c r="X461">
        <v>120</v>
      </c>
      <c r="Y461">
        <v>68</v>
      </c>
      <c r="Z461">
        <v>175</v>
      </c>
      <c r="AA461">
        <v>91</v>
      </c>
      <c r="AB461" t="s">
        <v>370</v>
      </c>
      <c r="AC461" t="s">
        <v>237</v>
      </c>
      <c r="AD461" t="s">
        <v>210</v>
      </c>
      <c r="AE461" t="s">
        <v>183</v>
      </c>
      <c r="AF461">
        <v>1</v>
      </c>
    </row>
    <row r="462" spans="1:32">
      <c r="A462">
        <v>144</v>
      </c>
      <c r="B462">
        <v>1005</v>
      </c>
      <c r="C462" t="s">
        <v>1747</v>
      </c>
      <c r="D462" t="s">
        <v>169</v>
      </c>
      <c r="E462" t="s">
        <v>2165</v>
      </c>
      <c r="F462" t="s">
        <v>6</v>
      </c>
      <c r="G462" t="s">
        <v>2453</v>
      </c>
      <c r="H462" t="s">
        <v>173</v>
      </c>
      <c r="I462" t="s">
        <v>256</v>
      </c>
      <c r="J462" t="s">
        <v>436</v>
      </c>
      <c r="K462" t="s">
        <v>2446</v>
      </c>
      <c r="L462" s="84">
        <v>42171</v>
      </c>
      <c r="M462" t="s">
        <v>381</v>
      </c>
      <c r="N462" t="s">
        <v>266</v>
      </c>
      <c r="O462">
        <v>3</v>
      </c>
      <c r="P462" t="s">
        <v>2447</v>
      </c>
      <c r="Q462" t="s">
        <v>2448</v>
      </c>
      <c r="R462" t="s">
        <v>2449</v>
      </c>
      <c r="S462" t="s">
        <v>2450</v>
      </c>
      <c r="T462" t="s">
        <v>34</v>
      </c>
      <c r="U462" t="s">
        <v>80</v>
      </c>
      <c r="V462">
        <v>42</v>
      </c>
      <c r="W462">
        <v>82</v>
      </c>
      <c r="X462">
        <v>120</v>
      </c>
      <c r="Y462">
        <v>68</v>
      </c>
      <c r="Z462">
        <v>175</v>
      </c>
      <c r="AA462">
        <v>91</v>
      </c>
      <c r="AB462" t="s">
        <v>370</v>
      </c>
      <c r="AC462" t="s">
        <v>237</v>
      </c>
      <c r="AD462" t="s">
        <v>210</v>
      </c>
      <c r="AE462" t="s">
        <v>183</v>
      </c>
      <c r="AF462">
        <v>1</v>
      </c>
    </row>
    <row r="463" spans="1:32">
      <c r="A463">
        <v>144</v>
      </c>
      <c r="B463">
        <v>1005</v>
      </c>
      <c r="C463" t="s">
        <v>1747</v>
      </c>
      <c r="D463" t="s">
        <v>169</v>
      </c>
      <c r="E463" t="s">
        <v>2165</v>
      </c>
      <c r="F463" t="s">
        <v>7</v>
      </c>
      <c r="G463" t="s">
        <v>2454</v>
      </c>
      <c r="H463" t="s">
        <v>407</v>
      </c>
      <c r="I463" t="s">
        <v>436</v>
      </c>
      <c r="J463" t="s">
        <v>227</v>
      </c>
      <c r="K463" t="s">
        <v>2446</v>
      </c>
      <c r="L463" s="84">
        <v>42171</v>
      </c>
      <c r="M463" t="s">
        <v>381</v>
      </c>
      <c r="N463" t="s">
        <v>266</v>
      </c>
      <c r="O463">
        <v>3</v>
      </c>
      <c r="P463" t="s">
        <v>2447</v>
      </c>
      <c r="Q463" t="s">
        <v>2448</v>
      </c>
      <c r="R463" t="s">
        <v>2449</v>
      </c>
      <c r="S463" t="s">
        <v>2450</v>
      </c>
      <c r="T463" t="s">
        <v>32</v>
      </c>
      <c r="U463" t="s">
        <v>80</v>
      </c>
      <c r="V463">
        <v>42</v>
      </c>
      <c r="W463">
        <v>82</v>
      </c>
      <c r="X463">
        <v>120</v>
      </c>
      <c r="Y463">
        <v>68</v>
      </c>
      <c r="Z463">
        <v>175</v>
      </c>
      <c r="AA463">
        <v>91</v>
      </c>
      <c r="AB463" t="s">
        <v>370</v>
      </c>
      <c r="AC463" t="s">
        <v>237</v>
      </c>
      <c r="AD463" t="s">
        <v>210</v>
      </c>
      <c r="AE463" t="s">
        <v>183</v>
      </c>
      <c r="AF463">
        <v>1</v>
      </c>
    </row>
    <row r="464" spans="1:32">
      <c r="A464">
        <v>144</v>
      </c>
      <c r="B464">
        <v>1005</v>
      </c>
      <c r="C464" t="s">
        <v>1747</v>
      </c>
      <c r="D464" t="s">
        <v>169</v>
      </c>
      <c r="E464" t="s">
        <v>2165</v>
      </c>
      <c r="F464" t="s">
        <v>7</v>
      </c>
      <c r="G464" t="s">
        <v>2454</v>
      </c>
      <c r="H464" t="s">
        <v>407</v>
      </c>
      <c r="I464" t="s">
        <v>436</v>
      </c>
      <c r="J464" t="s">
        <v>227</v>
      </c>
      <c r="K464" t="s">
        <v>2446</v>
      </c>
      <c r="L464" s="84">
        <v>42171</v>
      </c>
      <c r="M464" t="s">
        <v>381</v>
      </c>
      <c r="N464" t="s">
        <v>266</v>
      </c>
      <c r="O464">
        <v>3</v>
      </c>
      <c r="P464" t="s">
        <v>2447</v>
      </c>
      <c r="Q464" t="s">
        <v>2448</v>
      </c>
      <c r="R464" t="s">
        <v>2449</v>
      </c>
      <c r="S464" t="s">
        <v>2450</v>
      </c>
      <c r="T464" t="s">
        <v>32</v>
      </c>
      <c r="U464" t="s">
        <v>80</v>
      </c>
      <c r="V464">
        <v>42</v>
      </c>
      <c r="W464">
        <v>82</v>
      </c>
      <c r="X464">
        <v>120</v>
      </c>
      <c r="Y464">
        <v>68</v>
      </c>
      <c r="Z464">
        <v>175</v>
      </c>
      <c r="AA464">
        <v>91</v>
      </c>
      <c r="AB464" t="s">
        <v>370</v>
      </c>
      <c r="AC464" t="s">
        <v>237</v>
      </c>
      <c r="AD464" t="s">
        <v>210</v>
      </c>
      <c r="AE464" t="s">
        <v>183</v>
      </c>
      <c r="AF464">
        <v>1</v>
      </c>
    </row>
    <row r="465" spans="1:32">
      <c r="A465">
        <v>144</v>
      </c>
      <c r="B465">
        <v>1005</v>
      </c>
      <c r="C465" t="s">
        <v>1747</v>
      </c>
      <c r="D465" t="s">
        <v>169</v>
      </c>
      <c r="E465" t="s">
        <v>2165</v>
      </c>
      <c r="F465" t="s">
        <v>7</v>
      </c>
      <c r="G465" t="s">
        <v>2454</v>
      </c>
      <c r="H465" t="s">
        <v>407</v>
      </c>
      <c r="I465" t="s">
        <v>436</v>
      </c>
      <c r="J465" t="s">
        <v>227</v>
      </c>
      <c r="K465" t="s">
        <v>2446</v>
      </c>
      <c r="L465" s="84">
        <v>42171</v>
      </c>
      <c r="M465" t="s">
        <v>381</v>
      </c>
      <c r="N465" t="s">
        <v>266</v>
      </c>
      <c r="O465">
        <v>3</v>
      </c>
      <c r="P465" t="s">
        <v>2447</v>
      </c>
      <c r="Q465" t="s">
        <v>2448</v>
      </c>
      <c r="R465" t="s">
        <v>2449</v>
      </c>
      <c r="S465" t="s">
        <v>2450</v>
      </c>
      <c r="T465" t="s">
        <v>32</v>
      </c>
      <c r="U465" t="s">
        <v>80</v>
      </c>
      <c r="V465">
        <v>42</v>
      </c>
      <c r="W465">
        <v>82</v>
      </c>
      <c r="X465">
        <v>120</v>
      </c>
      <c r="Y465">
        <v>68</v>
      </c>
      <c r="Z465">
        <v>175</v>
      </c>
      <c r="AA465">
        <v>91</v>
      </c>
      <c r="AB465" t="s">
        <v>370</v>
      </c>
      <c r="AC465" t="s">
        <v>237</v>
      </c>
      <c r="AD465" t="s">
        <v>210</v>
      </c>
      <c r="AE465" t="s">
        <v>183</v>
      </c>
      <c r="AF465">
        <v>1</v>
      </c>
    </row>
    <row r="466" spans="1:32">
      <c r="A466">
        <v>144</v>
      </c>
      <c r="B466">
        <v>1005</v>
      </c>
      <c r="C466" t="s">
        <v>1747</v>
      </c>
      <c r="D466" t="s">
        <v>169</v>
      </c>
      <c r="E466" t="s">
        <v>2165</v>
      </c>
      <c r="F466" t="s">
        <v>7</v>
      </c>
      <c r="G466" t="s">
        <v>2454</v>
      </c>
      <c r="H466" t="s">
        <v>407</v>
      </c>
      <c r="I466" t="s">
        <v>436</v>
      </c>
      <c r="J466" t="s">
        <v>227</v>
      </c>
      <c r="K466" t="s">
        <v>2446</v>
      </c>
      <c r="L466" s="84">
        <v>42171</v>
      </c>
      <c r="M466" t="s">
        <v>381</v>
      </c>
      <c r="N466" t="s">
        <v>266</v>
      </c>
      <c r="O466">
        <v>3</v>
      </c>
      <c r="P466" t="s">
        <v>2447</v>
      </c>
      <c r="Q466" t="s">
        <v>2448</v>
      </c>
      <c r="R466" t="s">
        <v>2449</v>
      </c>
      <c r="S466" t="s">
        <v>2450</v>
      </c>
      <c r="T466" t="s">
        <v>32</v>
      </c>
      <c r="U466" t="s">
        <v>80</v>
      </c>
      <c r="V466">
        <v>42</v>
      </c>
      <c r="W466">
        <v>82</v>
      </c>
      <c r="X466">
        <v>120</v>
      </c>
      <c r="Y466">
        <v>68</v>
      </c>
      <c r="Z466">
        <v>175</v>
      </c>
      <c r="AA466">
        <v>91</v>
      </c>
      <c r="AB466" t="s">
        <v>370</v>
      </c>
      <c r="AC466" t="s">
        <v>237</v>
      </c>
      <c r="AD466" t="s">
        <v>210</v>
      </c>
      <c r="AE466" t="s">
        <v>183</v>
      </c>
      <c r="AF466">
        <v>1</v>
      </c>
    </row>
    <row r="467" spans="1:32">
      <c r="A467">
        <v>144</v>
      </c>
      <c r="B467">
        <v>1005</v>
      </c>
      <c r="C467" t="s">
        <v>1747</v>
      </c>
      <c r="D467" t="s">
        <v>169</v>
      </c>
      <c r="E467" t="s">
        <v>2165</v>
      </c>
      <c r="F467" t="s">
        <v>7</v>
      </c>
      <c r="G467" t="s">
        <v>2454</v>
      </c>
      <c r="H467" t="s">
        <v>407</v>
      </c>
      <c r="I467" t="s">
        <v>436</v>
      </c>
      <c r="J467" t="s">
        <v>227</v>
      </c>
      <c r="K467" t="s">
        <v>2446</v>
      </c>
      <c r="L467" s="84">
        <v>42171</v>
      </c>
      <c r="M467" t="s">
        <v>381</v>
      </c>
      <c r="N467" t="s">
        <v>266</v>
      </c>
      <c r="O467">
        <v>3</v>
      </c>
      <c r="P467" t="s">
        <v>2447</v>
      </c>
      <c r="Q467" t="s">
        <v>2448</v>
      </c>
      <c r="R467" t="s">
        <v>2449</v>
      </c>
      <c r="S467" t="s">
        <v>2450</v>
      </c>
      <c r="T467" t="s">
        <v>32</v>
      </c>
      <c r="U467" t="s">
        <v>80</v>
      </c>
      <c r="V467">
        <v>42</v>
      </c>
      <c r="W467">
        <v>82</v>
      </c>
      <c r="X467">
        <v>120</v>
      </c>
      <c r="Y467">
        <v>68</v>
      </c>
      <c r="Z467">
        <v>175</v>
      </c>
      <c r="AA467">
        <v>91</v>
      </c>
      <c r="AB467" t="s">
        <v>370</v>
      </c>
      <c r="AC467" t="s">
        <v>237</v>
      </c>
      <c r="AD467" t="s">
        <v>210</v>
      </c>
      <c r="AE467" t="s">
        <v>183</v>
      </c>
      <c r="AF467">
        <v>1</v>
      </c>
    </row>
    <row r="468" spans="1:32">
      <c r="A468">
        <v>144</v>
      </c>
      <c r="B468">
        <v>1005</v>
      </c>
      <c r="C468" t="s">
        <v>1747</v>
      </c>
      <c r="D468" t="s">
        <v>169</v>
      </c>
      <c r="E468" t="s">
        <v>2165</v>
      </c>
      <c r="F468" t="s">
        <v>7</v>
      </c>
      <c r="G468" t="s">
        <v>2454</v>
      </c>
      <c r="H468" t="s">
        <v>407</v>
      </c>
      <c r="I468" t="s">
        <v>436</v>
      </c>
      <c r="J468" t="s">
        <v>227</v>
      </c>
      <c r="K468" t="s">
        <v>2446</v>
      </c>
      <c r="L468" s="84">
        <v>42171</v>
      </c>
      <c r="M468" t="s">
        <v>381</v>
      </c>
      <c r="N468" t="s">
        <v>266</v>
      </c>
      <c r="O468">
        <v>3</v>
      </c>
      <c r="P468" t="s">
        <v>2447</v>
      </c>
      <c r="Q468" t="s">
        <v>2448</v>
      </c>
      <c r="R468" t="s">
        <v>2449</v>
      </c>
      <c r="S468" t="s">
        <v>2450</v>
      </c>
      <c r="T468" t="s">
        <v>32</v>
      </c>
      <c r="U468" t="s">
        <v>80</v>
      </c>
      <c r="V468">
        <v>42</v>
      </c>
      <c r="W468">
        <v>82</v>
      </c>
      <c r="X468">
        <v>120</v>
      </c>
      <c r="Y468">
        <v>68</v>
      </c>
      <c r="Z468">
        <v>175</v>
      </c>
      <c r="AA468">
        <v>91</v>
      </c>
      <c r="AB468" t="s">
        <v>370</v>
      </c>
      <c r="AC468" t="s">
        <v>237</v>
      </c>
      <c r="AD468" t="s">
        <v>210</v>
      </c>
      <c r="AE468" t="s">
        <v>183</v>
      </c>
      <c r="AF468">
        <v>1</v>
      </c>
    </row>
    <row r="469" spans="1:32">
      <c r="A469">
        <v>144</v>
      </c>
      <c r="B469">
        <v>1005</v>
      </c>
      <c r="C469" t="s">
        <v>1747</v>
      </c>
      <c r="D469" t="s">
        <v>169</v>
      </c>
      <c r="E469" t="s">
        <v>2165</v>
      </c>
      <c r="F469" t="s">
        <v>7</v>
      </c>
      <c r="G469" t="s">
        <v>2454</v>
      </c>
      <c r="H469" t="s">
        <v>407</v>
      </c>
      <c r="I469" t="s">
        <v>436</v>
      </c>
      <c r="J469" t="s">
        <v>227</v>
      </c>
      <c r="K469" t="s">
        <v>2446</v>
      </c>
      <c r="L469" s="84">
        <v>42171</v>
      </c>
      <c r="M469" t="s">
        <v>381</v>
      </c>
      <c r="N469" t="s">
        <v>266</v>
      </c>
      <c r="O469">
        <v>3</v>
      </c>
      <c r="P469" t="s">
        <v>2447</v>
      </c>
      <c r="Q469" t="s">
        <v>2448</v>
      </c>
      <c r="R469" t="s">
        <v>2449</v>
      </c>
      <c r="S469" t="s">
        <v>2450</v>
      </c>
      <c r="T469" t="s">
        <v>32</v>
      </c>
      <c r="U469" t="s">
        <v>80</v>
      </c>
      <c r="V469">
        <v>42</v>
      </c>
      <c r="W469">
        <v>82</v>
      </c>
      <c r="X469">
        <v>120</v>
      </c>
      <c r="Y469">
        <v>68</v>
      </c>
      <c r="Z469">
        <v>175</v>
      </c>
      <c r="AA469">
        <v>91</v>
      </c>
      <c r="AB469" t="s">
        <v>370</v>
      </c>
      <c r="AC469" t="s">
        <v>237</v>
      </c>
      <c r="AD469" t="s">
        <v>210</v>
      </c>
      <c r="AE469" t="s">
        <v>183</v>
      </c>
      <c r="AF469">
        <v>1</v>
      </c>
    </row>
    <row r="470" spans="1:32">
      <c r="A470">
        <v>144</v>
      </c>
      <c r="B470">
        <v>1005</v>
      </c>
      <c r="C470" t="s">
        <v>1747</v>
      </c>
      <c r="D470" t="s">
        <v>169</v>
      </c>
      <c r="E470" t="s">
        <v>2165</v>
      </c>
      <c r="F470" t="s">
        <v>7</v>
      </c>
      <c r="G470" t="s">
        <v>2454</v>
      </c>
      <c r="H470" t="s">
        <v>407</v>
      </c>
      <c r="I470" t="s">
        <v>436</v>
      </c>
      <c r="J470" t="s">
        <v>227</v>
      </c>
      <c r="K470" t="s">
        <v>2446</v>
      </c>
      <c r="L470" s="84">
        <v>42171</v>
      </c>
      <c r="M470" t="s">
        <v>381</v>
      </c>
      <c r="N470" t="s">
        <v>266</v>
      </c>
      <c r="O470">
        <v>3</v>
      </c>
      <c r="P470" t="s">
        <v>2447</v>
      </c>
      <c r="Q470" t="s">
        <v>2448</v>
      </c>
      <c r="R470" t="s">
        <v>2449</v>
      </c>
      <c r="S470" t="s">
        <v>2450</v>
      </c>
      <c r="T470" t="s">
        <v>32</v>
      </c>
      <c r="U470" t="s">
        <v>80</v>
      </c>
      <c r="V470">
        <v>42</v>
      </c>
      <c r="W470">
        <v>82</v>
      </c>
      <c r="X470">
        <v>120</v>
      </c>
      <c r="Y470">
        <v>68</v>
      </c>
      <c r="Z470">
        <v>175</v>
      </c>
      <c r="AA470">
        <v>91</v>
      </c>
      <c r="AB470" t="s">
        <v>370</v>
      </c>
      <c r="AC470" t="s">
        <v>237</v>
      </c>
      <c r="AD470" t="s">
        <v>210</v>
      </c>
      <c r="AE470" t="s">
        <v>183</v>
      </c>
      <c r="AF470">
        <v>1</v>
      </c>
    </row>
    <row r="471" spans="1:32">
      <c r="A471">
        <v>144</v>
      </c>
      <c r="B471">
        <v>1005</v>
      </c>
      <c r="C471" t="s">
        <v>1747</v>
      </c>
      <c r="D471" t="s">
        <v>169</v>
      </c>
      <c r="E471" t="s">
        <v>2165</v>
      </c>
      <c r="F471" t="s">
        <v>7</v>
      </c>
      <c r="G471" t="s">
        <v>2454</v>
      </c>
      <c r="H471" t="s">
        <v>407</v>
      </c>
      <c r="I471" t="s">
        <v>436</v>
      </c>
      <c r="J471" t="s">
        <v>227</v>
      </c>
      <c r="K471" t="s">
        <v>2446</v>
      </c>
      <c r="L471" s="84">
        <v>42171</v>
      </c>
      <c r="M471" t="s">
        <v>381</v>
      </c>
      <c r="N471" t="s">
        <v>266</v>
      </c>
      <c r="O471">
        <v>3</v>
      </c>
      <c r="P471" t="s">
        <v>2447</v>
      </c>
      <c r="Q471" t="s">
        <v>2448</v>
      </c>
      <c r="R471" t="s">
        <v>2449</v>
      </c>
      <c r="S471" t="s">
        <v>2450</v>
      </c>
      <c r="T471" t="s">
        <v>32</v>
      </c>
      <c r="U471" t="s">
        <v>80</v>
      </c>
      <c r="V471">
        <v>42</v>
      </c>
      <c r="W471">
        <v>82</v>
      </c>
      <c r="X471">
        <v>120</v>
      </c>
      <c r="Y471">
        <v>68</v>
      </c>
      <c r="Z471">
        <v>175</v>
      </c>
      <c r="AA471">
        <v>91</v>
      </c>
      <c r="AB471" t="s">
        <v>370</v>
      </c>
      <c r="AC471" t="s">
        <v>237</v>
      </c>
      <c r="AD471" t="s">
        <v>210</v>
      </c>
      <c r="AE471" t="s">
        <v>183</v>
      </c>
      <c r="AF471">
        <v>1</v>
      </c>
    </row>
    <row r="472" spans="1:32">
      <c r="A472">
        <v>144</v>
      </c>
      <c r="B472">
        <v>1005</v>
      </c>
      <c r="C472" t="s">
        <v>1747</v>
      </c>
      <c r="D472" t="s">
        <v>169</v>
      </c>
      <c r="E472" t="s">
        <v>2165</v>
      </c>
      <c r="F472" t="s">
        <v>7</v>
      </c>
      <c r="G472" t="s">
        <v>2454</v>
      </c>
      <c r="H472" t="s">
        <v>407</v>
      </c>
      <c r="I472" t="s">
        <v>436</v>
      </c>
      <c r="J472" t="s">
        <v>227</v>
      </c>
      <c r="K472" t="s">
        <v>2446</v>
      </c>
      <c r="L472" s="84">
        <v>42171</v>
      </c>
      <c r="M472" t="s">
        <v>381</v>
      </c>
      <c r="N472" t="s">
        <v>266</v>
      </c>
      <c r="O472">
        <v>3</v>
      </c>
      <c r="P472" t="s">
        <v>2447</v>
      </c>
      <c r="Q472" t="s">
        <v>2448</v>
      </c>
      <c r="R472" t="s">
        <v>2449</v>
      </c>
      <c r="S472" t="s">
        <v>2450</v>
      </c>
      <c r="T472" t="s">
        <v>32</v>
      </c>
      <c r="U472" t="s">
        <v>80</v>
      </c>
      <c r="V472">
        <v>42</v>
      </c>
      <c r="W472">
        <v>82</v>
      </c>
      <c r="X472">
        <v>120</v>
      </c>
      <c r="Y472">
        <v>68</v>
      </c>
      <c r="Z472">
        <v>175</v>
      </c>
      <c r="AA472">
        <v>91</v>
      </c>
      <c r="AB472" t="s">
        <v>370</v>
      </c>
      <c r="AC472" t="s">
        <v>237</v>
      </c>
      <c r="AD472" t="s">
        <v>210</v>
      </c>
      <c r="AE472" t="s">
        <v>183</v>
      </c>
      <c r="AF472">
        <v>1</v>
      </c>
    </row>
    <row r="473" spans="1:32">
      <c r="A473">
        <v>144</v>
      </c>
      <c r="B473">
        <v>1005</v>
      </c>
      <c r="C473" t="s">
        <v>1747</v>
      </c>
      <c r="D473" t="s">
        <v>169</v>
      </c>
      <c r="E473" t="s">
        <v>2165</v>
      </c>
      <c r="F473" t="s">
        <v>7</v>
      </c>
      <c r="G473" t="s">
        <v>2454</v>
      </c>
      <c r="H473" t="s">
        <v>407</v>
      </c>
      <c r="I473" t="s">
        <v>436</v>
      </c>
      <c r="J473" t="s">
        <v>227</v>
      </c>
      <c r="K473" t="s">
        <v>2446</v>
      </c>
      <c r="L473" s="84">
        <v>42171</v>
      </c>
      <c r="M473" t="s">
        <v>381</v>
      </c>
      <c r="N473" t="s">
        <v>266</v>
      </c>
      <c r="O473">
        <v>3</v>
      </c>
      <c r="P473" t="s">
        <v>2447</v>
      </c>
      <c r="Q473" t="s">
        <v>2448</v>
      </c>
      <c r="R473" t="s">
        <v>2449</v>
      </c>
      <c r="S473" t="s">
        <v>2450</v>
      </c>
      <c r="T473" t="s">
        <v>32</v>
      </c>
      <c r="U473" t="s">
        <v>80</v>
      </c>
      <c r="V473">
        <v>42</v>
      </c>
      <c r="W473">
        <v>82</v>
      </c>
      <c r="X473">
        <v>120</v>
      </c>
      <c r="Y473">
        <v>68</v>
      </c>
      <c r="Z473">
        <v>175</v>
      </c>
      <c r="AA473">
        <v>91</v>
      </c>
      <c r="AB473" t="s">
        <v>370</v>
      </c>
      <c r="AC473" t="s">
        <v>237</v>
      </c>
      <c r="AD473" t="s">
        <v>210</v>
      </c>
      <c r="AE473" t="s">
        <v>183</v>
      </c>
      <c r="AF473">
        <v>1</v>
      </c>
    </row>
    <row r="474" spans="1:32">
      <c r="A474">
        <v>144</v>
      </c>
      <c r="B474">
        <v>1005</v>
      </c>
      <c r="C474" t="s">
        <v>1747</v>
      </c>
      <c r="D474" t="s">
        <v>169</v>
      </c>
      <c r="E474" t="s">
        <v>2165</v>
      </c>
      <c r="F474" t="s">
        <v>7</v>
      </c>
      <c r="G474" t="s">
        <v>2454</v>
      </c>
      <c r="H474" t="s">
        <v>407</v>
      </c>
      <c r="I474" t="s">
        <v>436</v>
      </c>
      <c r="J474" t="s">
        <v>227</v>
      </c>
      <c r="K474" t="s">
        <v>2446</v>
      </c>
      <c r="L474" s="84">
        <v>42171</v>
      </c>
      <c r="M474" t="s">
        <v>381</v>
      </c>
      <c r="N474" t="s">
        <v>266</v>
      </c>
      <c r="O474">
        <v>3</v>
      </c>
      <c r="P474" t="s">
        <v>2447</v>
      </c>
      <c r="Q474" t="s">
        <v>2448</v>
      </c>
      <c r="R474" t="s">
        <v>2449</v>
      </c>
      <c r="S474" t="s">
        <v>2450</v>
      </c>
      <c r="T474" t="s">
        <v>32</v>
      </c>
      <c r="U474" t="s">
        <v>80</v>
      </c>
      <c r="V474">
        <v>42</v>
      </c>
      <c r="W474">
        <v>82</v>
      </c>
      <c r="X474">
        <v>120</v>
      </c>
      <c r="Y474">
        <v>68</v>
      </c>
      <c r="Z474">
        <v>175</v>
      </c>
      <c r="AA474">
        <v>91</v>
      </c>
      <c r="AB474" t="s">
        <v>370</v>
      </c>
      <c r="AC474" t="s">
        <v>237</v>
      </c>
      <c r="AD474" t="s">
        <v>210</v>
      </c>
      <c r="AE474" t="s">
        <v>183</v>
      </c>
      <c r="AF474">
        <v>1</v>
      </c>
    </row>
    <row r="475" spans="1:32">
      <c r="A475">
        <v>144</v>
      </c>
      <c r="B475">
        <v>1005</v>
      </c>
      <c r="C475" t="s">
        <v>1747</v>
      </c>
      <c r="D475" t="s">
        <v>169</v>
      </c>
      <c r="E475" t="s">
        <v>2165</v>
      </c>
      <c r="F475" t="s">
        <v>7</v>
      </c>
      <c r="G475" t="s">
        <v>2454</v>
      </c>
      <c r="H475" t="s">
        <v>407</v>
      </c>
      <c r="I475" t="s">
        <v>436</v>
      </c>
      <c r="J475" t="s">
        <v>227</v>
      </c>
      <c r="K475" t="s">
        <v>2446</v>
      </c>
      <c r="L475" s="84">
        <v>42171</v>
      </c>
      <c r="M475" t="s">
        <v>381</v>
      </c>
      <c r="N475" t="s">
        <v>266</v>
      </c>
      <c r="O475">
        <v>3</v>
      </c>
      <c r="P475" t="s">
        <v>2447</v>
      </c>
      <c r="Q475" t="s">
        <v>2448</v>
      </c>
      <c r="R475" t="s">
        <v>2449</v>
      </c>
      <c r="S475" t="s">
        <v>2450</v>
      </c>
      <c r="T475" t="s">
        <v>32</v>
      </c>
      <c r="U475" t="s">
        <v>80</v>
      </c>
      <c r="V475">
        <v>42</v>
      </c>
      <c r="W475">
        <v>82</v>
      </c>
      <c r="X475">
        <v>120</v>
      </c>
      <c r="Y475">
        <v>68</v>
      </c>
      <c r="Z475">
        <v>175</v>
      </c>
      <c r="AA475">
        <v>91</v>
      </c>
      <c r="AB475" t="s">
        <v>370</v>
      </c>
      <c r="AC475" t="s">
        <v>237</v>
      </c>
      <c r="AD475" t="s">
        <v>210</v>
      </c>
      <c r="AE475" t="s">
        <v>183</v>
      </c>
      <c r="AF475">
        <v>1</v>
      </c>
    </row>
    <row r="476" spans="1:32">
      <c r="A476">
        <v>144</v>
      </c>
      <c r="B476">
        <v>1005</v>
      </c>
      <c r="C476" t="s">
        <v>1747</v>
      </c>
      <c r="D476" t="s">
        <v>169</v>
      </c>
      <c r="E476" t="s">
        <v>2165</v>
      </c>
      <c r="F476" t="s">
        <v>7</v>
      </c>
      <c r="G476" t="s">
        <v>2454</v>
      </c>
      <c r="H476" t="s">
        <v>407</v>
      </c>
      <c r="I476" t="s">
        <v>436</v>
      </c>
      <c r="J476" t="s">
        <v>227</v>
      </c>
      <c r="K476" t="s">
        <v>2446</v>
      </c>
      <c r="L476" s="84">
        <v>42171</v>
      </c>
      <c r="M476" t="s">
        <v>381</v>
      </c>
      <c r="N476" t="s">
        <v>266</v>
      </c>
      <c r="O476">
        <v>3</v>
      </c>
      <c r="P476" t="s">
        <v>2447</v>
      </c>
      <c r="Q476" t="s">
        <v>2448</v>
      </c>
      <c r="R476" t="s">
        <v>2449</v>
      </c>
      <c r="S476" t="s">
        <v>2450</v>
      </c>
      <c r="T476" t="s">
        <v>32</v>
      </c>
      <c r="U476" t="s">
        <v>80</v>
      </c>
      <c r="V476">
        <v>42</v>
      </c>
      <c r="W476">
        <v>82</v>
      </c>
      <c r="X476">
        <v>120</v>
      </c>
      <c r="Y476">
        <v>68</v>
      </c>
      <c r="Z476">
        <v>175</v>
      </c>
      <c r="AA476">
        <v>91</v>
      </c>
      <c r="AB476" t="s">
        <v>370</v>
      </c>
      <c r="AC476" t="s">
        <v>237</v>
      </c>
      <c r="AD476" t="s">
        <v>210</v>
      </c>
      <c r="AE476" t="s">
        <v>183</v>
      </c>
      <c r="AF476">
        <v>1</v>
      </c>
    </row>
    <row r="477" spans="1:32">
      <c r="A477">
        <v>144</v>
      </c>
      <c r="B477">
        <v>1005</v>
      </c>
      <c r="C477" t="s">
        <v>1747</v>
      </c>
      <c r="D477" t="s">
        <v>169</v>
      </c>
      <c r="E477" t="s">
        <v>2165</v>
      </c>
      <c r="F477" t="s">
        <v>7</v>
      </c>
      <c r="G477" t="s">
        <v>2454</v>
      </c>
      <c r="H477" t="s">
        <v>407</v>
      </c>
      <c r="I477" t="s">
        <v>436</v>
      </c>
      <c r="J477" t="s">
        <v>227</v>
      </c>
      <c r="K477" t="s">
        <v>2446</v>
      </c>
      <c r="L477" s="84">
        <v>42171</v>
      </c>
      <c r="M477" t="s">
        <v>381</v>
      </c>
      <c r="N477" t="s">
        <v>266</v>
      </c>
      <c r="O477">
        <v>3</v>
      </c>
      <c r="P477" t="s">
        <v>2447</v>
      </c>
      <c r="Q477" t="s">
        <v>2448</v>
      </c>
      <c r="R477" t="s">
        <v>2449</v>
      </c>
      <c r="S477" t="s">
        <v>2450</v>
      </c>
      <c r="T477" t="s">
        <v>32</v>
      </c>
      <c r="U477" t="s">
        <v>80</v>
      </c>
      <c r="V477">
        <v>42</v>
      </c>
      <c r="W477">
        <v>82</v>
      </c>
      <c r="X477">
        <v>120</v>
      </c>
      <c r="Y477">
        <v>68</v>
      </c>
      <c r="Z477">
        <v>175</v>
      </c>
      <c r="AA477">
        <v>91</v>
      </c>
      <c r="AB477" t="s">
        <v>370</v>
      </c>
      <c r="AC477" t="s">
        <v>237</v>
      </c>
      <c r="AD477" t="s">
        <v>210</v>
      </c>
      <c r="AE477" t="s">
        <v>183</v>
      </c>
      <c r="AF477">
        <v>1</v>
      </c>
    </row>
    <row r="478" spans="1:32">
      <c r="A478">
        <v>144</v>
      </c>
      <c r="B478">
        <v>1005</v>
      </c>
      <c r="C478" t="s">
        <v>1747</v>
      </c>
      <c r="D478" t="s">
        <v>169</v>
      </c>
      <c r="E478" t="s">
        <v>2165</v>
      </c>
      <c r="F478" t="s">
        <v>7</v>
      </c>
      <c r="G478" t="s">
        <v>2454</v>
      </c>
      <c r="H478" t="s">
        <v>407</v>
      </c>
      <c r="I478" t="s">
        <v>436</v>
      </c>
      <c r="J478" t="s">
        <v>227</v>
      </c>
      <c r="K478" t="s">
        <v>2446</v>
      </c>
      <c r="L478" s="84">
        <v>42171</v>
      </c>
      <c r="M478" t="s">
        <v>381</v>
      </c>
      <c r="N478" t="s">
        <v>266</v>
      </c>
      <c r="O478">
        <v>3</v>
      </c>
      <c r="P478" t="s">
        <v>2447</v>
      </c>
      <c r="Q478" t="s">
        <v>2448</v>
      </c>
      <c r="R478" t="s">
        <v>2449</v>
      </c>
      <c r="S478" t="s">
        <v>2450</v>
      </c>
      <c r="T478" t="s">
        <v>32</v>
      </c>
      <c r="U478" t="s">
        <v>80</v>
      </c>
      <c r="V478">
        <v>42</v>
      </c>
      <c r="W478">
        <v>82</v>
      </c>
      <c r="X478">
        <v>120</v>
      </c>
      <c r="Y478">
        <v>68</v>
      </c>
      <c r="Z478">
        <v>175</v>
      </c>
      <c r="AA478">
        <v>91</v>
      </c>
      <c r="AB478" t="s">
        <v>370</v>
      </c>
      <c r="AC478" t="s">
        <v>237</v>
      </c>
      <c r="AD478" t="s">
        <v>210</v>
      </c>
      <c r="AE478" t="s">
        <v>183</v>
      </c>
      <c r="AF478">
        <v>1</v>
      </c>
    </row>
    <row r="479" spans="1:32">
      <c r="A479">
        <v>144</v>
      </c>
      <c r="B479">
        <v>1005</v>
      </c>
      <c r="C479" t="s">
        <v>1747</v>
      </c>
      <c r="D479" t="s">
        <v>169</v>
      </c>
      <c r="E479" t="s">
        <v>2165</v>
      </c>
      <c r="F479" t="s">
        <v>7</v>
      </c>
      <c r="G479" t="s">
        <v>2454</v>
      </c>
      <c r="H479" t="s">
        <v>407</v>
      </c>
      <c r="I479" t="s">
        <v>436</v>
      </c>
      <c r="J479" t="s">
        <v>227</v>
      </c>
      <c r="K479" t="s">
        <v>2446</v>
      </c>
      <c r="L479" s="84">
        <v>42171</v>
      </c>
      <c r="M479" t="s">
        <v>381</v>
      </c>
      <c r="N479" t="s">
        <v>266</v>
      </c>
      <c r="O479">
        <v>3</v>
      </c>
      <c r="P479" t="s">
        <v>2447</v>
      </c>
      <c r="Q479" t="s">
        <v>2448</v>
      </c>
      <c r="R479" t="s">
        <v>2449</v>
      </c>
      <c r="S479" t="s">
        <v>2450</v>
      </c>
      <c r="T479" t="s">
        <v>32</v>
      </c>
      <c r="U479" t="s">
        <v>80</v>
      </c>
      <c r="V479">
        <v>42</v>
      </c>
      <c r="W479">
        <v>82</v>
      </c>
      <c r="X479">
        <v>120</v>
      </c>
      <c r="Y479">
        <v>68</v>
      </c>
      <c r="Z479">
        <v>175</v>
      </c>
      <c r="AA479">
        <v>91</v>
      </c>
      <c r="AB479" t="s">
        <v>370</v>
      </c>
      <c r="AC479" t="s">
        <v>237</v>
      </c>
      <c r="AD479" t="s">
        <v>210</v>
      </c>
      <c r="AE479" t="s">
        <v>183</v>
      </c>
      <c r="AF479">
        <v>1</v>
      </c>
    </row>
    <row r="480" spans="1:32">
      <c r="A480">
        <v>144</v>
      </c>
      <c r="B480">
        <v>1005</v>
      </c>
      <c r="C480" t="s">
        <v>1747</v>
      </c>
      <c r="D480" t="s">
        <v>169</v>
      </c>
      <c r="E480" t="s">
        <v>2165</v>
      </c>
      <c r="F480" t="s">
        <v>7</v>
      </c>
      <c r="G480" t="s">
        <v>2454</v>
      </c>
      <c r="H480" t="s">
        <v>407</v>
      </c>
      <c r="I480" t="s">
        <v>436</v>
      </c>
      <c r="J480" t="s">
        <v>227</v>
      </c>
      <c r="K480" t="s">
        <v>2446</v>
      </c>
      <c r="L480" s="84">
        <v>42171</v>
      </c>
      <c r="M480" t="s">
        <v>381</v>
      </c>
      <c r="N480" t="s">
        <v>266</v>
      </c>
      <c r="O480">
        <v>3</v>
      </c>
      <c r="P480" t="s">
        <v>2447</v>
      </c>
      <c r="Q480" t="s">
        <v>2448</v>
      </c>
      <c r="R480" t="s">
        <v>2449</v>
      </c>
      <c r="S480" t="s">
        <v>2450</v>
      </c>
      <c r="T480" t="s">
        <v>32</v>
      </c>
      <c r="U480" t="s">
        <v>80</v>
      </c>
      <c r="V480">
        <v>42</v>
      </c>
      <c r="W480">
        <v>82</v>
      </c>
      <c r="X480">
        <v>120</v>
      </c>
      <c r="Y480">
        <v>68</v>
      </c>
      <c r="Z480">
        <v>175</v>
      </c>
      <c r="AA480">
        <v>91</v>
      </c>
      <c r="AB480" t="s">
        <v>370</v>
      </c>
      <c r="AC480" t="s">
        <v>237</v>
      </c>
      <c r="AD480" t="s">
        <v>210</v>
      </c>
      <c r="AE480" t="s">
        <v>183</v>
      </c>
      <c r="AF480">
        <v>1</v>
      </c>
    </row>
    <row r="481" spans="1:32">
      <c r="A481">
        <v>144</v>
      </c>
      <c r="B481">
        <v>1005</v>
      </c>
      <c r="C481" t="s">
        <v>1747</v>
      </c>
      <c r="D481" t="s">
        <v>169</v>
      </c>
      <c r="E481" t="s">
        <v>2165</v>
      </c>
      <c r="F481" t="s">
        <v>7</v>
      </c>
      <c r="G481" t="s">
        <v>2454</v>
      </c>
      <c r="H481" t="s">
        <v>407</v>
      </c>
      <c r="I481" t="s">
        <v>436</v>
      </c>
      <c r="J481" t="s">
        <v>227</v>
      </c>
      <c r="K481" t="s">
        <v>2446</v>
      </c>
      <c r="L481" s="84">
        <v>42171</v>
      </c>
      <c r="M481" t="s">
        <v>381</v>
      </c>
      <c r="N481" t="s">
        <v>266</v>
      </c>
      <c r="O481">
        <v>3</v>
      </c>
      <c r="P481" t="s">
        <v>2447</v>
      </c>
      <c r="Q481" t="s">
        <v>2448</v>
      </c>
      <c r="R481" t="s">
        <v>2449</v>
      </c>
      <c r="S481" t="s">
        <v>2450</v>
      </c>
      <c r="T481" t="s">
        <v>32</v>
      </c>
      <c r="U481" t="s">
        <v>80</v>
      </c>
      <c r="V481">
        <v>42</v>
      </c>
      <c r="W481">
        <v>82</v>
      </c>
      <c r="X481">
        <v>120</v>
      </c>
      <c r="Y481">
        <v>68</v>
      </c>
      <c r="Z481">
        <v>175</v>
      </c>
      <c r="AA481">
        <v>91</v>
      </c>
      <c r="AB481" t="s">
        <v>370</v>
      </c>
      <c r="AC481" t="s">
        <v>237</v>
      </c>
      <c r="AD481" t="s">
        <v>210</v>
      </c>
      <c r="AE481" t="s">
        <v>183</v>
      </c>
      <c r="AF481">
        <v>1</v>
      </c>
    </row>
    <row r="482" spans="1:32">
      <c r="A482">
        <v>144</v>
      </c>
      <c r="B482">
        <v>1005</v>
      </c>
      <c r="C482" t="s">
        <v>1747</v>
      </c>
      <c r="D482" t="s">
        <v>169</v>
      </c>
      <c r="E482" t="s">
        <v>2165</v>
      </c>
      <c r="F482" t="s">
        <v>7</v>
      </c>
      <c r="G482" t="s">
        <v>2454</v>
      </c>
      <c r="H482" t="s">
        <v>407</v>
      </c>
      <c r="I482" t="s">
        <v>436</v>
      </c>
      <c r="J482" t="s">
        <v>227</v>
      </c>
      <c r="K482" t="s">
        <v>2446</v>
      </c>
      <c r="L482" s="84">
        <v>42171</v>
      </c>
      <c r="M482" t="s">
        <v>381</v>
      </c>
      <c r="N482" t="s">
        <v>266</v>
      </c>
      <c r="O482">
        <v>3</v>
      </c>
      <c r="P482" t="s">
        <v>2447</v>
      </c>
      <c r="Q482" t="s">
        <v>2448</v>
      </c>
      <c r="R482" t="s">
        <v>2449</v>
      </c>
      <c r="S482" t="s">
        <v>2450</v>
      </c>
      <c r="T482" t="s">
        <v>32</v>
      </c>
      <c r="U482" t="s">
        <v>80</v>
      </c>
      <c r="V482">
        <v>42</v>
      </c>
      <c r="W482">
        <v>82</v>
      </c>
      <c r="X482">
        <v>120</v>
      </c>
      <c r="Y482">
        <v>68</v>
      </c>
      <c r="Z482">
        <v>175</v>
      </c>
      <c r="AA482">
        <v>91</v>
      </c>
      <c r="AB482" t="s">
        <v>370</v>
      </c>
      <c r="AC482" t="s">
        <v>237</v>
      </c>
      <c r="AD482" t="s">
        <v>210</v>
      </c>
      <c r="AE482" t="s">
        <v>183</v>
      </c>
      <c r="AF482">
        <v>1</v>
      </c>
    </row>
    <row r="483" spans="1:32">
      <c r="A483">
        <v>144</v>
      </c>
      <c r="B483">
        <v>1005</v>
      </c>
      <c r="C483" t="s">
        <v>1747</v>
      </c>
      <c r="D483" t="s">
        <v>169</v>
      </c>
      <c r="E483" t="s">
        <v>2165</v>
      </c>
      <c r="F483" t="s">
        <v>7</v>
      </c>
      <c r="G483" t="s">
        <v>2454</v>
      </c>
      <c r="H483" t="s">
        <v>407</v>
      </c>
      <c r="I483" t="s">
        <v>436</v>
      </c>
      <c r="J483" t="s">
        <v>227</v>
      </c>
      <c r="K483" t="s">
        <v>2446</v>
      </c>
      <c r="L483" s="84">
        <v>42171</v>
      </c>
      <c r="M483" t="s">
        <v>381</v>
      </c>
      <c r="N483" t="s">
        <v>266</v>
      </c>
      <c r="O483">
        <v>3</v>
      </c>
      <c r="P483" t="s">
        <v>2447</v>
      </c>
      <c r="Q483" t="s">
        <v>2448</v>
      </c>
      <c r="R483" t="s">
        <v>2449</v>
      </c>
      <c r="S483" t="s">
        <v>2450</v>
      </c>
      <c r="T483" t="s">
        <v>32</v>
      </c>
      <c r="U483" t="s">
        <v>80</v>
      </c>
      <c r="V483">
        <v>42</v>
      </c>
      <c r="W483">
        <v>82</v>
      </c>
      <c r="X483">
        <v>120</v>
      </c>
      <c r="Y483">
        <v>68</v>
      </c>
      <c r="Z483">
        <v>175</v>
      </c>
      <c r="AA483">
        <v>91</v>
      </c>
      <c r="AB483" t="s">
        <v>370</v>
      </c>
      <c r="AC483" t="s">
        <v>237</v>
      </c>
      <c r="AD483" t="s">
        <v>210</v>
      </c>
      <c r="AE483" t="s">
        <v>183</v>
      </c>
      <c r="AF483">
        <v>1</v>
      </c>
    </row>
    <row r="484" spans="1:32">
      <c r="A484">
        <v>144</v>
      </c>
      <c r="B484">
        <v>1005</v>
      </c>
      <c r="C484" t="s">
        <v>1747</v>
      </c>
      <c r="D484" t="s">
        <v>169</v>
      </c>
      <c r="E484" t="s">
        <v>2165</v>
      </c>
      <c r="F484" t="s">
        <v>7</v>
      </c>
      <c r="G484" t="s">
        <v>2454</v>
      </c>
      <c r="H484" t="s">
        <v>407</v>
      </c>
      <c r="I484" t="s">
        <v>436</v>
      </c>
      <c r="J484" t="s">
        <v>227</v>
      </c>
      <c r="K484" t="s">
        <v>2446</v>
      </c>
      <c r="L484" s="84">
        <v>42171</v>
      </c>
      <c r="M484" t="s">
        <v>381</v>
      </c>
      <c r="N484" t="s">
        <v>266</v>
      </c>
      <c r="O484">
        <v>3</v>
      </c>
      <c r="P484" t="s">
        <v>2447</v>
      </c>
      <c r="Q484" t="s">
        <v>2448</v>
      </c>
      <c r="R484" t="s">
        <v>2449</v>
      </c>
      <c r="S484" t="s">
        <v>2450</v>
      </c>
      <c r="T484" t="s">
        <v>32</v>
      </c>
      <c r="U484" t="s">
        <v>80</v>
      </c>
      <c r="V484">
        <v>42</v>
      </c>
      <c r="W484">
        <v>82</v>
      </c>
      <c r="X484">
        <v>120</v>
      </c>
      <c r="Y484">
        <v>68</v>
      </c>
      <c r="Z484">
        <v>175</v>
      </c>
      <c r="AA484">
        <v>91</v>
      </c>
      <c r="AB484" t="s">
        <v>370</v>
      </c>
      <c r="AC484" t="s">
        <v>237</v>
      </c>
      <c r="AD484" t="s">
        <v>210</v>
      </c>
      <c r="AE484" t="s">
        <v>183</v>
      </c>
      <c r="AF484">
        <v>1</v>
      </c>
    </row>
    <row r="485" spans="1:32">
      <c r="A485">
        <v>144</v>
      </c>
      <c r="B485">
        <v>1005</v>
      </c>
      <c r="C485" t="s">
        <v>1747</v>
      </c>
      <c r="D485" t="s">
        <v>169</v>
      </c>
      <c r="E485" t="s">
        <v>2165</v>
      </c>
      <c r="F485" t="s">
        <v>7</v>
      </c>
      <c r="G485" t="s">
        <v>2454</v>
      </c>
      <c r="H485" t="s">
        <v>407</v>
      </c>
      <c r="I485" t="s">
        <v>436</v>
      </c>
      <c r="J485" t="s">
        <v>227</v>
      </c>
      <c r="K485" t="s">
        <v>2446</v>
      </c>
      <c r="L485" s="84">
        <v>42171</v>
      </c>
      <c r="M485" t="s">
        <v>381</v>
      </c>
      <c r="N485" t="s">
        <v>266</v>
      </c>
      <c r="O485">
        <v>3</v>
      </c>
      <c r="P485" t="s">
        <v>2447</v>
      </c>
      <c r="Q485" t="s">
        <v>2448</v>
      </c>
      <c r="R485" t="s">
        <v>2449</v>
      </c>
      <c r="S485" t="s">
        <v>2450</v>
      </c>
      <c r="T485" t="s">
        <v>32</v>
      </c>
      <c r="U485" t="s">
        <v>80</v>
      </c>
      <c r="V485">
        <v>42</v>
      </c>
      <c r="W485">
        <v>82</v>
      </c>
      <c r="X485">
        <v>120</v>
      </c>
      <c r="Y485">
        <v>68</v>
      </c>
      <c r="Z485">
        <v>175</v>
      </c>
      <c r="AA485">
        <v>91</v>
      </c>
      <c r="AB485" t="s">
        <v>370</v>
      </c>
      <c r="AC485" t="s">
        <v>237</v>
      </c>
      <c r="AD485" t="s">
        <v>210</v>
      </c>
      <c r="AE485" t="s">
        <v>183</v>
      </c>
      <c r="AF485">
        <v>1</v>
      </c>
    </row>
    <row r="486" spans="1:32">
      <c r="A486">
        <v>144</v>
      </c>
      <c r="B486">
        <v>1005</v>
      </c>
      <c r="C486" t="s">
        <v>1747</v>
      </c>
      <c r="D486" t="s">
        <v>169</v>
      </c>
      <c r="E486" t="s">
        <v>2165</v>
      </c>
      <c r="F486" t="s">
        <v>7</v>
      </c>
      <c r="G486" t="s">
        <v>2454</v>
      </c>
      <c r="H486" t="s">
        <v>407</v>
      </c>
      <c r="I486" t="s">
        <v>436</v>
      </c>
      <c r="J486" t="s">
        <v>227</v>
      </c>
      <c r="K486" t="s">
        <v>2446</v>
      </c>
      <c r="L486" s="84">
        <v>42171</v>
      </c>
      <c r="M486" t="s">
        <v>381</v>
      </c>
      <c r="N486" t="s">
        <v>266</v>
      </c>
      <c r="O486">
        <v>3</v>
      </c>
      <c r="P486" t="s">
        <v>2447</v>
      </c>
      <c r="Q486" t="s">
        <v>2448</v>
      </c>
      <c r="R486" t="s">
        <v>2449</v>
      </c>
      <c r="S486" t="s">
        <v>2450</v>
      </c>
      <c r="T486" t="s">
        <v>32</v>
      </c>
      <c r="U486" t="s">
        <v>80</v>
      </c>
      <c r="V486">
        <v>42</v>
      </c>
      <c r="W486">
        <v>82</v>
      </c>
      <c r="X486">
        <v>120</v>
      </c>
      <c r="Y486">
        <v>68</v>
      </c>
      <c r="Z486">
        <v>175</v>
      </c>
      <c r="AA486">
        <v>91</v>
      </c>
      <c r="AB486" t="s">
        <v>370</v>
      </c>
      <c r="AC486" t="s">
        <v>237</v>
      </c>
      <c r="AD486" t="s">
        <v>210</v>
      </c>
      <c r="AE486" t="s">
        <v>183</v>
      </c>
      <c r="AF486">
        <v>1</v>
      </c>
    </row>
    <row r="487" spans="1:32">
      <c r="A487">
        <v>144</v>
      </c>
      <c r="B487">
        <v>1005</v>
      </c>
      <c r="C487" t="s">
        <v>1747</v>
      </c>
      <c r="D487" t="s">
        <v>169</v>
      </c>
      <c r="E487" t="s">
        <v>2165</v>
      </c>
      <c r="F487" t="s">
        <v>7</v>
      </c>
      <c r="G487" t="s">
        <v>2454</v>
      </c>
      <c r="H487" t="s">
        <v>407</v>
      </c>
      <c r="I487" t="s">
        <v>436</v>
      </c>
      <c r="J487" t="s">
        <v>227</v>
      </c>
      <c r="K487" t="s">
        <v>2446</v>
      </c>
      <c r="L487" s="84">
        <v>42171</v>
      </c>
      <c r="M487" t="s">
        <v>381</v>
      </c>
      <c r="N487" t="s">
        <v>266</v>
      </c>
      <c r="O487">
        <v>3</v>
      </c>
      <c r="P487" t="s">
        <v>2447</v>
      </c>
      <c r="Q487" t="s">
        <v>2448</v>
      </c>
      <c r="R487" t="s">
        <v>2449</v>
      </c>
      <c r="S487" t="s">
        <v>2450</v>
      </c>
      <c r="T487" t="s">
        <v>32</v>
      </c>
      <c r="U487" t="s">
        <v>80</v>
      </c>
      <c r="V487">
        <v>42</v>
      </c>
      <c r="W487">
        <v>82</v>
      </c>
      <c r="X487">
        <v>120</v>
      </c>
      <c r="Y487">
        <v>68</v>
      </c>
      <c r="Z487">
        <v>175</v>
      </c>
      <c r="AA487">
        <v>91</v>
      </c>
      <c r="AB487" t="s">
        <v>370</v>
      </c>
      <c r="AC487" t="s">
        <v>237</v>
      </c>
      <c r="AD487" t="s">
        <v>210</v>
      </c>
      <c r="AE487" t="s">
        <v>183</v>
      </c>
      <c r="AF487">
        <v>1</v>
      </c>
    </row>
    <row r="488" spans="1:32">
      <c r="A488">
        <v>144</v>
      </c>
      <c r="B488">
        <v>1005</v>
      </c>
      <c r="C488" t="s">
        <v>1747</v>
      </c>
      <c r="D488" t="s">
        <v>169</v>
      </c>
      <c r="E488" t="s">
        <v>2165</v>
      </c>
      <c r="F488" t="s">
        <v>7</v>
      </c>
      <c r="G488" t="s">
        <v>2454</v>
      </c>
      <c r="H488" t="s">
        <v>407</v>
      </c>
      <c r="I488" t="s">
        <v>436</v>
      </c>
      <c r="J488" t="s">
        <v>227</v>
      </c>
      <c r="K488" t="s">
        <v>2446</v>
      </c>
      <c r="L488" s="84">
        <v>42171</v>
      </c>
      <c r="M488" t="s">
        <v>381</v>
      </c>
      <c r="N488" t="s">
        <v>266</v>
      </c>
      <c r="O488">
        <v>3</v>
      </c>
      <c r="P488" t="s">
        <v>2447</v>
      </c>
      <c r="Q488" t="s">
        <v>2448</v>
      </c>
      <c r="R488" t="s">
        <v>2449</v>
      </c>
      <c r="S488" t="s">
        <v>2450</v>
      </c>
      <c r="T488" t="s">
        <v>32</v>
      </c>
      <c r="U488" t="s">
        <v>80</v>
      </c>
      <c r="V488">
        <v>42</v>
      </c>
      <c r="W488">
        <v>82</v>
      </c>
      <c r="X488">
        <v>120</v>
      </c>
      <c r="Y488">
        <v>68</v>
      </c>
      <c r="Z488">
        <v>175</v>
      </c>
      <c r="AA488">
        <v>91</v>
      </c>
      <c r="AB488" t="s">
        <v>370</v>
      </c>
      <c r="AC488" t="s">
        <v>237</v>
      </c>
      <c r="AD488" t="s">
        <v>210</v>
      </c>
      <c r="AE488" t="s">
        <v>183</v>
      </c>
      <c r="AF488">
        <v>1</v>
      </c>
    </row>
    <row r="489" spans="1:32">
      <c r="A489">
        <v>144</v>
      </c>
      <c r="B489">
        <v>1005</v>
      </c>
      <c r="C489" t="s">
        <v>1747</v>
      </c>
      <c r="D489" t="s">
        <v>169</v>
      </c>
      <c r="E489" t="s">
        <v>2165</v>
      </c>
      <c r="F489" t="s">
        <v>7</v>
      </c>
      <c r="G489" t="s">
        <v>2454</v>
      </c>
      <c r="H489" t="s">
        <v>407</v>
      </c>
      <c r="I489" t="s">
        <v>436</v>
      </c>
      <c r="J489" t="s">
        <v>227</v>
      </c>
      <c r="K489" t="s">
        <v>2446</v>
      </c>
      <c r="L489" s="84">
        <v>42171</v>
      </c>
      <c r="M489" t="s">
        <v>381</v>
      </c>
      <c r="N489" t="s">
        <v>266</v>
      </c>
      <c r="O489">
        <v>3</v>
      </c>
      <c r="P489" t="s">
        <v>2447</v>
      </c>
      <c r="Q489" t="s">
        <v>2448</v>
      </c>
      <c r="R489" t="s">
        <v>2449</v>
      </c>
      <c r="S489" t="s">
        <v>2450</v>
      </c>
      <c r="T489" t="s">
        <v>32</v>
      </c>
      <c r="U489" t="s">
        <v>80</v>
      </c>
      <c r="V489">
        <v>42</v>
      </c>
      <c r="W489">
        <v>82</v>
      </c>
      <c r="X489">
        <v>120</v>
      </c>
      <c r="Y489">
        <v>68</v>
      </c>
      <c r="Z489">
        <v>175</v>
      </c>
      <c r="AA489">
        <v>91</v>
      </c>
      <c r="AB489" t="s">
        <v>370</v>
      </c>
      <c r="AC489" t="s">
        <v>237</v>
      </c>
      <c r="AD489" t="s">
        <v>210</v>
      </c>
      <c r="AE489" t="s">
        <v>183</v>
      </c>
      <c r="AF489">
        <v>1</v>
      </c>
    </row>
    <row r="490" spans="1:32">
      <c r="A490">
        <v>144</v>
      </c>
      <c r="B490">
        <v>1005</v>
      </c>
      <c r="C490" t="s">
        <v>1747</v>
      </c>
      <c r="D490" t="s">
        <v>169</v>
      </c>
      <c r="E490" t="s">
        <v>2165</v>
      </c>
      <c r="F490" t="s">
        <v>7</v>
      </c>
      <c r="G490" t="s">
        <v>2454</v>
      </c>
      <c r="H490" t="s">
        <v>407</v>
      </c>
      <c r="I490" t="s">
        <v>436</v>
      </c>
      <c r="J490" t="s">
        <v>227</v>
      </c>
      <c r="K490" t="s">
        <v>2446</v>
      </c>
      <c r="L490" s="84">
        <v>42171</v>
      </c>
      <c r="M490" t="s">
        <v>381</v>
      </c>
      <c r="N490" t="s">
        <v>266</v>
      </c>
      <c r="O490">
        <v>3</v>
      </c>
      <c r="P490" t="s">
        <v>2447</v>
      </c>
      <c r="Q490" t="s">
        <v>2448</v>
      </c>
      <c r="R490" t="s">
        <v>2449</v>
      </c>
      <c r="S490" t="s">
        <v>2450</v>
      </c>
      <c r="T490" t="s">
        <v>32</v>
      </c>
      <c r="U490" t="s">
        <v>80</v>
      </c>
      <c r="V490">
        <v>42</v>
      </c>
      <c r="W490">
        <v>82</v>
      </c>
      <c r="X490">
        <v>120</v>
      </c>
      <c r="Y490">
        <v>68</v>
      </c>
      <c r="Z490">
        <v>175</v>
      </c>
      <c r="AA490">
        <v>91</v>
      </c>
      <c r="AB490" t="s">
        <v>370</v>
      </c>
      <c r="AC490" t="s">
        <v>237</v>
      </c>
      <c r="AD490" t="s">
        <v>210</v>
      </c>
      <c r="AE490" t="s">
        <v>183</v>
      </c>
      <c r="AF490">
        <v>1</v>
      </c>
    </row>
    <row r="491" spans="1:32">
      <c r="A491">
        <v>144</v>
      </c>
      <c r="B491">
        <v>1005</v>
      </c>
      <c r="C491" t="s">
        <v>1747</v>
      </c>
      <c r="D491" t="s">
        <v>169</v>
      </c>
      <c r="E491" t="s">
        <v>2165</v>
      </c>
      <c r="F491" t="s">
        <v>7</v>
      </c>
      <c r="G491" t="s">
        <v>2454</v>
      </c>
      <c r="H491" t="s">
        <v>407</v>
      </c>
      <c r="I491" t="s">
        <v>436</v>
      </c>
      <c r="J491" t="s">
        <v>227</v>
      </c>
      <c r="K491" t="s">
        <v>2446</v>
      </c>
      <c r="L491" s="84">
        <v>42171</v>
      </c>
      <c r="M491" t="s">
        <v>381</v>
      </c>
      <c r="N491" t="s">
        <v>266</v>
      </c>
      <c r="O491">
        <v>3</v>
      </c>
      <c r="P491" t="s">
        <v>2447</v>
      </c>
      <c r="Q491" t="s">
        <v>2448</v>
      </c>
      <c r="R491" t="s">
        <v>2449</v>
      </c>
      <c r="S491" t="s">
        <v>2450</v>
      </c>
      <c r="T491" t="s">
        <v>32</v>
      </c>
      <c r="U491" t="s">
        <v>80</v>
      </c>
      <c r="V491">
        <v>42</v>
      </c>
      <c r="W491">
        <v>82</v>
      </c>
      <c r="X491">
        <v>120</v>
      </c>
      <c r="Y491">
        <v>68</v>
      </c>
      <c r="Z491">
        <v>175</v>
      </c>
      <c r="AA491">
        <v>91</v>
      </c>
      <c r="AB491" t="s">
        <v>370</v>
      </c>
      <c r="AC491" t="s">
        <v>237</v>
      </c>
      <c r="AD491" t="s">
        <v>210</v>
      </c>
      <c r="AE491" t="s">
        <v>183</v>
      </c>
      <c r="AF491">
        <v>1</v>
      </c>
    </row>
    <row r="492" spans="1:32">
      <c r="A492">
        <v>144</v>
      </c>
      <c r="B492">
        <v>1005</v>
      </c>
      <c r="C492" t="s">
        <v>1747</v>
      </c>
      <c r="D492" t="s">
        <v>169</v>
      </c>
      <c r="E492" t="s">
        <v>2165</v>
      </c>
      <c r="F492" t="s">
        <v>7</v>
      </c>
      <c r="G492" t="s">
        <v>2454</v>
      </c>
      <c r="H492" t="s">
        <v>407</v>
      </c>
      <c r="I492" t="s">
        <v>436</v>
      </c>
      <c r="J492" t="s">
        <v>227</v>
      </c>
      <c r="K492" t="s">
        <v>2446</v>
      </c>
      <c r="L492" s="84">
        <v>42171</v>
      </c>
      <c r="M492" t="s">
        <v>381</v>
      </c>
      <c r="N492" t="s">
        <v>266</v>
      </c>
      <c r="O492">
        <v>3</v>
      </c>
      <c r="P492" t="s">
        <v>2447</v>
      </c>
      <c r="Q492" t="s">
        <v>2448</v>
      </c>
      <c r="R492" t="s">
        <v>2449</v>
      </c>
      <c r="S492" t="s">
        <v>2450</v>
      </c>
      <c r="T492" t="s">
        <v>32</v>
      </c>
      <c r="U492" t="s">
        <v>80</v>
      </c>
      <c r="V492">
        <v>42</v>
      </c>
      <c r="W492">
        <v>82</v>
      </c>
      <c r="X492">
        <v>120</v>
      </c>
      <c r="Y492">
        <v>68</v>
      </c>
      <c r="Z492">
        <v>175</v>
      </c>
      <c r="AA492">
        <v>91</v>
      </c>
      <c r="AB492" t="s">
        <v>370</v>
      </c>
      <c r="AC492" t="s">
        <v>237</v>
      </c>
      <c r="AD492" t="s">
        <v>210</v>
      </c>
      <c r="AE492" t="s">
        <v>183</v>
      </c>
      <c r="AF492">
        <v>1</v>
      </c>
    </row>
    <row r="493" spans="1:32">
      <c r="A493">
        <v>144</v>
      </c>
      <c r="B493">
        <v>1005</v>
      </c>
      <c r="C493" t="s">
        <v>1747</v>
      </c>
      <c r="D493" t="s">
        <v>169</v>
      </c>
      <c r="E493" t="s">
        <v>2165</v>
      </c>
      <c r="F493" t="s">
        <v>7</v>
      </c>
      <c r="G493" t="s">
        <v>2454</v>
      </c>
      <c r="H493" t="s">
        <v>407</v>
      </c>
      <c r="I493" t="s">
        <v>436</v>
      </c>
      <c r="J493" t="s">
        <v>227</v>
      </c>
      <c r="K493" t="s">
        <v>2446</v>
      </c>
      <c r="L493" s="84">
        <v>42171</v>
      </c>
      <c r="M493" t="s">
        <v>381</v>
      </c>
      <c r="N493" t="s">
        <v>266</v>
      </c>
      <c r="O493">
        <v>3</v>
      </c>
      <c r="P493" t="s">
        <v>2447</v>
      </c>
      <c r="Q493" t="s">
        <v>2448</v>
      </c>
      <c r="R493" t="s">
        <v>2449</v>
      </c>
      <c r="S493" t="s">
        <v>2450</v>
      </c>
      <c r="T493" t="s">
        <v>32</v>
      </c>
      <c r="U493" t="s">
        <v>80</v>
      </c>
      <c r="V493">
        <v>42</v>
      </c>
      <c r="W493">
        <v>82</v>
      </c>
      <c r="X493">
        <v>120</v>
      </c>
      <c r="Y493">
        <v>68</v>
      </c>
      <c r="Z493">
        <v>175</v>
      </c>
      <c r="AA493">
        <v>91</v>
      </c>
      <c r="AB493" t="s">
        <v>370</v>
      </c>
      <c r="AC493" t="s">
        <v>237</v>
      </c>
      <c r="AD493" t="s">
        <v>210</v>
      </c>
      <c r="AE493" t="s">
        <v>183</v>
      </c>
      <c r="AF493">
        <v>1</v>
      </c>
    </row>
    <row r="494" spans="1:32">
      <c r="A494">
        <v>144</v>
      </c>
      <c r="B494">
        <v>1005</v>
      </c>
      <c r="C494" t="s">
        <v>1747</v>
      </c>
      <c r="D494" t="s">
        <v>169</v>
      </c>
      <c r="E494" t="s">
        <v>2165</v>
      </c>
      <c r="F494" t="s">
        <v>7</v>
      </c>
      <c r="G494" t="s">
        <v>2454</v>
      </c>
      <c r="H494" t="s">
        <v>407</v>
      </c>
      <c r="I494" t="s">
        <v>436</v>
      </c>
      <c r="J494" t="s">
        <v>227</v>
      </c>
      <c r="K494" t="s">
        <v>2446</v>
      </c>
      <c r="L494" s="84">
        <v>42171</v>
      </c>
      <c r="M494" t="s">
        <v>381</v>
      </c>
      <c r="N494" t="s">
        <v>266</v>
      </c>
      <c r="O494">
        <v>3</v>
      </c>
      <c r="P494" t="s">
        <v>2447</v>
      </c>
      <c r="Q494" t="s">
        <v>2448</v>
      </c>
      <c r="R494" t="s">
        <v>2449</v>
      </c>
      <c r="S494" t="s">
        <v>2450</v>
      </c>
      <c r="T494" t="s">
        <v>32</v>
      </c>
      <c r="U494" t="s">
        <v>80</v>
      </c>
      <c r="V494">
        <v>42</v>
      </c>
      <c r="W494">
        <v>82</v>
      </c>
      <c r="X494">
        <v>120</v>
      </c>
      <c r="Y494">
        <v>68</v>
      </c>
      <c r="Z494">
        <v>175</v>
      </c>
      <c r="AA494">
        <v>91</v>
      </c>
      <c r="AB494" t="s">
        <v>370</v>
      </c>
      <c r="AC494" t="s">
        <v>237</v>
      </c>
      <c r="AD494" t="s">
        <v>210</v>
      </c>
      <c r="AE494" t="s">
        <v>183</v>
      </c>
      <c r="AF494">
        <v>1</v>
      </c>
    </row>
    <row r="495" spans="1:32">
      <c r="A495">
        <v>144</v>
      </c>
      <c r="B495">
        <v>1005</v>
      </c>
      <c r="C495" t="s">
        <v>1747</v>
      </c>
      <c r="D495" t="s">
        <v>169</v>
      </c>
      <c r="E495" t="s">
        <v>2165</v>
      </c>
      <c r="F495" t="s">
        <v>8</v>
      </c>
      <c r="G495" t="s">
        <v>2455</v>
      </c>
      <c r="H495" t="s">
        <v>188</v>
      </c>
      <c r="I495" t="s">
        <v>374</v>
      </c>
      <c r="J495" t="s">
        <v>324</v>
      </c>
      <c r="K495" t="s">
        <v>2446</v>
      </c>
      <c r="L495" s="84">
        <v>42171</v>
      </c>
      <c r="M495" t="s">
        <v>381</v>
      </c>
      <c r="N495" t="s">
        <v>266</v>
      </c>
      <c r="O495">
        <v>3</v>
      </c>
      <c r="P495" t="s">
        <v>2447</v>
      </c>
      <c r="Q495" t="s">
        <v>2448</v>
      </c>
      <c r="R495" t="s">
        <v>2449</v>
      </c>
      <c r="S495" t="s">
        <v>2450</v>
      </c>
      <c r="T495" t="s">
        <v>31</v>
      </c>
      <c r="U495" t="s">
        <v>80</v>
      </c>
      <c r="V495">
        <v>42</v>
      </c>
      <c r="W495">
        <v>82</v>
      </c>
      <c r="X495">
        <v>120</v>
      </c>
      <c r="Y495">
        <v>68</v>
      </c>
      <c r="Z495">
        <v>175</v>
      </c>
      <c r="AA495">
        <v>91</v>
      </c>
      <c r="AB495" t="s">
        <v>370</v>
      </c>
      <c r="AC495" t="s">
        <v>237</v>
      </c>
      <c r="AD495" t="s">
        <v>210</v>
      </c>
      <c r="AE495" t="s">
        <v>183</v>
      </c>
      <c r="AF495">
        <v>1</v>
      </c>
    </row>
    <row r="496" spans="1:32">
      <c r="A496">
        <v>144</v>
      </c>
      <c r="B496">
        <v>1005</v>
      </c>
      <c r="C496" t="s">
        <v>1747</v>
      </c>
      <c r="D496" t="s">
        <v>169</v>
      </c>
      <c r="E496" t="s">
        <v>2165</v>
      </c>
      <c r="F496" t="s">
        <v>8</v>
      </c>
      <c r="G496" t="s">
        <v>2455</v>
      </c>
      <c r="H496" t="s">
        <v>188</v>
      </c>
      <c r="I496" t="s">
        <v>374</v>
      </c>
      <c r="J496" t="s">
        <v>324</v>
      </c>
      <c r="K496" t="s">
        <v>2446</v>
      </c>
      <c r="L496" s="84">
        <v>42171</v>
      </c>
      <c r="M496" t="s">
        <v>381</v>
      </c>
      <c r="N496" t="s">
        <v>266</v>
      </c>
      <c r="O496">
        <v>3</v>
      </c>
      <c r="P496" t="s">
        <v>2447</v>
      </c>
      <c r="Q496" t="s">
        <v>2448</v>
      </c>
      <c r="R496" t="s">
        <v>2449</v>
      </c>
      <c r="S496" t="s">
        <v>2450</v>
      </c>
      <c r="T496" t="s">
        <v>31</v>
      </c>
      <c r="U496" t="s">
        <v>80</v>
      </c>
      <c r="V496">
        <v>42</v>
      </c>
      <c r="W496">
        <v>82</v>
      </c>
      <c r="X496">
        <v>120</v>
      </c>
      <c r="Y496">
        <v>68</v>
      </c>
      <c r="Z496">
        <v>175</v>
      </c>
      <c r="AA496">
        <v>91</v>
      </c>
      <c r="AB496" t="s">
        <v>370</v>
      </c>
      <c r="AC496" t="s">
        <v>237</v>
      </c>
      <c r="AD496" t="s">
        <v>210</v>
      </c>
      <c r="AE496" t="s">
        <v>183</v>
      </c>
      <c r="AF496">
        <v>1</v>
      </c>
    </row>
    <row r="497" spans="1:32">
      <c r="A497">
        <v>144</v>
      </c>
      <c r="B497">
        <v>1005</v>
      </c>
      <c r="C497" t="s">
        <v>1747</v>
      </c>
      <c r="D497" t="s">
        <v>169</v>
      </c>
      <c r="E497" t="s">
        <v>2165</v>
      </c>
      <c r="F497" t="s">
        <v>8</v>
      </c>
      <c r="G497" t="s">
        <v>2455</v>
      </c>
      <c r="H497" t="s">
        <v>188</v>
      </c>
      <c r="I497" t="s">
        <v>374</v>
      </c>
      <c r="J497" t="s">
        <v>324</v>
      </c>
      <c r="K497" t="s">
        <v>2446</v>
      </c>
      <c r="L497" s="84">
        <v>42171</v>
      </c>
      <c r="M497" t="s">
        <v>381</v>
      </c>
      <c r="N497" t="s">
        <v>266</v>
      </c>
      <c r="O497">
        <v>3</v>
      </c>
      <c r="P497" t="s">
        <v>2447</v>
      </c>
      <c r="Q497" t="s">
        <v>2448</v>
      </c>
      <c r="R497" t="s">
        <v>2449</v>
      </c>
      <c r="S497" t="s">
        <v>2450</v>
      </c>
      <c r="T497" t="s">
        <v>31</v>
      </c>
      <c r="U497" t="s">
        <v>80</v>
      </c>
      <c r="V497">
        <v>42</v>
      </c>
      <c r="W497">
        <v>82</v>
      </c>
      <c r="X497">
        <v>120</v>
      </c>
      <c r="Y497">
        <v>68</v>
      </c>
      <c r="Z497">
        <v>175</v>
      </c>
      <c r="AA497">
        <v>91</v>
      </c>
      <c r="AB497" t="s">
        <v>370</v>
      </c>
      <c r="AC497" t="s">
        <v>237</v>
      </c>
      <c r="AD497" t="s">
        <v>210</v>
      </c>
      <c r="AE497" t="s">
        <v>183</v>
      </c>
      <c r="AF497">
        <v>1</v>
      </c>
    </row>
    <row r="498" spans="1:32">
      <c r="A498">
        <v>144</v>
      </c>
      <c r="B498">
        <v>1005</v>
      </c>
      <c r="C498" t="s">
        <v>1747</v>
      </c>
      <c r="D498" t="s">
        <v>169</v>
      </c>
      <c r="E498" t="s">
        <v>2165</v>
      </c>
      <c r="F498" t="s">
        <v>8</v>
      </c>
      <c r="G498" t="s">
        <v>2455</v>
      </c>
      <c r="H498" t="s">
        <v>188</v>
      </c>
      <c r="I498" t="s">
        <v>374</v>
      </c>
      <c r="J498" t="s">
        <v>324</v>
      </c>
      <c r="K498" t="s">
        <v>2446</v>
      </c>
      <c r="L498" s="84">
        <v>42171</v>
      </c>
      <c r="M498" t="s">
        <v>381</v>
      </c>
      <c r="N498" t="s">
        <v>266</v>
      </c>
      <c r="O498">
        <v>3</v>
      </c>
      <c r="P498" t="s">
        <v>2447</v>
      </c>
      <c r="Q498" t="s">
        <v>2448</v>
      </c>
      <c r="R498" t="s">
        <v>2449</v>
      </c>
      <c r="S498" t="s">
        <v>2450</v>
      </c>
      <c r="T498" t="s">
        <v>31</v>
      </c>
      <c r="U498" t="s">
        <v>80</v>
      </c>
      <c r="V498">
        <v>42</v>
      </c>
      <c r="W498">
        <v>82</v>
      </c>
      <c r="X498">
        <v>120</v>
      </c>
      <c r="Y498">
        <v>68</v>
      </c>
      <c r="Z498">
        <v>175</v>
      </c>
      <c r="AA498">
        <v>91</v>
      </c>
      <c r="AB498" t="s">
        <v>370</v>
      </c>
      <c r="AC498" t="s">
        <v>237</v>
      </c>
      <c r="AD498" t="s">
        <v>210</v>
      </c>
      <c r="AE498" t="s">
        <v>183</v>
      </c>
      <c r="AF498">
        <v>1</v>
      </c>
    </row>
    <row r="499" spans="1:32">
      <c r="A499">
        <v>144</v>
      </c>
      <c r="B499">
        <v>1005</v>
      </c>
      <c r="C499" t="s">
        <v>1747</v>
      </c>
      <c r="D499" t="s">
        <v>169</v>
      </c>
      <c r="E499" t="s">
        <v>2165</v>
      </c>
      <c r="F499" t="s">
        <v>8</v>
      </c>
      <c r="G499" t="s">
        <v>2455</v>
      </c>
      <c r="H499" t="s">
        <v>188</v>
      </c>
      <c r="I499" t="s">
        <v>374</v>
      </c>
      <c r="J499" t="s">
        <v>324</v>
      </c>
      <c r="K499" t="s">
        <v>2446</v>
      </c>
      <c r="L499" s="84">
        <v>42171</v>
      </c>
      <c r="M499" t="s">
        <v>381</v>
      </c>
      <c r="N499" t="s">
        <v>266</v>
      </c>
      <c r="O499">
        <v>3</v>
      </c>
      <c r="P499" t="s">
        <v>2447</v>
      </c>
      <c r="Q499" t="s">
        <v>2448</v>
      </c>
      <c r="R499" t="s">
        <v>2449</v>
      </c>
      <c r="S499" t="s">
        <v>2450</v>
      </c>
      <c r="T499" t="s">
        <v>31</v>
      </c>
      <c r="U499" t="s">
        <v>80</v>
      </c>
      <c r="V499">
        <v>42</v>
      </c>
      <c r="W499">
        <v>82</v>
      </c>
      <c r="X499">
        <v>120</v>
      </c>
      <c r="Y499">
        <v>68</v>
      </c>
      <c r="Z499">
        <v>175</v>
      </c>
      <c r="AA499">
        <v>91</v>
      </c>
      <c r="AB499" t="s">
        <v>370</v>
      </c>
      <c r="AC499" t="s">
        <v>237</v>
      </c>
      <c r="AD499" t="s">
        <v>210</v>
      </c>
      <c r="AE499" t="s">
        <v>183</v>
      </c>
      <c r="AF499">
        <v>1</v>
      </c>
    </row>
    <row r="500" spans="1:32">
      <c r="A500">
        <v>144</v>
      </c>
      <c r="B500">
        <v>1005</v>
      </c>
      <c r="C500" t="s">
        <v>1747</v>
      </c>
      <c r="D500" t="s">
        <v>169</v>
      </c>
      <c r="E500" t="s">
        <v>2165</v>
      </c>
      <c r="F500" t="s">
        <v>8</v>
      </c>
      <c r="G500" t="s">
        <v>2455</v>
      </c>
      <c r="H500" t="s">
        <v>188</v>
      </c>
      <c r="I500" t="s">
        <v>374</v>
      </c>
      <c r="J500" t="s">
        <v>324</v>
      </c>
      <c r="K500" t="s">
        <v>2446</v>
      </c>
      <c r="L500" s="84">
        <v>42171</v>
      </c>
      <c r="M500" t="s">
        <v>381</v>
      </c>
      <c r="N500" t="s">
        <v>266</v>
      </c>
      <c r="O500">
        <v>3</v>
      </c>
      <c r="P500" t="s">
        <v>2447</v>
      </c>
      <c r="Q500" t="s">
        <v>2448</v>
      </c>
      <c r="R500" t="s">
        <v>2449</v>
      </c>
      <c r="S500" t="s">
        <v>2450</v>
      </c>
      <c r="T500" t="s">
        <v>31</v>
      </c>
      <c r="U500" t="s">
        <v>80</v>
      </c>
      <c r="V500">
        <v>42</v>
      </c>
      <c r="W500">
        <v>82</v>
      </c>
      <c r="X500">
        <v>120</v>
      </c>
      <c r="Y500">
        <v>68</v>
      </c>
      <c r="Z500">
        <v>175</v>
      </c>
      <c r="AA500">
        <v>91</v>
      </c>
      <c r="AB500" t="s">
        <v>370</v>
      </c>
      <c r="AC500" t="s">
        <v>237</v>
      </c>
      <c r="AD500" t="s">
        <v>210</v>
      </c>
      <c r="AE500" t="s">
        <v>183</v>
      </c>
      <c r="AF500">
        <v>1</v>
      </c>
    </row>
    <row r="501" spans="1:32">
      <c r="A501">
        <v>144</v>
      </c>
      <c r="B501">
        <v>1005</v>
      </c>
      <c r="C501" t="s">
        <v>1747</v>
      </c>
      <c r="D501" t="s">
        <v>169</v>
      </c>
      <c r="E501" t="s">
        <v>2165</v>
      </c>
      <c r="F501" t="s">
        <v>8</v>
      </c>
      <c r="G501" t="s">
        <v>2455</v>
      </c>
      <c r="H501" t="s">
        <v>188</v>
      </c>
      <c r="I501" t="s">
        <v>374</v>
      </c>
      <c r="J501" t="s">
        <v>324</v>
      </c>
      <c r="K501" t="s">
        <v>2446</v>
      </c>
      <c r="L501" s="84">
        <v>42171</v>
      </c>
      <c r="M501" t="s">
        <v>381</v>
      </c>
      <c r="N501" t="s">
        <v>266</v>
      </c>
      <c r="O501">
        <v>3</v>
      </c>
      <c r="P501" t="s">
        <v>2447</v>
      </c>
      <c r="Q501" t="s">
        <v>2448</v>
      </c>
      <c r="R501" t="s">
        <v>2449</v>
      </c>
      <c r="S501" t="s">
        <v>2450</v>
      </c>
      <c r="T501" t="s">
        <v>31</v>
      </c>
      <c r="U501" t="s">
        <v>80</v>
      </c>
      <c r="V501">
        <v>42</v>
      </c>
      <c r="W501">
        <v>82</v>
      </c>
      <c r="X501">
        <v>120</v>
      </c>
      <c r="Y501">
        <v>68</v>
      </c>
      <c r="Z501">
        <v>175</v>
      </c>
      <c r="AA501">
        <v>91</v>
      </c>
      <c r="AB501" t="s">
        <v>370</v>
      </c>
      <c r="AC501" t="s">
        <v>237</v>
      </c>
      <c r="AD501" t="s">
        <v>210</v>
      </c>
      <c r="AE501" t="s">
        <v>183</v>
      </c>
      <c r="AF501">
        <v>1</v>
      </c>
    </row>
    <row r="502" spans="1:32">
      <c r="A502">
        <v>144</v>
      </c>
      <c r="B502">
        <v>1005</v>
      </c>
      <c r="C502" t="s">
        <v>1747</v>
      </c>
      <c r="D502" t="s">
        <v>169</v>
      </c>
      <c r="E502" t="s">
        <v>2165</v>
      </c>
      <c r="F502" t="s">
        <v>8</v>
      </c>
      <c r="G502" t="s">
        <v>2455</v>
      </c>
      <c r="H502" t="s">
        <v>188</v>
      </c>
      <c r="I502" t="s">
        <v>374</v>
      </c>
      <c r="J502" t="s">
        <v>324</v>
      </c>
      <c r="K502" t="s">
        <v>2446</v>
      </c>
      <c r="L502" s="84">
        <v>42171</v>
      </c>
      <c r="M502" t="s">
        <v>381</v>
      </c>
      <c r="N502" t="s">
        <v>266</v>
      </c>
      <c r="O502">
        <v>3</v>
      </c>
      <c r="P502" t="s">
        <v>2447</v>
      </c>
      <c r="Q502" t="s">
        <v>2448</v>
      </c>
      <c r="R502" t="s">
        <v>2449</v>
      </c>
      <c r="S502" t="s">
        <v>2450</v>
      </c>
      <c r="T502" t="s">
        <v>31</v>
      </c>
      <c r="U502" t="s">
        <v>80</v>
      </c>
      <c r="V502">
        <v>42</v>
      </c>
      <c r="W502">
        <v>82</v>
      </c>
      <c r="X502">
        <v>120</v>
      </c>
      <c r="Y502">
        <v>68</v>
      </c>
      <c r="Z502">
        <v>175</v>
      </c>
      <c r="AA502">
        <v>91</v>
      </c>
      <c r="AB502" t="s">
        <v>370</v>
      </c>
      <c r="AC502" t="s">
        <v>237</v>
      </c>
      <c r="AD502" t="s">
        <v>210</v>
      </c>
      <c r="AE502" t="s">
        <v>183</v>
      </c>
      <c r="AF502">
        <v>1</v>
      </c>
    </row>
    <row r="503" spans="1:32">
      <c r="A503">
        <v>144</v>
      </c>
      <c r="B503">
        <v>1005</v>
      </c>
      <c r="C503" t="s">
        <v>1747</v>
      </c>
      <c r="D503" t="s">
        <v>169</v>
      </c>
      <c r="E503" t="s">
        <v>2165</v>
      </c>
      <c r="F503" t="s">
        <v>8</v>
      </c>
      <c r="G503" t="s">
        <v>2455</v>
      </c>
      <c r="H503" t="s">
        <v>188</v>
      </c>
      <c r="I503" t="s">
        <v>374</v>
      </c>
      <c r="J503" t="s">
        <v>324</v>
      </c>
      <c r="K503" t="s">
        <v>2446</v>
      </c>
      <c r="L503" s="84">
        <v>42171</v>
      </c>
      <c r="M503" t="s">
        <v>381</v>
      </c>
      <c r="N503" t="s">
        <v>266</v>
      </c>
      <c r="O503">
        <v>3</v>
      </c>
      <c r="P503" t="s">
        <v>2447</v>
      </c>
      <c r="Q503" t="s">
        <v>2448</v>
      </c>
      <c r="R503" t="s">
        <v>2449</v>
      </c>
      <c r="S503" t="s">
        <v>2450</v>
      </c>
      <c r="T503" t="s">
        <v>31</v>
      </c>
      <c r="U503" t="s">
        <v>80</v>
      </c>
      <c r="V503">
        <v>42</v>
      </c>
      <c r="W503">
        <v>82</v>
      </c>
      <c r="X503">
        <v>120</v>
      </c>
      <c r="Y503">
        <v>68</v>
      </c>
      <c r="Z503">
        <v>175</v>
      </c>
      <c r="AA503">
        <v>91</v>
      </c>
      <c r="AB503" t="s">
        <v>370</v>
      </c>
      <c r="AC503" t="s">
        <v>237</v>
      </c>
      <c r="AD503" t="s">
        <v>210</v>
      </c>
      <c r="AE503" t="s">
        <v>183</v>
      </c>
      <c r="AF503">
        <v>1</v>
      </c>
    </row>
    <row r="504" spans="1:32">
      <c r="A504">
        <v>144</v>
      </c>
      <c r="B504">
        <v>1005</v>
      </c>
      <c r="C504" t="s">
        <v>1747</v>
      </c>
      <c r="D504" t="s">
        <v>169</v>
      </c>
      <c r="E504" t="s">
        <v>2165</v>
      </c>
      <c r="F504" t="s">
        <v>8</v>
      </c>
      <c r="G504" t="s">
        <v>2455</v>
      </c>
      <c r="H504" t="s">
        <v>188</v>
      </c>
      <c r="I504" t="s">
        <v>374</v>
      </c>
      <c r="J504" t="s">
        <v>324</v>
      </c>
      <c r="K504" t="s">
        <v>2446</v>
      </c>
      <c r="L504" s="84">
        <v>42171</v>
      </c>
      <c r="M504" t="s">
        <v>381</v>
      </c>
      <c r="N504" t="s">
        <v>266</v>
      </c>
      <c r="O504">
        <v>3</v>
      </c>
      <c r="P504" t="s">
        <v>2447</v>
      </c>
      <c r="Q504" t="s">
        <v>2448</v>
      </c>
      <c r="R504" t="s">
        <v>2449</v>
      </c>
      <c r="S504" t="s">
        <v>2450</v>
      </c>
      <c r="T504" t="s">
        <v>31</v>
      </c>
      <c r="U504" t="s">
        <v>80</v>
      </c>
      <c r="V504">
        <v>42</v>
      </c>
      <c r="W504">
        <v>82</v>
      </c>
      <c r="X504">
        <v>120</v>
      </c>
      <c r="Y504">
        <v>68</v>
      </c>
      <c r="Z504">
        <v>175</v>
      </c>
      <c r="AA504">
        <v>91</v>
      </c>
      <c r="AB504" t="s">
        <v>370</v>
      </c>
      <c r="AC504" t="s">
        <v>237</v>
      </c>
      <c r="AD504" t="s">
        <v>210</v>
      </c>
      <c r="AE504" t="s">
        <v>183</v>
      </c>
      <c r="AF504">
        <v>1</v>
      </c>
    </row>
    <row r="505" spans="1:32">
      <c r="A505">
        <v>144</v>
      </c>
      <c r="B505">
        <v>1005</v>
      </c>
      <c r="C505" t="s">
        <v>1747</v>
      </c>
      <c r="D505" t="s">
        <v>169</v>
      </c>
      <c r="E505" t="s">
        <v>2165</v>
      </c>
      <c r="F505" t="s">
        <v>8</v>
      </c>
      <c r="G505" t="s">
        <v>2455</v>
      </c>
      <c r="H505" t="s">
        <v>188</v>
      </c>
      <c r="I505" t="s">
        <v>374</v>
      </c>
      <c r="J505" t="s">
        <v>324</v>
      </c>
      <c r="K505" t="s">
        <v>2446</v>
      </c>
      <c r="L505" s="84">
        <v>42171</v>
      </c>
      <c r="M505" t="s">
        <v>381</v>
      </c>
      <c r="N505" t="s">
        <v>266</v>
      </c>
      <c r="O505">
        <v>3</v>
      </c>
      <c r="P505" t="s">
        <v>2447</v>
      </c>
      <c r="Q505" t="s">
        <v>2448</v>
      </c>
      <c r="R505" t="s">
        <v>2449</v>
      </c>
      <c r="S505" t="s">
        <v>2450</v>
      </c>
      <c r="T505" t="s">
        <v>31</v>
      </c>
      <c r="U505" t="s">
        <v>80</v>
      </c>
      <c r="V505">
        <v>42</v>
      </c>
      <c r="W505">
        <v>82</v>
      </c>
      <c r="X505">
        <v>120</v>
      </c>
      <c r="Y505">
        <v>68</v>
      </c>
      <c r="Z505">
        <v>175</v>
      </c>
      <c r="AA505">
        <v>91</v>
      </c>
      <c r="AB505" t="s">
        <v>370</v>
      </c>
      <c r="AC505" t="s">
        <v>237</v>
      </c>
      <c r="AD505" t="s">
        <v>210</v>
      </c>
      <c r="AE505" t="s">
        <v>183</v>
      </c>
      <c r="AF505">
        <v>1</v>
      </c>
    </row>
    <row r="506" spans="1:32">
      <c r="A506">
        <v>144</v>
      </c>
      <c r="B506">
        <v>1005</v>
      </c>
      <c r="C506" t="s">
        <v>1747</v>
      </c>
      <c r="D506" t="s">
        <v>169</v>
      </c>
      <c r="E506" t="s">
        <v>2165</v>
      </c>
      <c r="F506" t="s">
        <v>8</v>
      </c>
      <c r="G506" t="s">
        <v>2455</v>
      </c>
      <c r="H506" t="s">
        <v>188</v>
      </c>
      <c r="I506" t="s">
        <v>374</v>
      </c>
      <c r="J506" t="s">
        <v>324</v>
      </c>
      <c r="K506" t="s">
        <v>2446</v>
      </c>
      <c r="L506" s="84">
        <v>42171</v>
      </c>
      <c r="M506" t="s">
        <v>381</v>
      </c>
      <c r="N506" t="s">
        <v>266</v>
      </c>
      <c r="O506">
        <v>3</v>
      </c>
      <c r="P506" t="s">
        <v>2447</v>
      </c>
      <c r="Q506" t="s">
        <v>2448</v>
      </c>
      <c r="R506" t="s">
        <v>2449</v>
      </c>
      <c r="S506" t="s">
        <v>2450</v>
      </c>
      <c r="T506" t="s">
        <v>31</v>
      </c>
      <c r="U506" t="s">
        <v>80</v>
      </c>
      <c r="V506">
        <v>42</v>
      </c>
      <c r="W506">
        <v>82</v>
      </c>
      <c r="X506">
        <v>120</v>
      </c>
      <c r="Y506">
        <v>68</v>
      </c>
      <c r="Z506">
        <v>175</v>
      </c>
      <c r="AA506">
        <v>91</v>
      </c>
      <c r="AB506" t="s">
        <v>370</v>
      </c>
      <c r="AC506" t="s">
        <v>237</v>
      </c>
      <c r="AD506" t="s">
        <v>210</v>
      </c>
      <c r="AE506" t="s">
        <v>183</v>
      </c>
      <c r="AF506">
        <v>1</v>
      </c>
    </row>
    <row r="507" spans="1:32">
      <c r="A507">
        <v>144</v>
      </c>
      <c r="B507">
        <v>1005</v>
      </c>
      <c r="C507" t="s">
        <v>1747</v>
      </c>
      <c r="D507" t="s">
        <v>169</v>
      </c>
      <c r="E507" t="s">
        <v>2165</v>
      </c>
      <c r="F507" t="s">
        <v>8</v>
      </c>
      <c r="G507" t="s">
        <v>2455</v>
      </c>
      <c r="H507" t="s">
        <v>188</v>
      </c>
      <c r="I507" t="s">
        <v>374</v>
      </c>
      <c r="J507" t="s">
        <v>324</v>
      </c>
      <c r="K507" t="s">
        <v>2446</v>
      </c>
      <c r="L507" s="84">
        <v>42171</v>
      </c>
      <c r="M507" t="s">
        <v>381</v>
      </c>
      <c r="N507" t="s">
        <v>266</v>
      </c>
      <c r="O507">
        <v>3</v>
      </c>
      <c r="P507" t="s">
        <v>2447</v>
      </c>
      <c r="Q507" t="s">
        <v>2448</v>
      </c>
      <c r="R507" t="s">
        <v>2449</v>
      </c>
      <c r="S507" t="s">
        <v>2450</v>
      </c>
      <c r="T507" t="s">
        <v>31</v>
      </c>
      <c r="U507" t="s">
        <v>80</v>
      </c>
      <c r="V507">
        <v>42</v>
      </c>
      <c r="W507">
        <v>82</v>
      </c>
      <c r="X507">
        <v>120</v>
      </c>
      <c r="Y507">
        <v>68</v>
      </c>
      <c r="Z507">
        <v>175</v>
      </c>
      <c r="AA507">
        <v>91</v>
      </c>
      <c r="AB507" t="s">
        <v>370</v>
      </c>
      <c r="AC507" t="s">
        <v>237</v>
      </c>
      <c r="AD507" t="s">
        <v>210</v>
      </c>
      <c r="AE507" t="s">
        <v>183</v>
      </c>
      <c r="AF507">
        <v>1</v>
      </c>
    </row>
    <row r="508" spans="1:32">
      <c r="A508">
        <v>144</v>
      </c>
      <c r="B508">
        <v>1005</v>
      </c>
      <c r="C508" t="s">
        <v>1747</v>
      </c>
      <c r="D508" t="s">
        <v>169</v>
      </c>
      <c r="E508" t="s">
        <v>2165</v>
      </c>
      <c r="F508" t="s">
        <v>8</v>
      </c>
      <c r="G508" t="s">
        <v>2455</v>
      </c>
      <c r="H508" t="s">
        <v>188</v>
      </c>
      <c r="I508" t="s">
        <v>374</v>
      </c>
      <c r="J508" t="s">
        <v>324</v>
      </c>
      <c r="K508" t="s">
        <v>2446</v>
      </c>
      <c r="L508" s="84">
        <v>42171</v>
      </c>
      <c r="M508" t="s">
        <v>381</v>
      </c>
      <c r="N508" t="s">
        <v>266</v>
      </c>
      <c r="O508">
        <v>3</v>
      </c>
      <c r="P508" t="s">
        <v>2447</v>
      </c>
      <c r="Q508" t="s">
        <v>2448</v>
      </c>
      <c r="R508" t="s">
        <v>2449</v>
      </c>
      <c r="S508" t="s">
        <v>2450</v>
      </c>
      <c r="T508" t="s">
        <v>31</v>
      </c>
      <c r="U508" t="s">
        <v>80</v>
      </c>
      <c r="V508">
        <v>42</v>
      </c>
      <c r="W508">
        <v>82</v>
      </c>
      <c r="X508">
        <v>120</v>
      </c>
      <c r="Y508">
        <v>68</v>
      </c>
      <c r="Z508">
        <v>175</v>
      </c>
      <c r="AA508">
        <v>91</v>
      </c>
      <c r="AB508" t="s">
        <v>370</v>
      </c>
      <c r="AC508" t="s">
        <v>237</v>
      </c>
      <c r="AD508" t="s">
        <v>210</v>
      </c>
      <c r="AE508" t="s">
        <v>183</v>
      </c>
      <c r="AF508">
        <v>1</v>
      </c>
    </row>
    <row r="509" spans="1:32">
      <c r="A509">
        <v>144</v>
      </c>
      <c r="B509">
        <v>1005</v>
      </c>
      <c r="C509" t="s">
        <v>1747</v>
      </c>
      <c r="D509" t="s">
        <v>169</v>
      </c>
      <c r="E509" t="s">
        <v>2165</v>
      </c>
      <c r="F509" t="s">
        <v>8</v>
      </c>
      <c r="G509" t="s">
        <v>2455</v>
      </c>
      <c r="H509" t="s">
        <v>188</v>
      </c>
      <c r="I509" t="s">
        <v>374</v>
      </c>
      <c r="J509" t="s">
        <v>324</v>
      </c>
      <c r="K509" t="s">
        <v>2446</v>
      </c>
      <c r="L509" s="84">
        <v>42171</v>
      </c>
      <c r="M509" t="s">
        <v>381</v>
      </c>
      <c r="N509" t="s">
        <v>266</v>
      </c>
      <c r="O509">
        <v>3</v>
      </c>
      <c r="P509" t="s">
        <v>2447</v>
      </c>
      <c r="Q509" t="s">
        <v>2448</v>
      </c>
      <c r="R509" t="s">
        <v>2449</v>
      </c>
      <c r="S509" t="s">
        <v>2450</v>
      </c>
      <c r="T509" t="s">
        <v>31</v>
      </c>
      <c r="U509" t="s">
        <v>80</v>
      </c>
      <c r="V509">
        <v>42</v>
      </c>
      <c r="W509">
        <v>82</v>
      </c>
      <c r="X509">
        <v>120</v>
      </c>
      <c r="Y509">
        <v>68</v>
      </c>
      <c r="Z509">
        <v>175</v>
      </c>
      <c r="AA509">
        <v>91</v>
      </c>
      <c r="AB509" t="s">
        <v>370</v>
      </c>
      <c r="AC509" t="s">
        <v>237</v>
      </c>
      <c r="AD509" t="s">
        <v>210</v>
      </c>
      <c r="AE509" t="s">
        <v>183</v>
      </c>
      <c r="AF509">
        <v>1</v>
      </c>
    </row>
    <row r="510" spans="1:32">
      <c r="A510">
        <v>144</v>
      </c>
      <c r="B510">
        <v>1005</v>
      </c>
      <c r="C510" t="s">
        <v>1747</v>
      </c>
      <c r="D510" t="s">
        <v>169</v>
      </c>
      <c r="E510" t="s">
        <v>2165</v>
      </c>
      <c r="F510" t="s">
        <v>8</v>
      </c>
      <c r="G510" t="s">
        <v>2455</v>
      </c>
      <c r="H510" t="s">
        <v>188</v>
      </c>
      <c r="I510" t="s">
        <v>374</v>
      </c>
      <c r="J510" t="s">
        <v>324</v>
      </c>
      <c r="K510" t="s">
        <v>2446</v>
      </c>
      <c r="L510" s="84">
        <v>42171</v>
      </c>
      <c r="M510" t="s">
        <v>381</v>
      </c>
      <c r="N510" t="s">
        <v>266</v>
      </c>
      <c r="O510">
        <v>3</v>
      </c>
      <c r="P510" t="s">
        <v>2447</v>
      </c>
      <c r="Q510" t="s">
        <v>2448</v>
      </c>
      <c r="R510" t="s">
        <v>2449</v>
      </c>
      <c r="S510" t="s">
        <v>2450</v>
      </c>
      <c r="T510" t="s">
        <v>31</v>
      </c>
      <c r="U510" t="s">
        <v>80</v>
      </c>
      <c r="V510">
        <v>42</v>
      </c>
      <c r="W510">
        <v>82</v>
      </c>
      <c r="X510">
        <v>120</v>
      </c>
      <c r="Y510">
        <v>68</v>
      </c>
      <c r="Z510">
        <v>175</v>
      </c>
      <c r="AA510">
        <v>91</v>
      </c>
      <c r="AB510" t="s">
        <v>370</v>
      </c>
      <c r="AC510" t="s">
        <v>237</v>
      </c>
      <c r="AD510" t="s">
        <v>210</v>
      </c>
      <c r="AE510" t="s">
        <v>183</v>
      </c>
      <c r="AF510">
        <v>1</v>
      </c>
    </row>
    <row r="511" spans="1:32">
      <c r="A511">
        <v>144</v>
      </c>
      <c r="B511">
        <v>1005</v>
      </c>
      <c r="C511" t="s">
        <v>1747</v>
      </c>
      <c r="D511" t="s">
        <v>169</v>
      </c>
      <c r="E511" t="s">
        <v>2165</v>
      </c>
      <c r="F511" t="s">
        <v>8</v>
      </c>
      <c r="G511" t="s">
        <v>2455</v>
      </c>
      <c r="H511" t="s">
        <v>188</v>
      </c>
      <c r="I511" t="s">
        <v>374</v>
      </c>
      <c r="J511" t="s">
        <v>324</v>
      </c>
      <c r="K511" t="s">
        <v>2446</v>
      </c>
      <c r="L511" s="84">
        <v>42171</v>
      </c>
      <c r="M511" t="s">
        <v>381</v>
      </c>
      <c r="N511" t="s">
        <v>266</v>
      </c>
      <c r="O511">
        <v>3</v>
      </c>
      <c r="P511" t="s">
        <v>2447</v>
      </c>
      <c r="Q511" t="s">
        <v>2448</v>
      </c>
      <c r="R511" t="s">
        <v>2449</v>
      </c>
      <c r="S511" t="s">
        <v>2450</v>
      </c>
      <c r="T511" t="s">
        <v>31</v>
      </c>
      <c r="U511" t="s">
        <v>80</v>
      </c>
      <c r="V511">
        <v>42</v>
      </c>
      <c r="W511">
        <v>82</v>
      </c>
      <c r="X511">
        <v>120</v>
      </c>
      <c r="Y511">
        <v>68</v>
      </c>
      <c r="Z511">
        <v>175</v>
      </c>
      <c r="AA511">
        <v>91</v>
      </c>
      <c r="AB511" t="s">
        <v>370</v>
      </c>
      <c r="AC511" t="s">
        <v>237</v>
      </c>
      <c r="AD511" t="s">
        <v>210</v>
      </c>
      <c r="AE511" t="s">
        <v>183</v>
      </c>
      <c r="AF511">
        <v>1</v>
      </c>
    </row>
    <row r="512" spans="1:32">
      <c r="A512">
        <v>144</v>
      </c>
      <c r="B512">
        <v>1005</v>
      </c>
      <c r="C512" t="s">
        <v>1747</v>
      </c>
      <c r="D512" t="s">
        <v>169</v>
      </c>
      <c r="E512" t="s">
        <v>2165</v>
      </c>
      <c r="F512" t="s">
        <v>8</v>
      </c>
      <c r="G512" t="s">
        <v>2455</v>
      </c>
      <c r="H512" t="s">
        <v>188</v>
      </c>
      <c r="I512" t="s">
        <v>374</v>
      </c>
      <c r="J512" t="s">
        <v>324</v>
      </c>
      <c r="K512" t="s">
        <v>2446</v>
      </c>
      <c r="L512" s="84">
        <v>42171</v>
      </c>
      <c r="M512" t="s">
        <v>381</v>
      </c>
      <c r="N512" t="s">
        <v>266</v>
      </c>
      <c r="O512">
        <v>3</v>
      </c>
      <c r="P512" t="s">
        <v>2447</v>
      </c>
      <c r="Q512" t="s">
        <v>2448</v>
      </c>
      <c r="R512" t="s">
        <v>2449</v>
      </c>
      <c r="S512" t="s">
        <v>2450</v>
      </c>
      <c r="T512" t="s">
        <v>31</v>
      </c>
      <c r="U512" t="s">
        <v>80</v>
      </c>
      <c r="V512">
        <v>42</v>
      </c>
      <c r="W512">
        <v>82</v>
      </c>
      <c r="X512">
        <v>120</v>
      </c>
      <c r="Y512">
        <v>68</v>
      </c>
      <c r="Z512">
        <v>175</v>
      </c>
      <c r="AA512">
        <v>91</v>
      </c>
      <c r="AB512" t="s">
        <v>370</v>
      </c>
      <c r="AC512" t="s">
        <v>237</v>
      </c>
      <c r="AD512" t="s">
        <v>210</v>
      </c>
      <c r="AE512" t="s">
        <v>183</v>
      </c>
      <c r="AF512">
        <v>1</v>
      </c>
    </row>
    <row r="513" spans="1:32">
      <c r="A513">
        <v>144</v>
      </c>
      <c r="B513">
        <v>1005</v>
      </c>
      <c r="C513" t="s">
        <v>1747</v>
      </c>
      <c r="D513" t="s">
        <v>169</v>
      </c>
      <c r="E513" t="s">
        <v>2165</v>
      </c>
      <c r="F513" t="s">
        <v>8</v>
      </c>
      <c r="G513" t="s">
        <v>2455</v>
      </c>
      <c r="H513" t="s">
        <v>188</v>
      </c>
      <c r="I513" t="s">
        <v>374</v>
      </c>
      <c r="J513" t="s">
        <v>324</v>
      </c>
      <c r="K513" t="s">
        <v>2446</v>
      </c>
      <c r="L513" s="84">
        <v>42171</v>
      </c>
      <c r="M513" t="s">
        <v>381</v>
      </c>
      <c r="N513" t="s">
        <v>266</v>
      </c>
      <c r="O513">
        <v>3</v>
      </c>
      <c r="P513" t="s">
        <v>2447</v>
      </c>
      <c r="Q513" t="s">
        <v>2448</v>
      </c>
      <c r="R513" t="s">
        <v>2449</v>
      </c>
      <c r="S513" t="s">
        <v>2450</v>
      </c>
      <c r="T513" t="s">
        <v>31</v>
      </c>
      <c r="U513" t="s">
        <v>80</v>
      </c>
      <c r="V513">
        <v>42</v>
      </c>
      <c r="W513">
        <v>82</v>
      </c>
      <c r="X513">
        <v>120</v>
      </c>
      <c r="Y513">
        <v>68</v>
      </c>
      <c r="Z513">
        <v>175</v>
      </c>
      <c r="AA513">
        <v>91</v>
      </c>
      <c r="AB513" t="s">
        <v>370</v>
      </c>
      <c r="AC513" t="s">
        <v>237</v>
      </c>
      <c r="AD513" t="s">
        <v>210</v>
      </c>
      <c r="AE513" t="s">
        <v>183</v>
      </c>
      <c r="AF513">
        <v>1</v>
      </c>
    </row>
    <row r="514" spans="1:32">
      <c r="A514">
        <v>144</v>
      </c>
      <c r="B514">
        <v>1005</v>
      </c>
      <c r="C514" t="s">
        <v>1747</v>
      </c>
      <c r="D514" t="s">
        <v>169</v>
      </c>
      <c r="E514" t="s">
        <v>2165</v>
      </c>
      <c r="F514" t="s">
        <v>8</v>
      </c>
      <c r="G514" t="s">
        <v>2455</v>
      </c>
      <c r="H514" t="s">
        <v>188</v>
      </c>
      <c r="I514" t="s">
        <v>374</v>
      </c>
      <c r="J514" t="s">
        <v>324</v>
      </c>
      <c r="K514" t="s">
        <v>2446</v>
      </c>
      <c r="L514" s="84">
        <v>42171</v>
      </c>
      <c r="M514" t="s">
        <v>381</v>
      </c>
      <c r="N514" t="s">
        <v>266</v>
      </c>
      <c r="O514">
        <v>3</v>
      </c>
      <c r="P514" t="s">
        <v>2447</v>
      </c>
      <c r="Q514" t="s">
        <v>2448</v>
      </c>
      <c r="R514" t="s">
        <v>2449</v>
      </c>
      <c r="S514" t="s">
        <v>2450</v>
      </c>
      <c r="T514" t="s">
        <v>31</v>
      </c>
      <c r="U514" t="s">
        <v>80</v>
      </c>
      <c r="V514">
        <v>42</v>
      </c>
      <c r="W514">
        <v>82</v>
      </c>
      <c r="X514">
        <v>120</v>
      </c>
      <c r="Y514">
        <v>68</v>
      </c>
      <c r="Z514">
        <v>175</v>
      </c>
      <c r="AA514">
        <v>91</v>
      </c>
      <c r="AB514" t="s">
        <v>370</v>
      </c>
      <c r="AC514" t="s">
        <v>237</v>
      </c>
      <c r="AD514" t="s">
        <v>210</v>
      </c>
      <c r="AE514" t="s">
        <v>183</v>
      </c>
      <c r="AF514">
        <v>1</v>
      </c>
    </row>
    <row r="515" spans="1:32">
      <c r="A515">
        <v>144</v>
      </c>
      <c r="B515">
        <v>1005</v>
      </c>
      <c r="C515" t="s">
        <v>1747</v>
      </c>
      <c r="D515" t="s">
        <v>169</v>
      </c>
      <c r="E515" t="s">
        <v>2165</v>
      </c>
      <c r="F515" t="s">
        <v>8</v>
      </c>
      <c r="G515" t="s">
        <v>2455</v>
      </c>
      <c r="H515" t="s">
        <v>188</v>
      </c>
      <c r="I515" t="s">
        <v>374</v>
      </c>
      <c r="J515" t="s">
        <v>324</v>
      </c>
      <c r="K515" t="s">
        <v>2446</v>
      </c>
      <c r="L515" s="84">
        <v>42171</v>
      </c>
      <c r="M515" t="s">
        <v>381</v>
      </c>
      <c r="N515" t="s">
        <v>266</v>
      </c>
      <c r="O515">
        <v>3</v>
      </c>
      <c r="P515" t="s">
        <v>2447</v>
      </c>
      <c r="Q515" t="s">
        <v>2448</v>
      </c>
      <c r="R515" t="s">
        <v>2449</v>
      </c>
      <c r="S515" t="s">
        <v>2450</v>
      </c>
      <c r="T515" t="s">
        <v>31</v>
      </c>
      <c r="U515" t="s">
        <v>80</v>
      </c>
      <c r="V515">
        <v>42</v>
      </c>
      <c r="W515">
        <v>82</v>
      </c>
      <c r="X515">
        <v>120</v>
      </c>
      <c r="Y515">
        <v>68</v>
      </c>
      <c r="Z515">
        <v>175</v>
      </c>
      <c r="AA515">
        <v>91</v>
      </c>
      <c r="AB515" t="s">
        <v>370</v>
      </c>
      <c r="AC515" t="s">
        <v>237</v>
      </c>
      <c r="AD515" t="s">
        <v>210</v>
      </c>
      <c r="AE515" t="s">
        <v>183</v>
      </c>
      <c r="AF515">
        <v>1</v>
      </c>
    </row>
    <row r="516" spans="1:32">
      <c r="A516">
        <v>144</v>
      </c>
      <c r="B516">
        <v>1005</v>
      </c>
      <c r="C516" t="s">
        <v>1747</v>
      </c>
      <c r="D516" t="s">
        <v>169</v>
      </c>
      <c r="E516" t="s">
        <v>2165</v>
      </c>
      <c r="F516" t="s">
        <v>8</v>
      </c>
      <c r="G516" t="s">
        <v>2455</v>
      </c>
      <c r="H516" t="s">
        <v>188</v>
      </c>
      <c r="I516" t="s">
        <v>374</v>
      </c>
      <c r="J516" t="s">
        <v>324</v>
      </c>
      <c r="K516" t="s">
        <v>2446</v>
      </c>
      <c r="L516" s="84">
        <v>42171</v>
      </c>
      <c r="M516" t="s">
        <v>381</v>
      </c>
      <c r="N516" t="s">
        <v>266</v>
      </c>
      <c r="O516">
        <v>3</v>
      </c>
      <c r="P516" t="s">
        <v>2447</v>
      </c>
      <c r="Q516" t="s">
        <v>2448</v>
      </c>
      <c r="R516" t="s">
        <v>2449</v>
      </c>
      <c r="S516" t="s">
        <v>2450</v>
      </c>
      <c r="T516" t="s">
        <v>31</v>
      </c>
      <c r="U516" t="s">
        <v>80</v>
      </c>
      <c r="V516">
        <v>42</v>
      </c>
      <c r="W516">
        <v>82</v>
      </c>
      <c r="X516">
        <v>120</v>
      </c>
      <c r="Y516">
        <v>68</v>
      </c>
      <c r="Z516">
        <v>175</v>
      </c>
      <c r="AA516">
        <v>91</v>
      </c>
      <c r="AB516" t="s">
        <v>370</v>
      </c>
      <c r="AC516" t="s">
        <v>237</v>
      </c>
      <c r="AD516" t="s">
        <v>210</v>
      </c>
      <c r="AE516" t="s">
        <v>183</v>
      </c>
      <c r="AF516">
        <v>1</v>
      </c>
    </row>
    <row r="517" spans="1:32">
      <c r="A517">
        <v>144</v>
      </c>
      <c r="B517">
        <v>1005</v>
      </c>
      <c r="C517" t="s">
        <v>1747</v>
      </c>
      <c r="D517" t="s">
        <v>169</v>
      </c>
      <c r="E517" t="s">
        <v>2165</v>
      </c>
      <c r="F517" t="s">
        <v>8</v>
      </c>
      <c r="G517" t="s">
        <v>2455</v>
      </c>
      <c r="H517" t="s">
        <v>188</v>
      </c>
      <c r="I517" t="s">
        <v>374</v>
      </c>
      <c r="J517" t="s">
        <v>324</v>
      </c>
      <c r="K517" t="s">
        <v>2446</v>
      </c>
      <c r="L517" s="84">
        <v>42171</v>
      </c>
      <c r="M517" t="s">
        <v>381</v>
      </c>
      <c r="N517" t="s">
        <v>266</v>
      </c>
      <c r="O517">
        <v>3</v>
      </c>
      <c r="P517" t="s">
        <v>2447</v>
      </c>
      <c r="Q517" t="s">
        <v>2448</v>
      </c>
      <c r="R517" t="s">
        <v>2449</v>
      </c>
      <c r="S517" t="s">
        <v>2450</v>
      </c>
      <c r="T517" t="s">
        <v>31</v>
      </c>
      <c r="U517" t="s">
        <v>80</v>
      </c>
      <c r="V517">
        <v>42</v>
      </c>
      <c r="W517">
        <v>82</v>
      </c>
      <c r="X517">
        <v>120</v>
      </c>
      <c r="Y517">
        <v>68</v>
      </c>
      <c r="Z517">
        <v>175</v>
      </c>
      <c r="AA517">
        <v>91</v>
      </c>
      <c r="AB517" t="s">
        <v>370</v>
      </c>
      <c r="AC517" t="s">
        <v>237</v>
      </c>
      <c r="AD517" t="s">
        <v>210</v>
      </c>
      <c r="AE517" t="s">
        <v>183</v>
      </c>
      <c r="AF517">
        <v>1</v>
      </c>
    </row>
    <row r="518" spans="1:32">
      <c r="A518">
        <v>144</v>
      </c>
      <c r="B518">
        <v>1005</v>
      </c>
      <c r="C518" t="s">
        <v>1747</v>
      </c>
      <c r="D518" t="s">
        <v>169</v>
      </c>
      <c r="E518" t="s">
        <v>2165</v>
      </c>
      <c r="F518" t="s">
        <v>8</v>
      </c>
      <c r="G518" t="s">
        <v>2455</v>
      </c>
      <c r="H518" t="s">
        <v>188</v>
      </c>
      <c r="I518" t="s">
        <v>374</v>
      </c>
      <c r="J518" t="s">
        <v>324</v>
      </c>
      <c r="K518" t="s">
        <v>2446</v>
      </c>
      <c r="L518" s="84">
        <v>42171</v>
      </c>
      <c r="M518" t="s">
        <v>381</v>
      </c>
      <c r="N518" t="s">
        <v>266</v>
      </c>
      <c r="O518">
        <v>3</v>
      </c>
      <c r="P518" t="s">
        <v>2447</v>
      </c>
      <c r="Q518" t="s">
        <v>2448</v>
      </c>
      <c r="R518" t="s">
        <v>2449</v>
      </c>
      <c r="S518" t="s">
        <v>2450</v>
      </c>
      <c r="T518" t="s">
        <v>31</v>
      </c>
      <c r="U518" t="s">
        <v>80</v>
      </c>
      <c r="V518">
        <v>42</v>
      </c>
      <c r="W518">
        <v>82</v>
      </c>
      <c r="X518">
        <v>120</v>
      </c>
      <c r="Y518">
        <v>68</v>
      </c>
      <c r="Z518">
        <v>175</v>
      </c>
      <c r="AA518">
        <v>91</v>
      </c>
      <c r="AB518" t="s">
        <v>370</v>
      </c>
      <c r="AC518" t="s">
        <v>237</v>
      </c>
      <c r="AD518" t="s">
        <v>210</v>
      </c>
      <c r="AE518" t="s">
        <v>183</v>
      </c>
      <c r="AF518">
        <v>1</v>
      </c>
    </row>
    <row r="519" spans="1:32">
      <c r="A519">
        <v>144</v>
      </c>
      <c r="B519">
        <v>1005</v>
      </c>
      <c r="C519" t="s">
        <v>1747</v>
      </c>
      <c r="D519" t="s">
        <v>169</v>
      </c>
      <c r="E519" t="s">
        <v>2165</v>
      </c>
      <c r="F519" t="s">
        <v>8</v>
      </c>
      <c r="G519" t="s">
        <v>2455</v>
      </c>
      <c r="H519" t="s">
        <v>188</v>
      </c>
      <c r="I519" t="s">
        <v>374</v>
      </c>
      <c r="J519" t="s">
        <v>324</v>
      </c>
      <c r="K519" t="s">
        <v>2446</v>
      </c>
      <c r="L519" s="84">
        <v>42171</v>
      </c>
      <c r="M519" t="s">
        <v>381</v>
      </c>
      <c r="N519" t="s">
        <v>266</v>
      </c>
      <c r="O519">
        <v>3</v>
      </c>
      <c r="P519" t="s">
        <v>2447</v>
      </c>
      <c r="Q519" t="s">
        <v>2448</v>
      </c>
      <c r="R519" t="s">
        <v>2449</v>
      </c>
      <c r="S519" t="s">
        <v>2450</v>
      </c>
      <c r="T519" t="s">
        <v>31</v>
      </c>
      <c r="U519" t="s">
        <v>80</v>
      </c>
      <c r="V519">
        <v>42</v>
      </c>
      <c r="W519">
        <v>82</v>
      </c>
      <c r="X519">
        <v>120</v>
      </c>
      <c r="Y519">
        <v>68</v>
      </c>
      <c r="Z519">
        <v>175</v>
      </c>
      <c r="AA519">
        <v>91</v>
      </c>
      <c r="AB519" t="s">
        <v>370</v>
      </c>
      <c r="AC519" t="s">
        <v>237</v>
      </c>
      <c r="AD519" t="s">
        <v>210</v>
      </c>
      <c r="AE519" t="s">
        <v>183</v>
      </c>
      <c r="AF519">
        <v>1</v>
      </c>
    </row>
    <row r="520" spans="1:32">
      <c r="A520">
        <v>144</v>
      </c>
      <c r="B520">
        <v>1005</v>
      </c>
      <c r="C520" t="s">
        <v>1747</v>
      </c>
      <c r="D520" t="s">
        <v>169</v>
      </c>
      <c r="E520" t="s">
        <v>2165</v>
      </c>
      <c r="F520" t="s">
        <v>8</v>
      </c>
      <c r="G520" t="s">
        <v>2455</v>
      </c>
      <c r="H520" t="s">
        <v>188</v>
      </c>
      <c r="I520" t="s">
        <v>374</v>
      </c>
      <c r="J520" t="s">
        <v>324</v>
      </c>
      <c r="K520" t="s">
        <v>2446</v>
      </c>
      <c r="L520" s="84">
        <v>42171</v>
      </c>
      <c r="M520" t="s">
        <v>381</v>
      </c>
      <c r="N520" t="s">
        <v>266</v>
      </c>
      <c r="O520">
        <v>3</v>
      </c>
      <c r="P520" t="s">
        <v>2447</v>
      </c>
      <c r="Q520" t="s">
        <v>2448</v>
      </c>
      <c r="R520" t="s">
        <v>2449</v>
      </c>
      <c r="S520" t="s">
        <v>2450</v>
      </c>
      <c r="T520" t="s">
        <v>31</v>
      </c>
      <c r="U520" t="s">
        <v>80</v>
      </c>
      <c r="V520">
        <v>42</v>
      </c>
      <c r="W520">
        <v>82</v>
      </c>
      <c r="X520">
        <v>120</v>
      </c>
      <c r="Y520">
        <v>68</v>
      </c>
      <c r="Z520">
        <v>175</v>
      </c>
      <c r="AA520">
        <v>91</v>
      </c>
      <c r="AB520" t="s">
        <v>370</v>
      </c>
      <c r="AC520" t="s">
        <v>237</v>
      </c>
      <c r="AD520" t="s">
        <v>210</v>
      </c>
      <c r="AE520" t="s">
        <v>183</v>
      </c>
      <c r="AF520">
        <v>1</v>
      </c>
    </row>
    <row r="521" spans="1:32">
      <c r="A521">
        <v>144</v>
      </c>
      <c r="B521">
        <v>1005</v>
      </c>
      <c r="C521" t="s">
        <v>1747</v>
      </c>
      <c r="D521" t="s">
        <v>169</v>
      </c>
      <c r="E521" t="s">
        <v>2165</v>
      </c>
      <c r="F521" t="s">
        <v>8</v>
      </c>
      <c r="G521" t="s">
        <v>2455</v>
      </c>
      <c r="H521" t="s">
        <v>188</v>
      </c>
      <c r="I521" t="s">
        <v>374</v>
      </c>
      <c r="J521" t="s">
        <v>324</v>
      </c>
      <c r="K521" t="s">
        <v>2446</v>
      </c>
      <c r="L521" s="84">
        <v>42171</v>
      </c>
      <c r="M521" t="s">
        <v>381</v>
      </c>
      <c r="N521" t="s">
        <v>266</v>
      </c>
      <c r="O521">
        <v>3</v>
      </c>
      <c r="P521" t="s">
        <v>2447</v>
      </c>
      <c r="Q521" t="s">
        <v>2448</v>
      </c>
      <c r="R521" t="s">
        <v>2449</v>
      </c>
      <c r="S521" t="s">
        <v>2450</v>
      </c>
      <c r="T521" t="s">
        <v>31</v>
      </c>
      <c r="U521" t="s">
        <v>80</v>
      </c>
      <c r="V521">
        <v>42</v>
      </c>
      <c r="W521">
        <v>82</v>
      </c>
      <c r="X521">
        <v>120</v>
      </c>
      <c r="Y521">
        <v>68</v>
      </c>
      <c r="Z521">
        <v>175</v>
      </c>
      <c r="AA521">
        <v>91</v>
      </c>
      <c r="AB521" t="s">
        <v>370</v>
      </c>
      <c r="AC521" t="s">
        <v>237</v>
      </c>
      <c r="AD521" t="s">
        <v>210</v>
      </c>
      <c r="AE521" t="s">
        <v>183</v>
      </c>
      <c r="AF521">
        <v>1</v>
      </c>
    </row>
    <row r="522" spans="1:32">
      <c r="A522">
        <v>144</v>
      </c>
      <c r="B522">
        <v>1005</v>
      </c>
      <c r="C522" t="s">
        <v>1747</v>
      </c>
      <c r="D522" t="s">
        <v>169</v>
      </c>
      <c r="E522" t="s">
        <v>2165</v>
      </c>
      <c r="F522" t="s">
        <v>8</v>
      </c>
      <c r="G522" t="s">
        <v>2455</v>
      </c>
      <c r="H522" t="s">
        <v>188</v>
      </c>
      <c r="I522" t="s">
        <v>374</v>
      </c>
      <c r="J522" t="s">
        <v>324</v>
      </c>
      <c r="K522" t="s">
        <v>2446</v>
      </c>
      <c r="L522" s="84">
        <v>42171</v>
      </c>
      <c r="M522" t="s">
        <v>381</v>
      </c>
      <c r="N522" t="s">
        <v>266</v>
      </c>
      <c r="O522">
        <v>3</v>
      </c>
      <c r="P522" t="s">
        <v>2447</v>
      </c>
      <c r="Q522" t="s">
        <v>2448</v>
      </c>
      <c r="R522" t="s">
        <v>2449</v>
      </c>
      <c r="S522" t="s">
        <v>2450</v>
      </c>
      <c r="T522" t="s">
        <v>31</v>
      </c>
      <c r="U522" t="s">
        <v>80</v>
      </c>
      <c r="V522">
        <v>42</v>
      </c>
      <c r="W522">
        <v>82</v>
      </c>
      <c r="X522">
        <v>120</v>
      </c>
      <c r="Y522">
        <v>68</v>
      </c>
      <c r="Z522">
        <v>175</v>
      </c>
      <c r="AA522">
        <v>91</v>
      </c>
      <c r="AB522" t="s">
        <v>370</v>
      </c>
      <c r="AC522" t="s">
        <v>237</v>
      </c>
      <c r="AD522" t="s">
        <v>210</v>
      </c>
      <c r="AE522" t="s">
        <v>183</v>
      </c>
      <c r="AF522">
        <v>1</v>
      </c>
    </row>
    <row r="523" spans="1:32">
      <c r="A523">
        <v>144</v>
      </c>
      <c r="B523">
        <v>1005</v>
      </c>
      <c r="C523" t="s">
        <v>1747</v>
      </c>
      <c r="D523" t="s">
        <v>169</v>
      </c>
      <c r="E523" t="s">
        <v>2165</v>
      </c>
      <c r="F523" t="s">
        <v>8</v>
      </c>
      <c r="G523" t="s">
        <v>2455</v>
      </c>
      <c r="H523" t="s">
        <v>188</v>
      </c>
      <c r="I523" t="s">
        <v>374</v>
      </c>
      <c r="J523" t="s">
        <v>324</v>
      </c>
      <c r="K523" t="s">
        <v>2446</v>
      </c>
      <c r="L523" s="84">
        <v>42171</v>
      </c>
      <c r="M523" t="s">
        <v>381</v>
      </c>
      <c r="N523" t="s">
        <v>266</v>
      </c>
      <c r="O523">
        <v>3</v>
      </c>
      <c r="P523" t="s">
        <v>2447</v>
      </c>
      <c r="Q523" t="s">
        <v>2448</v>
      </c>
      <c r="R523" t="s">
        <v>2449</v>
      </c>
      <c r="S523" t="s">
        <v>2450</v>
      </c>
      <c r="T523" t="s">
        <v>31</v>
      </c>
      <c r="U523" t="s">
        <v>80</v>
      </c>
      <c r="V523">
        <v>42</v>
      </c>
      <c r="W523">
        <v>82</v>
      </c>
      <c r="X523">
        <v>120</v>
      </c>
      <c r="Y523">
        <v>68</v>
      </c>
      <c r="Z523">
        <v>175</v>
      </c>
      <c r="AA523">
        <v>91</v>
      </c>
      <c r="AB523" t="s">
        <v>370</v>
      </c>
      <c r="AC523" t="s">
        <v>237</v>
      </c>
      <c r="AD523" t="s">
        <v>210</v>
      </c>
      <c r="AE523" t="s">
        <v>183</v>
      </c>
      <c r="AF523">
        <v>1</v>
      </c>
    </row>
    <row r="524" spans="1:32">
      <c r="A524">
        <v>144</v>
      </c>
      <c r="B524">
        <v>1005</v>
      </c>
      <c r="C524" t="s">
        <v>1747</v>
      </c>
      <c r="D524" t="s">
        <v>169</v>
      </c>
      <c r="E524" t="s">
        <v>2165</v>
      </c>
      <c r="F524" t="s">
        <v>8</v>
      </c>
      <c r="G524" t="s">
        <v>2455</v>
      </c>
      <c r="H524" t="s">
        <v>188</v>
      </c>
      <c r="I524" t="s">
        <v>374</v>
      </c>
      <c r="J524" t="s">
        <v>324</v>
      </c>
      <c r="K524" t="s">
        <v>2446</v>
      </c>
      <c r="L524" s="84">
        <v>42171</v>
      </c>
      <c r="M524" t="s">
        <v>381</v>
      </c>
      <c r="N524" t="s">
        <v>266</v>
      </c>
      <c r="O524">
        <v>3</v>
      </c>
      <c r="P524" t="s">
        <v>2447</v>
      </c>
      <c r="Q524" t="s">
        <v>2448</v>
      </c>
      <c r="R524" t="s">
        <v>2449</v>
      </c>
      <c r="S524" t="s">
        <v>2450</v>
      </c>
      <c r="T524" t="s">
        <v>31</v>
      </c>
      <c r="U524" t="s">
        <v>80</v>
      </c>
      <c r="V524">
        <v>42</v>
      </c>
      <c r="W524">
        <v>82</v>
      </c>
      <c r="X524">
        <v>120</v>
      </c>
      <c r="Y524">
        <v>68</v>
      </c>
      <c r="Z524">
        <v>175</v>
      </c>
      <c r="AA524">
        <v>91</v>
      </c>
      <c r="AB524" t="s">
        <v>370</v>
      </c>
      <c r="AC524" t="s">
        <v>237</v>
      </c>
      <c r="AD524" t="s">
        <v>210</v>
      </c>
      <c r="AE524" t="s">
        <v>183</v>
      </c>
      <c r="AF524">
        <v>1</v>
      </c>
    </row>
    <row r="525" spans="1:32">
      <c r="A525">
        <v>144</v>
      </c>
      <c r="B525">
        <v>1005</v>
      </c>
      <c r="C525" t="s">
        <v>1747</v>
      </c>
      <c r="D525" t="s">
        <v>169</v>
      </c>
      <c r="E525" t="s">
        <v>2165</v>
      </c>
      <c r="F525" t="s">
        <v>8</v>
      </c>
      <c r="G525" t="s">
        <v>2455</v>
      </c>
      <c r="H525" t="s">
        <v>188</v>
      </c>
      <c r="I525" t="s">
        <v>374</v>
      </c>
      <c r="J525" t="s">
        <v>324</v>
      </c>
      <c r="K525" t="s">
        <v>2446</v>
      </c>
      <c r="L525" s="84">
        <v>42171</v>
      </c>
      <c r="M525" t="s">
        <v>381</v>
      </c>
      <c r="N525" t="s">
        <v>266</v>
      </c>
      <c r="O525">
        <v>3</v>
      </c>
      <c r="P525" t="s">
        <v>2447</v>
      </c>
      <c r="Q525" t="s">
        <v>2448</v>
      </c>
      <c r="R525" t="s">
        <v>2449</v>
      </c>
      <c r="S525" t="s">
        <v>2450</v>
      </c>
      <c r="T525" t="s">
        <v>31</v>
      </c>
      <c r="U525" t="s">
        <v>80</v>
      </c>
      <c r="V525">
        <v>42</v>
      </c>
      <c r="W525">
        <v>82</v>
      </c>
      <c r="X525">
        <v>120</v>
      </c>
      <c r="Y525">
        <v>68</v>
      </c>
      <c r="Z525">
        <v>175</v>
      </c>
      <c r="AA525">
        <v>91</v>
      </c>
      <c r="AB525" t="s">
        <v>370</v>
      </c>
      <c r="AC525" t="s">
        <v>237</v>
      </c>
      <c r="AD525" t="s">
        <v>210</v>
      </c>
      <c r="AE525" t="s">
        <v>183</v>
      </c>
      <c r="AF525">
        <v>1</v>
      </c>
    </row>
    <row r="526" spans="1:32">
      <c r="A526">
        <v>144</v>
      </c>
      <c r="B526">
        <v>1005</v>
      </c>
      <c r="C526" t="s">
        <v>1747</v>
      </c>
      <c r="D526" t="s">
        <v>169</v>
      </c>
      <c r="E526" t="s">
        <v>2165</v>
      </c>
      <c r="F526" t="s">
        <v>8</v>
      </c>
      <c r="G526" t="s">
        <v>2455</v>
      </c>
      <c r="H526" t="s">
        <v>188</v>
      </c>
      <c r="I526" t="s">
        <v>374</v>
      </c>
      <c r="J526" t="s">
        <v>324</v>
      </c>
      <c r="K526" t="s">
        <v>2446</v>
      </c>
      <c r="L526" s="84">
        <v>42171</v>
      </c>
      <c r="M526" t="s">
        <v>381</v>
      </c>
      <c r="N526" t="s">
        <v>266</v>
      </c>
      <c r="O526">
        <v>3</v>
      </c>
      <c r="P526" t="s">
        <v>2447</v>
      </c>
      <c r="Q526" t="s">
        <v>2448</v>
      </c>
      <c r="R526" t="s">
        <v>2449</v>
      </c>
      <c r="S526" t="s">
        <v>2450</v>
      </c>
      <c r="T526" t="s">
        <v>31</v>
      </c>
      <c r="U526" t="s">
        <v>80</v>
      </c>
      <c r="V526">
        <v>42</v>
      </c>
      <c r="W526">
        <v>82</v>
      </c>
      <c r="X526">
        <v>120</v>
      </c>
      <c r="Y526">
        <v>68</v>
      </c>
      <c r="Z526">
        <v>175</v>
      </c>
      <c r="AA526">
        <v>91</v>
      </c>
      <c r="AB526" t="s">
        <v>370</v>
      </c>
      <c r="AC526" t="s">
        <v>237</v>
      </c>
      <c r="AD526" t="s">
        <v>210</v>
      </c>
      <c r="AE526" t="s">
        <v>183</v>
      </c>
      <c r="AF526">
        <v>1</v>
      </c>
    </row>
    <row r="527" spans="1:32">
      <c r="A527">
        <v>145</v>
      </c>
      <c r="B527">
        <v>1237</v>
      </c>
      <c r="C527" t="s">
        <v>2456</v>
      </c>
      <c r="D527" t="s">
        <v>169</v>
      </c>
      <c r="E527" t="s">
        <v>2165</v>
      </c>
      <c r="F527" t="s">
        <v>8</v>
      </c>
      <c r="G527" t="s">
        <v>2457</v>
      </c>
      <c r="H527" t="s">
        <v>417</v>
      </c>
      <c r="I527" t="s">
        <v>417</v>
      </c>
      <c r="J527" t="s">
        <v>417</v>
      </c>
      <c r="K527" t="s">
        <v>2458</v>
      </c>
      <c r="L527" s="84">
        <v>43322</v>
      </c>
      <c r="M527" t="s">
        <v>381</v>
      </c>
      <c r="N527" t="s">
        <v>2459</v>
      </c>
      <c r="O527">
        <v>9</v>
      </c>
      <c r="P527" t="s">
        <v>2460</v>
      </c>
      <c r="Q527" t="s">
        <v>2461</v>
      </c>
      <c r="R527" t="s">
        <v>2462</v>
      </c>
      <c r="S527" t="s">
        <v>2463</v>
      </c>
      <c r="T527" t="s">
        <v>31</v>
      </c>
      <c r="U527" t="s">
        <v>85</v>
      </c>
      <c r="V527">
        <v>36</v>
      </c>
      <c r="W527">
        <v>82</v>
      </c>
      <c r="X527">
        <v>120</v>
      </c>
      <c r="Y527">
        <v>58</v>
      </c>
      <c r="Z527">
        <v>175</v>
      </c>
      <c r="AA527">
        <v>92</v>
      </c>
      <c r="AB527" t="s">
        <v>656</v>
      </c>
      <c r="AC527" t="s">
        <v>212</v>
      </c>
      <c r="AD527" t="s">
        <v>210</v>
      </c>
      <c r="AE527" t="s">
        <v>183</v>
      </c>
      <c r="AF527">
        <v>4</v>
      </c>
    </row>
    <row r="528" spans="1:32">
      <c r="A528">
        <v>145</v>
      </c>
      <c r="B528">
        <v>1237</v>
      </c>
      <c r="C528" t="s">
        <v>2456</v>
      </c>
      <c r="D528" t="s">
        <v>169</v>
      </c>
      <c r="E528" t="s">
        <v>2165</v>
      </c>
      <c r="F528" t="s">
        <v>7</v>
      </c>
      <c r="G528" t="s">
        <v>2464</v>
      </c>
      <c r="H528" t="s">
        <v>417</v>
      </c>
      <c r="I528" t="s">
        <v>417</v>
      </c>
      <c r="J528" t="s">
        <v>914</v>
      </c>
      <c r="K528" t="s">
        <v>2458</v>
      </c>
      <c r="L528" s="84">
        <v>43322</v>
      </c>
      <c r="M528" t="s">
        <v>381</v>
      </c>
      <c r="N528" t="s">
        <v>2459</v>
      </c>
      <c r="O528">
        <v>9</v>
      </c>
      <c r="P528" t="s">
        <v>2460</v>
      </c>
      <c r="Q528" t="s">
        <v>2461</v>
      </c>
      <c r="R528" t="s">
        <v>2462</v>
      </c>
      <c r="S528" t="s">
        <v>2463</v>
      </c>
      <c r="T528" t="s">
        <v>32</v>
      </c>
      <c r="U528" t="s">
        <v>85</v>
      </c>
      <c r="V528">
        <v>36</v>
      </c>
      <c r="W528">
        <v>82</v>
      </c>
      <c r="X528">
        <v>120</v>
      </c>
      <c r="Y528">
        <v>58</v>
      </c>
      <c r="Z528">
        <v>175</v>
      </c>
      <c r="AA528">
        <v>92</v>
      </c>
      <c r="AB528" t="s">
        <v>656</v>
      </c>
      <c r="AC528" t="s">
        <v>212</v>
      </c>
      <c r="AD528" t="s">
        <v>210</v>
      </c>
      <c r="AE528" t="s">
        <v>183</v>
      </c>
      <c r="AF528">
        <v>4</v>
      </c>
    </row>
    <row r="529" spans="1:32">
      <c r="A529">
        <v>145</v>
      </c>
      <c r="B529">
        <v>1237</v>
      </c>
      <c r="C529" t="s">
        <v>2456</v>
      </c>
      <c r="D529" t="s">
        <v>169</v>
      </c>
      <c r="E529" t="s">
        <v>2165</v>
      </c>
      <c r="F529" t="s">
        <v>6</v>
      </c>
      <c r="G529" t="s">
        <v>2465</v>
      </c>
      <c r="H529" t="s">
        <v>417</v>
      </c>
      <c r="I529" t="s">
        <v>417</v>
      </c>
      <c r="J529" t="s">
        <v>329</v>
      </c>
      <c r="K529" t="s">
        <v>2458</v>
      </c>
      <c r="L529" s="84">
        <v>43322</v>
      </c>
      <c r="M529" t="s">
        <v>381</v>
      </c>
      <c r="N529" t="s">
        <v>2459</v>
      </c>
      <c r="O529">
        <v>9</v>
      </c>
      <c r="P529" t="s">
        <v>2460</v>
      </c>
      <c r="Q529" t="s">
        <v>2461</v>
      </c>
      <c r="R529" t="s">
        <v>2462</v>
      </c>
      <c r="S529" t="s">
        <v>2463</v>
      </c>
      <c r="T529" t="s">
        <v>34</v>
      </c>
      <c r="U529" t="s">
        <v>85</v>
      </c>
      <c r="V529">
        <v>36</v>
      </c>
      <c r="W529">
        <v>82</v>
      </c>
      <c r="X529">
        <v>120</v>
      </c>
      <c r="Y529">
        <v>58</v>
      </c>
      <c r="Z529">
        <v>175</v>
      </c>
      <c r="AA529">
        <v>92</v>
      </c>
      <c r="AB529" t="s">
        <v>656</v>
      </c>
      <c r="AC529" t="s">
        <v>212</v>
      </c>
      <c r="AD529" t="s">
        <v>210</v>
      </c>
      <c r="AE529" t="s">
        <v>183</v>
      </c>
      <c r="AF529">
        <v>4</v>
      </c>
    </row>
    <row r="530" spans="1:32">
      <c r="A530">
        <v>145</v>
      </c>
      <c r="B530">
        <v>1237</v>
      </c>
      <c r="C530" t="s">
        <v>2456</v>
      </c>
      <c r="D530" t="s">
        <v>169</v>
      </c>
      <c r="E530" t="s">
        <v>2165</v>
      </c>
      <c r="F530" t="s">
        <v>197</v>
      </c>
      <c r="G530" t="s">
        <v>2466</v>
      </c>
      <c r="H530" t="s">
        <v>192</v>
      </c>
      <c r="I530" t="s">
        <v>212</v>
      </c>
      <c r="J530" t="s">
        <v>223</v>
      </c>
      <c r="K530" t="s">
        <v>2458</v>
      </c>
      <c r="L530" s="84">
        <v>43322</v>
      </c>
      <c r="M530" t="s">
        <v>381</v>
      </c>
      <c r="N530" t="s">
        <v>2459</v>
      </c>
      <c r="O530">
        <v>9</v>
      </c>
      <c r="P530" t="s">
        <v>2460</v>
      </c>
      <c r="Q530" t="s">
        <v>2461</v>
      </c>
      <c r="R530" t="s">
        <v>2462</v>
      </c>
      <c r="S530" t="s">
        <v>2463</v>
      </c>
      <c r="T530" t="s">
        <v>38</v>
      </c>
      <c r="U530" t="s">
        <v>85</v>
      </c>
      <c r="V530">
        <v>36</v>
      </c>
      <c r="W530">
        <v>82</v>
      </c>
      <c r="X530">
        <v>120</v>
      </c>
      <c r="Y530">
        <v>58</v>
      </c>
      <c r="Z530">
        <v>175</v>
      </c>
      <c r="AA530">
        <v>92</v>
      </c>
      <c r="AB530" t="s">
        <v>656</v>
      </c>
      <c r="AC530" t="s">
        <v>212</v>
      </c>
      <c r="AD530" t="s">
        <v>210</v>
      </c>
      <c r="AE530" t="s">
        <v>183</v>
      </c>
      <c r="AF530">
        <v>4</v>
      </c>
    </row>
    <row r="531" spans="1:32">
      <c r="A531">
        <v>145</v>
      </c>
      <c r="B531">
        <v>1237</v>
      </c>
      <c r="C531" t="s">
        <v>2456</v>
      </c>
      <c r="D531" t="s">
        <v>169</v>
      </c>
      <c r="E531" t="s">
        <v>2165</v>
      </c>
      <c r="F531" t="s">
        <v>193</v>
      </c>
      <c r="G531" t="s">
        <v>2468</v>
      </c>
      <c r="H531" t="s">
        <v>192</v>
      </c>
      <c r="I531" t="s">
        <v>243</v>
      </c>
      <c r="J531" t="s">
        <v>192</v>
      </c>
      <c r="K531" t="s">
        <v>2458</v>
      </c>
      <c r="L531" s="84">
        <v>43322</v>
      </c>
      <c r="M531" t="s">
        <v>381</v>
      </c>
      <c r="N531" t="s">
        <v>2459</v>
      </c>
      <c r="O531">
        <v>9</v>
      </c>
      <c r="P531" t="s">
        <v>2460</v>
      </c>
      <c r="Q531" t="s">
        <v>2461</v>
      </c>
      <c r="R531" t="s">
        <v>2462</v>
      </c>
      <c r="S531" t="s">
        <v>2463</v>
      </c>
      <c r="T531" t="s">
        <v>36</v>
      </c>
      <c r="U531" t="s">
        <v>85</v>
      </c>
      <c r="V531">
        <v>36</v>
      </c>
      <c r="W531">
        <v>82</v>
      </c>
      <c r="X531">
        <v>120</v>
      </c>
      <c r="Y531">
        <v>58</v>
      </c>
      <c r="Z531">
        <v>175</v>
      </c>
      <c r="AA531">
        <v>92</v>
      </c>
      <c r="AB531" t="s">
        <v>656</v>
      </c>
      <c r="AC531" t="s">
        <v>212</v>
      </c>
      <c r="AD531" t="s">
        <v>210</v>
      </c>
      <c r="AE531" t="s">
        <v>183</v>
      </c>
      <c r="AF531">
        <v>4</v>
      </c>
    </row>
    <row r="532" spans="1:32">
      <c r="A532">
        <v>145</v>
      </c>
      <c r="B532">
        <v>1237</v>
      </c>
      <c r="C532" t="s">
        <v>2456</v>
      </c>
      <c r="D532" t="s">
        <v>169</v>
      </c>
      <c r="E532" t="s">
        <v>2165</v>
      </c>
      <c r="F532" t="s">
        <v>37</v>
      </c>
      <c r="G532" t="s">
        <v>2467</v>
      </c>
      <c r="H532" t="s">
        <v>192</v>
      </c>
      <c r="I532" t="s">
        <v>181</v>
      </c>
      <c r="J532" t="s">
        <v>212</v>
      </c>
      <c r="K532" t="s">
        <v>2458</v>
      </c>
      <c r="L532" s="84">
        <v>43322</v>
      </c>
      <c r="M532" t="s">
        <v>381</v>
      </c>
      <c r="N532" t="s">
        <v>2459</v>
      </c>
      <c r="O532">
        <v>9</v>
      </c>
      <c r="P532" t="s">
        <v>2460</v>
      </c>
      <c r="Q532" t="s">
        <v>2461</v>
      </c>
      <c r="R532" t="s">
        <v>2462</v>
      </c>
      <c r="S532" t="s">
        <v>2463</v>
      </c>
      <c r="T532" t="s">
        <v>37</v>
      </c>
      <c r="U532" t="s">
        <v>85</v>
      </c>
      <c r="V532">
        <v>36</v>
      </c>
      <c r="W532">
        <v>82</v>
      </c>
      <c r="X532">
        <v>120</v>
      </c>
      <c r="Y532">
        <v>58</v>
      </c>
      <c r="Z532">
        <v>175</v>
      </c>
      <c r="AA532">
        <v>92</v>
      </c>
      <c r="AB532" t="s">
        <v>656</v>
      </c>
      <c r="AC532" t="s">
        <v>212</v>
      </c>
      <c r="AD532" t="s">
        <v>210</v>
      </c>
      <c r="AE532" t="s">
        <v>183</v>
      </c>
      <c r="AF532">
        <v>4</v>
      </c>
    </row>
    <row r="533" spans="1:32">
      <c r="A533">
        <v>145</v>
      </c>
      <c r="B533">
        <v>1237</v>
      </c>
      <c r="C533" t="s">
        <v>2456</v>
      </c>
      <c r="D533" t="s">
        <v>169</v>
      </c>
      <c r="E533" t="s">
        <v>2165</v>
      </c>
      <c r="F533" t="s">
        <v>5</v>
      </c>
      <c r="G533" t="s">
        <v>2846</v>
      </c>
      <c r="H533" t="s">
        <v>1054</v>
      </c>
      <c r="I533" t="s">
        <v>330</v>
      </c>
      <c r="J533" t="s">
        <v>407</v>
      </c>
      <c r="K533" t="s">
        <v>2458</v>
      </c>
      <c r="L533" s="84">
        <v>43322</v>
      </c>
      <c r="M533" t="s">
        <v>381</v>
      </c>
      <c r="N533" t="s">
        <v>2459</v>
      </c>
      <c r="O533">
        <v>9</v>
      </c>
      <c r="P533" t="s">
        <v>2460</v>
      </c>
      <c r="Q533" t="s">
        <v>2461</v>
      </c>
      <c r="R533" t="s">
        <v>2462</v>
      </c>
      <c r="S533" t="s">
        <v>2463</v>
      </c>
      <c r="T533" t="s">
        <v>33</v>
      </c>
      <c r="U533" t="s">
        <v>85</v>
      </c>
      <c r="V533">
        <v>36</v>
      </c>
      <c r="W533">
        <v>82</v>
      </c>
      <c r="X533">
        <v>120</v>
      </c>
      <c r="Y533">
        <v>58</v>
      </c>
      <c r="Z533">
        <v>175</v>
      </c>
      <c r="AA533">
        <v>92</v>
      </c>
      <c r="AB533" t="s">
        <v>656</v>
      </c>
      <c r="AC533" t="s">
        <v>212</v>
      </c>
      <c r="AD533" t="s">
        <v>210</v>
      </c>
      <c r="AE533" t="s">
        <v>183</v>
      </c>
      <c r="AF533">
        <v>4</v>
      </c>
    </row>
    <row r="534" spans="1:32">
      <c r="A534">
        <v>146</v>
      </c>
      <c r="B534">
        <v>1191</v>
      </c>
      <c r="C534" t="s">
        <v>2469</v>
      </c>
      <c r="D534" t="s">
        <v>169</v>
      </c>
      <c r="E534" t="s">
        <v>2165</v>
      </c>
      <c r="F534" t="s">
        <v>5</v>
      </c>
      <c r="G534" t="s">
        <v>2847</v>
      </c>
      <c r="H534" t="s">
        <v>171</v>
      </c>
      <c r="I534" t="s">
        <v>236</v>
      </c>
      <c r="J534" t="s">
        <v>238</v>
      </c>
      <c r="K534" t="s">
        <v>2471</v>
      </c>
      <c r="L534" s="84">
        <v>43425</v>
      </c>
      <c r="M534" t="s">
        <v>381</v>
      </c>
      <c r="N534" t="s">
        <v>2472</v>
      </c>
      <c r="O534">
        <v>3</v>
      </c>
      <c r="P534" t="s">
        <v>2473</v>
      </c>
      <c r="Q534" t="s">
        <v>2474</v>
      </c>
      <c r="R534" t="s">
        <v>2475</v>
      </c>
      <c r="S534" t="s">
        <v>2476</v>
      </c>
      <c r="T534" t="s">
        <v>33</v>
      </c>
      <c r="U534" t="s">
        <v>80</v>
      </c>
      <c r="V534">
        <v>54</v>
      </c>
      <c r="W534">
        <v>82</v>
      </c>
      <c r="X534">
        <v>120</v>
      </c>
      <c r="Y534">
        <v>87</v>
      </c>
      <c r="Z534">
        <v>175</v>
      </c>
      <c r="AA534">
        <v>141</v>
      </c>
      <c r="AB534" t="s">
        <v>2106</v>
      </c>
      <c r="AC534" t="s">
        <v>243</v>
      </c>
      <c r="AD534" t="s">
        <v>210</v>
      </c>
      <c r="AE534" t="s">
        <v>183</v>
      </c>
      <c r="AF534">
        <v>1</v>
      </c>
    </row>
    <row r="535" spans="1:32">
      <c r="A535">
        <v>146</v>
      </c>
      <c r="B535">
        <v>1191</v>
      </c>
      <c r="C535" t="s">
        <v>2469</v>
      </c>
      <c r="D535" t="s">
        <v>169</v>
      </c>
      <c r="E535" t="s">
        <v>2165</v>
      </c>
      <c r="F535" t="s">
        <v>37</v>
      </c>
      <c r="G535" t="s">
        <v>2477</v>
      </c>
      <c r="H535" t="s">
        <v>192</v>
      </c>
      <c r="I535" t="s">
        <v>181</v>
      </c>
      <c r="J535" t="s">
        <v>192</v>
      </c>
      <c r="K535" t="s">
        <v>2471</v>
      </c>
      <c r="L535" s="84">
        <v>43425</v>
      </c>
      <c r="M535" t="s">
        <v>381</v>
      </c>
      <c r="N535" t="s">
        <v>2472</v>
      </c>
      <c r="O535">
        <v>3</v>
      </c>
      <c r="P535" t="s">
        <v>2473</v>
      </c>
      <c r="Q535" t="s">
        <v>2474</v>
      </c>
      <c r="R535" t="s">
        <v>2475</v>
      </c>
      <c r="S535" t="s">
        <v>2476</v>
      </c>
      <c r="T535" t="s">
        <v>37</v>
      </c>
      <c r="U535" t="s">
        <v>80</v>
      </c>
      <c r="V535">
        <v>54</v>
      </c>
      <c r="W535">
        <v>82</v>
      </c>
      <c r="X535">
        <v>120</v>
      </c>
      <c r="Y535">
        <v>87</v>
      </c>
      <c r="Z535">
        <v>175</v>
      </c>
      <c r="AA535">
        <v>141</v>
      </c>
      <c r="AB535" t="s">
        <v>2106</v>
      </c>
      <c r="AC535" t="s">
        <v>243</v>
      </c>
      <c r="AD535" t="s">
        <v>210</v>
      </c>
      <c r="AE535" t="s">
        <v>183</v>
      </c>
      <c r="AF535">
        <v>1</v>
      </c>
    </row>
    <row r="536" spans="1:32">
      <c r="A536">
        <v>146</v>
      </c>
      <c r="B536">
        <v>1191</v>
      </c>
      <c r="C536" t="s">
        <v>2469</v>
      </c>
      <c r="D536" t="s">
        <v>169</v>
      </c>
      <c r="E536" t="s">
        <v>2165</v>
      </c>
      <c r="F536" t="s">
        <v>193</v>
      </c>
      <c r="G536" t="s">
        <v>2470</v>
      </c>
      <c r="H536" t="s">
        <v>192</v>
      </c>
      <c r="I536" t="s">
        <v>243</v>
      </c>
      <c r="J536" t="s">
        <v>192</v>
      </c>
      <c r="K536" t="s">
        <v>2471</v>
      </c>
      <c r="L536" s="84">
        <v>43425</v>
      </c>
      <c r="M536" t="s">
        <v>381</v>
      </c>
      <c r="N536" t="s">
        <v>2472</v>
      </c>
      <c r="O536">
        <v>3</v>
      </c>
      <c r="P536" t="s">
        <v>2473</v>
      </c>
      <c r="Q536" t="s">
        <v>2474</v>
      </c>
      <c r="R536" t="s">
        <v>2475</v>
      </c>
      <c r="S536" t="s">
        <v>2476</v>
      </c>
      <c r="T536" t="s">
        <v>36</v>
      </c>
      <c r="U536" t="s">
        <v>80</v>
      </c>
      <c r="V536">
        <v>54</v>
      </c>
      <c r="W536">
        <v>82</v>
      </c>
      <c r="X536">
        <v>120</v>
      </c>
      <c r="Y536">
        <v>87</v>
      </c>
      <c r="Z536">
        <v>175</v>
      </c>
      <c r="AA536">
        <v>141</v>
      </c>
      <c r="AB536" t="s">
        <v>2106</v>
      </c>
      <c r="AC536" t="s">
        <v>243</v>
      </c>
      <c r="AD536" t="s">
        <v>210</v>
      </c>
      <c r="AE536" t="s">
        <v>183</v>
      </c>
      <c r="AF536">
        <v>1</v>
      </c>
    </row>
    <row r="537" spans="1:32">
      <c r="A537">
        <v>146</v>
      </c>
      <c r="B537">
        <v>1191</v>
      </c>
      <c r="C537" t="s">
        <v>2469</v>
      </c>
      <c r="D537" t="s">
        <v>169</v>
      </c>
      <c r="E537" t="s">
        <v>2165</v>
      </c>
      <c r="F537" t="s">
        <v>197</v>
      </c>
      <c r="G537" t="s">
        <v>2478</v>
      </c>
      <c r="H537" t="s">
        <v>192</v>
      </c>
      <c r="I537" t="s">
        <v>212</v>
      </c>
      <c r="J537" t="s">
        <v>212</v>
      </c>
      <c r="K537" t="s">
        <v>2471</v>
      </c>
      <c r="L537" s="84">
        <v>43425</v>
      </c>
      <c r="M537" t="s">
        <v>381</v>
      </c>
      <c r="N537" t="s">
        <v>2472</v>
      </c>
      <c r="O537">
        <v>3</v>
      </c>
      <c r="P537" t="s">
        <v>2473</v>
      </c>
      <c r="Q537" t="s">
        <v>2474</v>
      </c>
      <c r="R537" t="s">
        <v>2475</v>
      </c>
      <c r="S537" t="s">
        <v>2476</v>
      </c>
      <c r="T537" t="s">
        <v>38</v>
      </c>
      <c r="U537" t="s">
        <v>80</v>
      </c>
      <c r="V537">
        <v>54</v>
      </c>
      <c r="W537">
        <v>82</v>
      </c>
      <c r="X537">
        <v>120</v>
      </c>
      <c r="Y537">
        <v>87</v>
      </c>
      <c r="Z537">
        <v>175</v>
      </c>
      <c r="AA537">
        <v>141</v>
      </c>
      <c r="AB537" t="s">
        <v>2106</v>
      </c>
      <c r="AC537" t="s">
        <v>243</v>
      </c>
      <c r="AD537" t="s">
        <v>210</v>
      </c>
      <c r="AE537" t="s">
        <v>183</v>
      </c>
      <c r="AF537">
        <v>1</v>
      </c>
    </row>
    <row r="538" spans="1:32">
      <c r="A538">
        <v>146</v>
      </c>
      <c r="B538">
        <v>1191</v>
      </c>
      <c r="C538" t="s">
        <v>2469</v>
      </c>
      <c r="D538" t="s">
        <v>169</v>
      </c>
      <c r="E538" t="s">
        <v>2165</v>
      </c>
      <c r="F538" t="s">
        <v>6</v>
      </c>
      <c r="G538" t="s">
        <v>2479</v>
      </c>
      <c r="H538" t="s">
        <v>2047</v>
      </c>
      <c r="I538" t="s">
        <v>187</v>
      </c>
      <c r="J538" t="s">
        <v>243</v>
      </c>
      <c r="K538" t="s">
        <v>2471</v>
      </c>
      <c r="L538" s="84">
        <v>43425</v>
      </c>
      <c r="M538" t="s">
        <v>381</v>
      </c>
      <c r="N538" t="s">
        <v>2472</v>
      </c>
      <c r="O538">
        <v>3</v>
      </c>
      <c r="P538" t="s">
        <v>2473</v>
      </c>
      <c r="Q538" t="s">
        <v>2474</v>
      </c>
      <c r="R538" t="s">
        <v>2475</v>
      </c>
      <c r="S538" t="s">
        <v>2476</v>
      </c>
      <c r="T538" t="s">
        <v>34</v>
      </c>
      <c r="U538" t="s">
        <v>80</v>
      </c>
      <c r="V538">
        <v>54</v>
      </c>
      <c r="W538">
        <v>82</v>
      </c>
      <c r="X538">
        <v>120</v>
      </c>
      <c r="Y538">
        <v>87</v>
      </c>
      <c r="Z538">
        <v>175</v>
      </c>
      <c r="AA538">
        <v>141</v>
      </c>
      <c r="AB538" t="s">
        <v>2106</v>
      </c>
      <c r="AC538" t="s">
        <v>243</v>
      </c>
      <c r="AD538" t="s">
        <v>210</v>
      </c>
      <c r="AE538" t="s">
        <v>2048</v>
      </c>
      <c r="AF538">
        <v>1</v>
      </c>
    </row>
    <row r="539" spans="1:32">
      <c r="A539">
        <v>146</v>
      </c>
      <c r="B539">
        <v>1191</v>
      </c>
      <c r="C539" t="s">
        <v>2469</v>
      </c>
      <c r="D539" t="s">
        <v>169</v>
      </c>
      <c r="E539" t="s">
        <v>2165</v>
      </c>
      <c r="F539" t="s">
        <v>7</v>
      </c>
      <c r="G539" t="s">
        <v>2480</v>
      </c>
      <c r="H539" t="s">
        <v>173</v>
      </c>
      <c r="I539" t="s">
        <v>173</v>
      </c>
      <c r="J539" t="s">
        <v>223</v>
      </c>
      <c r="K539" t="s">
        <v>2471</v>
      </c>
      <c r="L539" s="84">
        <v>43425</v>
      </c>
      <c r="M539" t="s">
        <v>381</v>
      </c>
      <c r="N539" t="s">
        <v>2472</v>
      </c>
      <c r="O539">
        <v>3</v>
      </c>
      <c r="P539" t="s">
        <v>2473</v>
      </c>
      <c r="Q539" t="s">
        <v>2474</v>
      </c>
      <c r="R539" t="s">
        <v>2475</v>
      </c>
      <c r="S539" t="s">
        <v>2476</v>
      </c>
      <c r="T539" t="s">
        <v>32</v>
      </c>
      <c r="U539" t="s">
        <v>80</v>
      </c>
      <c r="V539">
        <v>54</v>
      </c>
      <c r="W539">
        <v>82</v>
      </c>
      <c r="X539">
        <v>120</v>
      </c>
      <c r="Y539">
        <v>87</v>
      </c>
      <c r="Z539">
        <v>175</v>
      </c>
      <c r="AA539">
        <v>141</v>
      </c>
      <c r="AB539" t="s">
        <v>2106</v>
      </c>
      <c r="AC539" t="s">
        <v>243</v>
      </c>
      <c r="AD539" t="s">
        <v>210</v>
      </c>
      <c r="AE539" t="s">
        <v>183</v>
      </c>
      <c r="AF539">
        <v>1</v>
      </c>
    </row>
    <row r="540" spans="1:32">
      <c r="A540">
        <v>146</v>
      </c>
      <c r="B540">
        <v>1191</v>
      </c>
      <c r="C540" t="s">
        <v>2469</v>
      </c>
      <c r="D540" t="s">
        <v>169</v>
      </c>
      <c r="E540" t="s">
        <v>2165</v>
      </c>
      <c r="F540" t="s">
        <v>8</v>
      </c>
      <c r="G540" t="s">
        <v>2481</v>
      </c>
      <c r="H540" t="s">
        <v>223</v>
      </c>
      <c r="I540" t="s">
        <v>187</v>
      </c>
      <c r="J540" t="s">
        <v>376</v>
      </c>
      <c r="K540" t="s">
        <v>2471</v>
      </c>
      <c r="L540" s="84">
        <v>43425</v>
      </c>
      <c r="M540" t="s">
        <v>381</v>
      </c>
      <c r="N540" t="s">
        <v>2472</v>
      </c>
      <c r="O540">
        <v>3</v>
      </c>
      <c r="P540" t="s">
        <v>2473</v>
      </c>
      <c r="Q540" t="s">
        <v>2474</v>
      </c>
      <c r="R540" t="s">
        <v>2475</v>
      </c>
      <c r="S540" t="s">
        <v>2476</v>
      </c>
      <c r="T540" t="s">
        <v>31</v>
      </c>
      <c r="U540" t="s">
        <v>80</v>
      </c>
      <c r="V540">
        <v>54</v>
      </c>
      <c r="W540">
        <v>82</v>
      </c>
      <c r="X540">
        <v>120</v>
      </c>
      <c r="Y540">
        <v>87</v>
      </c>
      <c r="Z540">
        <v>175</v>
      </c>
      <c r="AA540">
        <v>141</v>
      </c>
      <c r="AB540" t="s">
        <v>2106</v>
      </c>
      <c r="AC540" t="s">
        <v>243</v>
      </c>
      <c r="AD540" t="s">
        <v>210</v>
      </c>
      <c r="AE540" t="s">
        <v>183</v>
      </c>
      <c r="AF540">
        <v>1</v>
      </c>
    </row>
    <row r="541" spans="1:32">
      <c r="A541">
        <v>201</v>
      </c>
      <c r="B541">
        <v>859</v>
      </c>
      <c r="C541" t="s">
        <v>1700</v>
      </c>
      <c r="D541" t="s">
        <v>747</v>
      </c>
      <c r="E541" t="s">
        <v>2165</v>
      </c>
      <c r="F541" t="s">
        <v>5</v>
      </c>
      <c r="G541" t="s">
        <v>754</v>
      </c>
      <c r="H541" t="s">
        <v>260</v>
      </c>
      <c r="I541" t="s">
        <v>305</v>
      </c>
      <c r="J541" t="s">
        <v>217</v>
      </c>
      <c r="K541" t="s">
        <v>1702</v>
      </c>
      <c r="L541" s="84">
        <v>43099</v>
      </c>
      <c r="M541" t="s">
        <v>381</v>
      </c>
      <c r="N541" t="s">
        <v>1703</v>
      </c>
      <c r="O541">
        <v>3</v>
      </c>
      <c r="P541" t="s">
        <v>1698</v>
      </c>
      <c r="Q541" t="s">
        <v>1501</v>
      </c>
      <c r="R541" t="s">
        <v>1704</v>
      </c>
      <c r="S541" t="s">
        <v>1705</v>
      </c>
      <c r="T541" t="s">
        <v>33</v>
      </c>
      <c r="U541" t="s">
        <v>80</v>
      </c>
      <c r="V541">
        <v>70</v>
      </c>
      <c r="W541">
        <v>81</v>
      </c>
      <c r="X541">
        <v>121</v>
      </c>
      <c r="Y541">
        <v>102</v>
      </c>
      <c r="Z541">
        <v>190</v>
      </c>
      <c r="AA541">
        <v>160</v>
      </c>
      <c r="AB541" t="s">
        <v>479</v>
      </c>
      <c r="AC541" t="s">
        <v>192</v>
      </c>
      <c r="AD541" t="s">
        <v>182</v>
      </c>
      <c r="AE541" t="s">
        <v>183</v>
      </c>
      <c r="AF541">
        <v>0</v>
      </c>
    </row>
    <row r="542" spans="1:32">
      <c r="A542">
        <v>201</v>
      </c>
      <c r="B542">
        <v>859</v>
      </c>
      <c r="C542" t="s">
        <v>1700</v>
      </c>
      <c r="D542" t="s">
        <v>747</v>
      </c>
      <c r="E542" t="s">
        <v>2165</v>
      </c>
      <c r="F542" t="s">
        <v>8</v>
      </c>
      <c r="G542" t="s">
        <v>753</v>
      </c>
      <c r="H542" t="s">
        <v>259</v>
      </c>
      <c r="I542" t="s">
        <v>497</v>
      </c>
      <c r="J542" t="s">
        <v>217</v>
      </c>
      <c r="K542" t="s">
        <v>1702</v>
      </c>
      <c r="L542" s="84">
        <v>43099</v>
      </c>
      <c r="M542" t="s">
        <v>381</v>
      </c>
      <c r="N542" t="s">
        <v>1703</v>
      </c>
      <c r="O542">
        <v>3</v>
      </c>
      <c r="P542" t="s">
        <v>1698</v>
      </c>
      <c r="Q542" t="s">
        <v>1501</v>
      </c>
      <c r="R542" t="s">
        <v>1704</v>
      </c>
      <c r="S542" t="s">
        <v>1705</v>
      </c>
      <c r="T542" t="s">
        <v>31</v>
      </c>
      <c r="U542" t="s">
        <v>80</v>
      </c>
      <c r="V542">
        <v>70</v>
      </c>
      <c r="W542">
        <v>81</v>
      </c>
      <c r="X542">
        <v>121</v>
      </c>
      <c r="Y542">
        <v>102</v>
      </c>
      <c r="Z542">
        <v>190</v>
      </c>
      <c r="AA542">
        <v>160</v>
      </c>
      <c r="AB542" t="s">
        <v>479</v>
      </c>
      <c r="AC542" t="s">
        <v>192</v>
      </c>
      <c r="AD542" t="s">
        <v>182</v>
      </c>
      <c r="AE542" t="s">
        <v>183</v>
      </c>
      <c r="AF542">
        <v>0</v>
      </c>
    </row>
    <row r="543" spans="1:32">
      <c r="A543">
        <v>201</v>
      </c>
      <c r="B543">
        <v>859</v>
      </c>
      <c r="C543" t="s">
        <v>1700</v>
      </c>
      <c r="D543" t="s">
        <v>747</v>
      </c>
      <c r="E543" t="s">
        <v>2165</v>
      </c>
      <c r="F543" t="s">
        <v>7</v>
      </c>
      <c r="G543" t="s">
        <v>748</v>
      </c>
      <c r="H543" t="s">
        <v>275</v>
      </c>
      <c r="I543" t="s">
        <v>259</v>
      </c>
      <c r="J543" t="s">
        <v>259</v>
      </c>
      <c r="K543" t="s">
        <v>1702</v>
      </c>
      <c r="L543" s="84">
        <v>43099</v>
      </c>
      <c r="M543" t="s">
        <v>381</v>
      </c>
      <c r="N543" t="s">
        <v>1703</v>
      </c>
      <c r="O543">
        <v>3</v>
      </c>
      <c r="P543" t="s">
        <v>1698</v>
      </c>
      <c r="Q543" t="s">
        <v>1501</v>
      </c>
      <c r="R543" t="s">
        <v>1704</v>
      </c>
      <c r="S543" t="s">
        <v>1705</v>
      </c>
      <c r="T543" t="s">
        <v>32</v>
      </c>
      <c r="U543" t="s">
        <v>80</v>
      </c>
      <c r="V543">
        <v>70</v>
      </c>
      <c r="W543">
        <v>81</v>
      </c>
      <c r="X543">
        <v>121</v>
      </c>
      <c r="Y543">
        <v>102</v>
      </c>
      <c r="Z543">
        <v>190</v>
      </c>
      <c r="AA543">
        <v>160</v>
      </c>
      <c r="AB543" t="s">
        <v>479</v>
      </c>
      <c r="AC543" t="s">
        <v>192</v>
      </c>
      <c r="AD543" t="s">
        <v>182</v>
      </c>
      <c r="AE543" t="s">
        <v>183</v>
      </c>
      <c r="AF543">
        <v>0</v>
      </c>
    </row>
    <row r="544" spans="1:32">
      <c r="A544">
        <v>201</v>
      </c>
      <c r="B544">
        <v>859</v>
      </c>
      <c r="C544" t="s">
        <v>1700</v>
      </c>
      <c r="D544" t="s">
        <v>747</v>
      </c>
      <c r="E544" t="s">
        <v>2165</v>
      </c>
      <c r="F544" t="s">
        <v>6</v>
      </c>
      <c r="G544" t="s">
        <v>755</v>
      </c>
      <c r="H544" t="s">
        <v>259</v>
      </c>
      <c r="I544" t="s">
        <v>260</v>
      </c>
      <c r="J544" t="s">
        <v>238</v>
      </c>
      <c r="K544" t="s">
        <v>1702</v>
      </c>
      <c r="L544" s="84">
        <v>43099</v>
      </c>
      <c r="M544" t="s">
        <v>381</v>
      </c>
      <c r="N544" t="s">
        <v>1703</v>
      </c>
      <c r="O544">
        <v>3</v>
      </c>
      <c r="P544" t="s">
        <v>1698</v>
      </c>
      <c r="Q544" t="s">
        <v>1501</v>
      </c>
      <c r="R544" t="s">
        <v>1704</v>
      </c>
      <c r="S544" t="s">
        <v>1705</v>
      </c>
      <c r="T544" t="s">
        <v>34</v>
      </c>
      <c r="U544" t="s">
        <v>80</v>
      </c>
      <c r="V544">
        <v>70</v>
      </c>
      <c r="W544">
        <v>81</v>
      </c>
      <c r="X544">
        <v>121</v>
      </c>
      <c r="Y544">
        <v>102</v>
      </c>
      <c r="Z544">
        <v>190</v>
      </c>
      <c r="AA544">
        <v>160</v>
      </c>
      <c r="AB544" t="s">
        <v>479</v>
      </c>
      <c r="AC544" t="s">
        <v>192</v>
      </c>
      <c r="AD544" t="s">
        <v>182</v>
      </c>
      <c r="AE544" t="s">
        <v>183</v>
      </c>
      <c r="AF544">
        <v>0</v>
      </c>
    </row>
    <row r="545" spans="1:32">
      <c r="A545">
        <v>201</v>
      </c>
      <c r="B545">
        <v>859</v>
      </c>
      <c r="C545" t="s">
        <v>1700</v>
      </c>
      <c r="D545" t="s">
        <v>747</v>
      </c>
      <c r="E545" t="s">
        <v>2165</v>
      </c>
      <c r="F545" t="s">
        <v>197</v>
      </c>
      <c r="G545" t="s">
        <v>1373</v>
      </c>
      <c r="H545" t="s">
        <v>192</v>
      </c>
      <c r="I545" t="s">
        <v>212</v>
      </c>
      <c r="J545" t="s">
        <v>192</v>
      </c>
      <c r="K545" t="s">
        <v>1702</v>
      </c>
      <c r="L545" s="84">
        <v>43099</v>
      </c>
      <c r="M545" t="s">
        <v>381</v>
      </c>
      <c r="N545" t="s">
        <v>1703</v>
      </c>
      <c r="O545">
        <v>3</v>
      </c>
      <c r="P545" t="s">
        <v>1698</v>
      </c>
      <c r="Q545" t="s">
        <v>1501</v>
      </c>
      <c r="R545" t="s">
        <v>1704</v>
      </c>
      <c r="S545" t="s">
        <v>1705</v>
      </c>
      <c r="T545" t="s">
        <v>38</v>
      </c>
      <c r="U545" t="s">
        <v>80</v>
      </c>
      <c r="V545">
        <v>70</v>
      </c>
      <c r="W545">
        <v>81</v>
      </c>
      <c r="X545">
        <v>121</v>
      </c>
      <c r="Y545">
        <v>102</v>
      </c>
      <c r="Z545">
        <v>190</v>
      </c>
      <c r="AA545">
        <v>160</v>
      </c>
      <c r="AB545" t="s">
        <v>479</v>
      </c>
      <c r="AC545" t="s">
        <v>192</v>
      </c>
      <c r="AD545" t="s">
        <v>182</v>
      </c>
      <c r="AE545" t="s">
        <v>183</v>
      </c>
      <c r="AF545">
        <v>0</v>
      </c>
    </row>
    <row r="546" spans="1:32">
      <c r="A546">
        <v>201</v>
      </c>
      <c r="B546">
        <v>859</v>
      </c>
      <c r="C546" t="s">
        <v>1700</v>
      </c>
      <c r="D546" t="s">
        <v>747</v>
      </c>
      <c r="E546" t="s">
        <v>2165</v>
      </c>
      <c r="F546" t="s">
        <v>37</v>
      </c>
      <c r="G546" t="s">
        <v>2848</v>
      </c>
      <c r="H546" t="s">
        <v>212</v>
      </c>
      <c r="I546" t="s">
        <v>212</v>
      </c>
      <c r="J546" t="s">
        <v>212</v>
      </c>
      <c r="K546" t="s">
        <v>1702</v>
      </c>
      <c r="L546" s="84">
        <v>43099</v>
      </c>
      <c r="M546" t="s">
        <v>381</v>
      </c>
      <c r="N546" t="s">
        <v>1703</v>
      </c>
      <c r="O546">
        <v>3</v>
      </c>
      <c r="P546" t="s">
        <v>1698</v>
      </c>
      <c r="Q546" t="s">
        <v>1501</v>
      </c>
      <c r="R546" t="s">
        <v>1704</v>
      </c>
      <c r="S546" t="s">
        <v>1705</v>
      </c>
      <c r="T546" t="s">
        <v>37</v>
      </c>
      <c r="U546" t="s">
        <v>80</v>
      </c>
      <c r="V546">
        <v>70</v>
      </c>
      <c r="W546">
        <v>81</v>
      </c>
      <c r="X546">
        <v>121</v>
      </c>
      <c r="Y546">
        <v>102</v>
      </c>
      <c r="Z546">
        <v>190</v>
      </c>
      <c r="AA546">
        <v>160</v>
      </c>
      <c r="AB546" t="s">
        <v>479</v>
      </c>
      <c r="AC546" t="s">
        <v>192</v>
      </c>
      <c r="AD546" t="s">
        <v>182</v>
      </c>
      <c r="AE546" t="s">
        <v>183</v>
      </c>
      <c r="AF546">
        <v>0</v>
      </c>
    </row>
    <row r="547" spans="1:32">
      <c r="A547">
        <v>201</v>
      </c>
      <c r="B547">
        <v>859</v>
      </c>
      <c r="C547" t="s">
        <v>1700</v>
      </c>
      <c r="D547" t="s">
        <v>747</v>
      </c>
      <c r="E547" t="s">
        <v>2165</v>
      </c>
      <c r="F547" t="s">
        <v>193</v>
      </c>
      <c r="G547" t="s">
        <v>2112</v>
      </c>
      <c r="H547" t="s">
        <v>212</v>
      </c>
      <c r="I547" t="s">
        <v>212</v>
      </c>
      <c r="J547" t="s">
        <v>212</v>
      </c>
      <c r="K547" t="s">
        <v>1702</v>
      </c>
      <c r="L547" s="84">
        <v>43099</v>
      </c>
      <c r="M547" t="s">
        <v>381</v>
      </c>
      <c r="N547" t="s">
        <v>1703</v>
      </c>
      <c r="O547">
        <v>3</v>
      </c>
      <c r="P547" t="s">
        <v>1698</v>
      </c>
      <c r="Q547" t="s">
        <v>1501</v>
      </c>
      <c r="R547" t="s">
        <v>1704</v>
      </c>
      <c r="S547" t="s">
        <v>1705</v>
      </c>
      <c r="T547" t="s">
        <v>36</v>
      </c>
      <c r="U547" t="s">
        <v>80</v>
      </c>
      <c r="V547">
        <v>70</v>
      </c>
      <c r="W547">
        <v>81</v>
      </c>
      <c r="X547">
        <v>121</v>
      </c>
      <c r="Y547">
        <v>102</v>
      </c>
      <c r="Z547">
        <v>190</v>
      </c>
      <c r="AA547">
        <v>160</v>
      </c>
      <c r="AB547" t="s">
        <v>479</v>
      </c>
      <c r="AC547" t="s">
        <v>192</v>
      </c>
      <c r="AD547" t="s">
        <v>182</v>
      </c>
      <c r="AE547" t="s">
        <v>183</v>
      </c>
      <c r="AF547">
        <v>0</v>
      </c>
    </row>
    <row r="548" spans="1:32">
      <c r="A548">
        <v>202</v>
      </c>
      <c r="B548">
        <v>924</v>
      </c>
      <c r="C548" t="s">
        <v>1706</v>
      </c>
      <c r="D548" t="s">
        <v>747</v>
      </c>
      <c r="E548" t="s">
        <v>2165</v>
      </c>
      <c r="F548" t="s">
        <v>193</v>
      </c>
      <c r="G548" t="s">
        <v>2113</v>
      </c>
      <c r="H548" t="s">
        <v>212</v>
      </c>
      <c r="I548" t="s">
        <v>212</v>
      </c>
      <c r="J548" t="s">
        <v>192</v>
      </c>
      <c r="K548" t="s">
        <v>1707</v>
      </c>
      <c r="L548" s="84">
        <v>43243</v>
      </c>
      <c r="M548" t="s">
        <v>381</v>
      </c>
      <c r="N548" t="s">
        <v>1699</v>
      </c>
      <c r="O548">
        <v>3</v>
      </c>
      <c r="P548" t="s">
        <v>1708</v>
      </c>
      <c r="Q548" t="s">
        <v>1709</v>
      </c>
      <c r="R548" t="s">
        <v>1710</v>
      </c>
      <c r="S548" t="s">
        <v>1711</v>
      </c>
      <c r="T548" t="s">
        <v>36</v>
      </c>
      <c r="U548" t="s">
        <v>80</v>
      </c>
      <c r="V548">
        <v>60</v>
      </c>
      <c r="W548">
        <v>81</v>
      </c>
      <c r="X548">
        <v>121</v>
      </c>
      <c r="Y548">
        <v>93</v>
      </c>
      <c r="Z548">
        <v>190</v>
      </c>
      <c r="AA548">
        <v>158</v>
      </c>
      <c r="AB548" t="s">
        <v>209</v>
      </c>
      <c r="AC548" t="s">
        <v>201</v>
      </c>
      <c r="AD548" t="s">
        <v>210</v>
      </c>
      <c r="AE548" t="s">
        <v>183</v>
      </c>
      <c r="AF548">
        <v>0</v>
      </c>
    </row>
    <row r="549" spans="1:32">
      <c r="A549">
        <v>202</v>
      </c>
      <c r="B549">
        <v>924</v>
      </c>
      <c r="C549" t="s">
        <v>1706</v>
      </c>
      <c r="D549" t="s">
        <v>747</v>
      </c>
      <c r="E549" t="s">
        <v>2165</v>
      </c>
      <c r="F549" t="s">
        <v>37</v>
      </c>
      <c r="G549" t="s">
        <v>2849</v>
      </c>
      <c r="H549" t="s">
        <v>212</v>
      </c>
      <c r="I549" t="s">
        <v>212</v>
      </c>
      <c r="J549" t="s">
        <v>212</v>
      </c>
      <c r="K549" t="s">
        <v>1707</v>
      </c>
      <c r="L549" s="84">
        <v>43243</v>
      </c>
      <c r="M549" t="s">
        <v>381</v>
      </c>
      <c r="N549" t="s">
        <v>1699</v>
      </c>
      <c r="O549">
        <v>3</v>
      </c>
      <c r="P549" t="s">
        <v>1708</v>
      </c>
      <c r="Q549" t="s">
        <v>1709</v>
      </c>
      <c r="R549" t="s">
        <v>1710</v>
      </c>
      <c r="S549" t="s">
        <v>1711</v>
      </c>
      <c r="T549" t="s">
        <v>37</v>
      </c>
      <c r="U549" t="s">
        <v>80</v>
      </c>
      <c r="V549">
        <v>60</v>
      </c>
      <c r="W549">
        <v>81</v>
      </c>
      <c r="X549">
        <v>121</v>
      </c>
      <c r="Y549">
        <v>93</v>
      </c>
      <c r="Z549">
        <v>190</v>
      </c>
      <c r="AA549">
        <v>158</v>
      </c>
      <c r="AB549" t="s">
        <v>209</v>
      </c>
      <c r="AC549" t="s">
        <v>201</v>
      </c>
      <c r="AD549" t="s">
        <v>210</v>
      </c>
      <c r="AE549" t="s">
        <v>183</v>
      </c>
      <c r="AF549">
        <v>0</v>
      </c>
    </row>
    <row r="550" spans="1:32">
      <c r="A550">
        <v>202</v>
      </c>
      <c r="B550">
        <v>924</v>
      </c>
      <c r="C550" t="s">
        <v>1706</v>
      </c>
      <c r="D550" t="s">
        <v>747</v>
      </c>
      <c r="E550" t="s">
        <v>2165</v>
      </c>
      <c r="F550" t="s">
        <v>197</v>
      </c>
      <c r="G550" t="s">
        <v>1374</v>
      </c>
      <c r="H550" t="s">
        <v>192</v>
      </c>
      <c r="I550" t="s">
        <v>192</v>
      </c>
      <c r="J550" t="s">
        <v>212</v>
      </c>
      <c r="K550" t="s">
        <v>1707</v>
      </c>
      <c r="L550" s="84">
        <v>43243</v>
      </c>
      <c r="M550" t="s">
        <v>381</v>
      </c>
      <c r="N550" t="s">
        <v>1699</v>
      </c>
      <c r="O550">
        <v>3</v>
      </c>
      <c r="P550" t="s">
        <v>1708</v>
      </c>
      <c r="Q550" t="s">
        <v>1709</v>
      </c>
      <c r="R550" t="s">
        <v>1710</v>
      </c>
      <c r="S550" t="s">
        <v>1711</v>
      </c>
      <c r="T550" t="s">
        <v>38</v>
      </c>
      <c r="U550" t="s">
        <v>80</v>
      </c>
      <c r="V550">
        <v>60</v>
      </c>
      <c r="W550">
        <v>81</v>
      </c>
      <c r="X550">
        <v>121</v>
      </c>
      <c r="Y550">
        <v>93</v>
      </c>
      <c r="Z550">
        <v>190</v>
      </c>
      <c r="AA550">
        <v>158</v>
      </c>
      <c r="AB550" t="s">
        <v>209</v>
      </c>
      <c r="AC550" t="s">
        <v>201</v>
      </c>
      <c r="AD550" t="s">
        <v>210</v>
      </c>
      <c r="AE550" t="s">
        <v>183</v>
      </c>
      <c r="AF550">
        <v>0</v>
      </c>
    </row>
    <row r="551" spans="1:32">
      <c r="A551">
        <v>202</v>
      </c>
      <c r="B551">
        <v>924</v>
      </c>
      <c r="C551" t="s">
        <v>1706</v>
      </c>
      <c r="D551" t="s">
        <v>747</v>
      </c>
      <c r="E551" t="s">
        <v>2165</v>
      </c>
      <c r="F551" t="s">
        <v>6</v>
      </c>
      <c r="G551" t="s">
        <v>763</v>
      </c>
      <c r="H551" t="s">
        <v>221</v>
      </c>
      <c r="I551" t="s">
        <v>187</v>
      </c>
      <c r="J551" t="s">
        <v>237</v>
      </c>
      <c r="K551" t="s">
        <v>1707</v>
      </c>
      <c r="L551" s="84">
        <v>43243</v>
      </c>
      <c r="M551" t="s">
        <v>381</v>
      </c>
      <c r="N551" t="s">
        <v>1699</v>
      </c>
      <c r="O551">
        <v>3</v>
      </c>
      <c r="P551" t="s">
        <v>1708</v>
      </c>
      <c r="Q551" t="s">
        <v>1709</v>
      </c>
      <c r="R551" t="s">
        <v>1710</v>
      </c>
      <c r="S551" t="s">
        <v>1711</v>
      </c>
      <c r="T551" t="s">
        <v>34</v>
      </c>
      <c r="U551" t="s">
        <v>80</v>
      </c>
      <c r="V551">
        <v>60</v>
      </c>
      <c r="W551">
        <v>81</v>
      </c>
      <c r="X551">
        <v>121</v>
      </c>
      <c r="Y551">
        <v>93</v>
      </c>
      <c r="Z551">
        <v>190</v>
      </c>
      <c r="AA551">
        <v>158</v>
      </c>
      <c r="AB551" t="s">
        <v>209</v>
      </c>
      <c r="AC551" t="s">
        <v>201</v>
      </c>
      <c r="AD551" t="s">
        <v>210</v>
      </c>
      <c r="AE551" t="s">
        <v>183</v>
      </c>
      <c r="AF551">
        <v>0</v>
      </c>
    </row>
    <row r="552" spans="1:32">
      <c r="A552">
        <v>202</v>
      </c>
      <c r="B552">
        <v>924</v>
      </c>
      <c r="C552" t="s">
        <v>1706</v>
      </c>
      <c r="D552" t="s">
        <v>747</v>
      </c>
      <c r="E552" t="s">
        <v>2165</v>
      </c>
      <c r="F552" t="s">
        <v>7</v>
      </c>
      <c r="G552" t="s">
        <v>766</v>
      </c>
      <c r="H552" t="s">
        <v>238</v>
      </c>
      <c r="I552" t="s">
        <v>215</v>
      </c>
      <c r="J552" t="s">
        <v>220</v>
      </c>
      <c r="K552" t="s">
        <v>1707</v>
      </c>
      <c r="L552" s="84">
        <v>43243</v>
      </c>
      <c r="M552" t="s">
        <v>381</v>
      </c>
      <c r="N552" t="s">
        <v>1699</v>
      </c>
      <c r="O552">
        <v>3</v>
      </c>
      <c r="P552" t="s">
        <v>1708</v>
      </c>
      <c r="Q552" t="s">
        <v>1709</v>
      </c>
      <c r="R552" t="s">
        <v>1710</v>
      </c>
      <c r="S552" t="s">
        <v>1711</v>
      </c>
      <c r="T552" t="s">
        <v>32</v>
      </c>
      <c r="U552" t="s">
        <v>80</v>
      </c>
      <c r="V552">
        <v>60</v>
      </c>
      <c r="W552">
        <v>81</v>
      </c>
      <c r="X552">
        <v>121</v>
      </c>
      <c r="Y552">
        <v>93</v>
      </c>
      <c r="Z552">
        <v>190</v>
      </c>
      <c r="AA552">
        <v>158</v>
      </c>
      <c r="AB552" t="s">
        <v>209</v>
      </c>
      <c r="AC552" t="s">
        <v>201</v>
      </c>
      <c r="AD552" t="s">
        <v>210</v>
      </c>
      <c r="AE552" t="s">
        <v>183</v>
      </c>
      <c r="AF552">
        <v>0</v>
      </c>
    </row>
    <row r="553" spans="1:32">
      <c r="A553">
        <v>202</v>
      </c>
      <c r="B553">
        <v>924</v>
      </c>
      <c r="C553" t="s">
        <v>1706</v>
      </c>
      <c r="D553" t="s">
        <v>747</v>
      </c>
      <c r="E553" t="s">
        <v>2165</v>
      </c>
      <c r="F553" t="s">
        <v>8</v>
      </c>
      <c r="G553" t="s">
        <v>765</v>
      </c>
      <c r="H553" t="s">
        <v>297</v>
      </c>
      <c r="I553" t="s">
        <v>237</v>
      </c>
      <c r="J553" t="s">
        <v>223</v>
      </c>
      <c r="K553" t="s">
        <v>1707</v>
      </c>
      <c r="L553" s="84">
        <v>43243</v>
      </c>
      <c r="M553" t="s">
        <v>381</v>
      </c>
      <c r="N553" t="s">
        <v>1699</v>
      </c>
      <c r="O553">
        <v>3</v>
      </c>
      <c r="P553" t="s">
        <v>1708</v>
      </c>
      <c r="Q553" t="s">
        <v>1709</v>
      </c>
      <c r="R553" t="s">
        <v>1710</v>
      </c>
      <c r="S553" t="s">
        <v>1711</v>
      </c>
      <c r="T553" t="s">
        <v>31</v>
      </c>
      <c r="U553" t="s">
        <v>80</v>
      </c>
      <c r="V553">
        <v>60</v>
      </c>
      <c r="W553">
        <v>81</v>
      </c>
      <c r="X553">
        <v>121</v>
      </c>
      <c r="Y553">
        <v>93</v>
      </c>
      <c r="Z553">
        <v>190</v>
      </c>
      <c r="AA553">
        <v>158</v>
      </c>
      <c r="AB553" t="s">
        <v>209</v>
      </c>
      <c r="AC553" t="s">
        <v>201</v>
      </c>
      <c r="AD553" t="s">
        <v>210</v>
      </c>
      <c r="AE553" t="s">
        <v>183</v>
      </c>
      <c r="AF553">
        <v>0</v>
      </c>
    </row>
    <row r="554" spans="1:32">
      <c r="A554">
        <v>202</v>
      </c>
      <c r="B554">
        <v>924</v>
      </c>
      <c r="C554" t="s">
        <v>1706</v>
      </c>
      <c r="D554" t="s">
        <v>747</v>
      </c>
      <c r="E554" t="s">
        <v>2165</v>
      </c>
      <c r="F554" t="s">
        <v>5</v>
      </c>
      <c r="G554" t="s">
        <v>764</v>
      </c>
      <c r="H554" t="s">
        <v>237</v>
      </c>
      <c r="I554" t="s">
        <v>212</v>
      </c>
      <c r="J554" t="s">
        <v>260</v>
      </c>
      <c r="K554" t="s">
        <v>1707</v>
      </c>
      <c r="L554" s="84">
        <v>43243</v>
      </c>
      <c r="M554" t="s">
        <v>381</v>
      </c>
      <c r="N554" t="s">
        <v>1699</v>
      </c>
      <c r="O554">
        <v>3</v>
      </c>
      <c r="P554" t="s">
        <v>1708</v>
      </c>
      <c r="Q554" t="s">
        <v>1709</v>
      </c>
      <c r="R554" t="s">
        <v>1710</v>
      </c>
      <c r="S554" t="s">
        <v>1711</v>
      </c>
      <c r="T554" t="s">
        <v>33</v>
      </c>
      <c r="U554" t="s">
        <v>80</v>
      </c>
      <c r="V554">
        <v>60</v>
      </c>
      <c r="W554">
        <v>81</v>
      </c>
      <c r="X554">
        <v>121</v>
      </c>
      <c r="Y554">
        <v>93</v>
      </c>
      <c r="Z554">
        <v>190</v>
      </c>
      <c r="AA554">
        <v>158</v>
      </c>
      <c r="AB554" t="s">
        <v>209</v>
      </c>
      <c r="AC554" t="s">
        <v>201</v>
      </c>
      <c r="AD554" t="s">
        <v>210</v>
      </c>
      <c r="AE554" t="s">
        <v>183</v>
      </c>
      <c r="AF554">
        <v>0</v>
      </c>
    </row>
    <row r="555" spans="1:32">
      <c r="A555">
        <v>203</v>
      </c>
      <c r="B555">
        <v>933</v>
      </c>
      <c r="C555" t="s">
        <v>1712</v>
      </c>
      <c r="D555" t="s">
        <v>747</v>
      </c>
      <c r="E555" t="s">
        <v>2165</v>
      </c>
      <c r="F555" t="s">
        <v>5</v>
      </c>
      <c r="G555" t="s">
        <v>776</v>
      </c>
      <c r="H555" t="s">
        <v>216</v>
      </c>
      <c r="I555" t="s">
        <v>215</v>
      </c>
      <c r="J555" t="s">
        <v>238</v>
      </c>
      <c r="K555" t="s">
        <v>1713</v>
      </c>
      <c r="L555" s="84">
        <v>42793</v>
      </c>
      <c r="M555" t="s">
        <v>381</v>
      </c>
      <c r="N555" t="s">
        <v>1714</v>
      </c>
      <c r="O555">
        <v>2</v>
      </c>
      <c r="P555" t="s">
        <v>1349</v>
      </c>
      <c r="Q555" t="s">
        <v>1350</v>
      </c>
      <c r="R555" t="s">
        <v>1715</v>
      </c>
      <c r="S555" t="s">
        <v>1716</v>
      </c>
      <c r="T555" t="s">
        <v>33</v>
      </c>
      <c r="U555" t="s">
        <v>79</v>
      </c>
      <c r="V555">
        <v>61</v>
      </c>
      <c r="W555">
        <v>81</v>
      </c>
      <c r="X555">
        <v>121</v>
      </c>
      <c r="Y555">
        <v>99</v>
      </c>
      <c r="Z555">
        <v>190</v>
      </c>
      <c r="AA555">
        <v>158</v>
      </c>
      <c r="AB555" t="s">
        <v>644</v>
      </c>
      <c r="AC555" t="s">
        <v>212</v>
      </c>
      <c r="AD555" t="s">
        <v>210</v>
      </c>
      <c r="AE555" t="s">
        <v>183</v>
      </c>
      <c r="AF555">
        <v>0</v>
      </c>
    </row>
    <row r="556" spans="1:32">
      <c r="A556">
        <v>203</v>
      </c>
      <c r="B556">
        <v>933</v>
      </c>
      <c r="C556" t="s">
        <v>1712</v>
      </c>
      <c r="D556" t="s">
        <v>747</v>
      </c>
      <c r="E556" t="s">
        <v>2165</v>
      </c>
      <c r="F556" t="s">
        <v>8</v>
      </c>
      <c r="G556" t="s">
        <v>775</v>
      </c>
      <c r="H556" t="s">
        <v>274</v>
      </c>
      <c r="I556" t="s">
        <v>228</v>
      </c>
      <c r="J556" t="s">
        <v>243</v>
      </c>
      <c r="K556" t="s">
        <v>1713</v>
      </c>
      <c r="L556" s="84">
        <v>42793</v>
      </c>
      <c r="M556" t="s">
        <v>381</v>
      </c>
      <c r="N556" t="s">
        <v>1714</v>
      </c>
      <c r="O556">
        <v>2</v>
      </c>
      <c r="P556" t="s">
        <v>1349</v>
      </c>
      <c r="Q556" t="s">
        <v>1350</v>
      </c>
      <c r="R556" t="s">
        <v>1715</v>
      </c>
      <c r="S556" t="s">
        <v>1716</v>
      </c>
      <c r="T556" t="s">
        <v>31</v>
      </c>
      <c r="U556" t="s">
        <v>79</v>
      </c>
      <c r="V556">
        <v>61</v>
      </c>
      <c r="W556">
        <v>81</v>
      </c>
      <c r="X556">
        <v>121</v>
      </c>
      <c r="Y556">
        <v>99</v>
      </c>
      <c r="Z556">
        <v>190</v>
      </c>
      <c r="AA556">
        <v>158</v>
      </c>
      <c r="AB556" t="s">
        <v>644</v>
      </c>
      <c r="AC556" t="s">
        <v>212</v>
      </c>
      <c r="AD556" t="s">
        <v>210</v>
      </c>
      <c r="AE556" t="s">
        <v>183</v>
      </c>
      <c r="AF556">
        <v>0</v>
      </c>
    </row>
    <row r="557" spans="1:32">
      <c r="A557">
        <v>203</v>
      </c>
      <c r="B557">
        <v>933</v>
      </c>
      <c r="C557" t="s">
        <v>1712</v>
      </c>
      <c r="D557" t="s">
        <v>747</v>
      </c>
      <c r="E557" t="s">
        <v>2165</v>
      </c>
      <c r="F557" t="s">
        <v>7</v>
      </c>
      <c r="G557" t="s">
        <v>768</v>
      </c>
      <c r="H557" t="s">
        <v>171</v>
      </c>
      <c r="I557" t="s">
        <v>297</v>
      </c>
      <c r="J557" t="s">
        <v>221</v>
      </c>
      <c r="K557" t="s">
        <v>1713</v>
      </c>
      <c r="L557" s="84">
        <v>42793</v>
      </c>
      <c r="M557" t="s">
        <v>381</v>
      </c>
      <c r="N557" t="s">
        <v>1714</v>
      </c>
      <c r="O557">
        <v>2</v>
      </c>
      <c r="P557" t="s">
        <v>1349</v>
      </c>
      <c r="Q557" t="s">
        <v>1350</v>
      </c>
      <c r="R557" t="s">
        <v>1715</v>
      </c>
      <c r="S557" t="s">
        <v>1716</v>
      </c>
      <c r="T557" t="s">
        <v>32</v>
      </c>
      <c r="U557" t="s">
        <v>79</v>
      </c>
      <c r="V557">
        <v>61</v>
      </c>
      <c r="W557">
        <v>81</v>
      </c>
      <c r="X557">
        <v>121</v>
      </c>
      <c r="Y557">
        <v>99</v>
      </c>
      <c r="Z557">
        <v>190</v>
      </c>
      <c r="AA557">
        <v>158</v>
      </c>
      <c r="AB557" t="s">
        <v>644</v>
      </c>
      <c r="AC557" t="s">
        <v>212</v>
      </c>
      <c r="AD557" t="s">
        <v>210</v>
      </c>
      <c r="AE557" t="s">
        <v>183</v>
      </c>
      <c r="AF557">
        <v>0</v>
      </c>
    </row>
    <row r="558" spans="1:32">
      <c r="A558">
        <v>203</v>
      </c>
      <c r="B558">
        <v>933</v>
      </c>
      <c r="C558" t="s">
        <v>1712</v>
      </c>
      <c r="D558" t="s">
        <v>747</v>
      </c>
      <c r="E558" t="s">
        <v>2165</v>
      </c>
      <c r="F558" t="s">
        <v>6</v>
      </c>
      <c r="G558" t="s">
        <v>777</v>
      </c>
      <c r="H558" t="s">
        <v>220</v>
      </c>
      <c r="I558" t="s">
        <v>216</v>
      </c>
      <c r="J558" t="s">
        <v>436</v>
      </c>
      <c r="K558" t="s">
        <v>1713</v>
      </c>
      <c r="L558" s="84">
        <v>42793</v>
      </c>
      <c r="M558" t="s">
        <v>381</v>
      </c>
      <c r="N558" t="s">
        <v>1714</v>
      </c>
      <c r="O558">
        <v>2</v>
      </c>
      <c r="P558" t="s">
        <v>1349</v>
      </c>
      <c r="Q558" t="s">
        <v>1350</v>
      </c>
      <c r="R558" t="s">
        <v>1715</v>
      </c>
      <c r="S558" t="s">
        <v>1716</v>
      </c>
      <c r="T558" t="s">
        <v>34</v>
      </c>
      <c r="U558" t="s">
        <v>79</v>
      </c>
      <c r="V558">
        <v>61</v>
      </c>
      <c r="W558">
        <v>81</v>
      </c>
      <c r="X558">
        <v>121</v>
      </c>
      <c r="Y558">
        <v>99</v>
      </c>
      <c r="Z558">
        <v>190</v>
      </c>
      <c r="AA558">
        <v>158</v>
      </c>
      <c r="AB558" t="s">
        <v>644</v>
      </c>
      <c r="AC558" t="s">
        <v>212</v>
      </c>
      <c r="AD558" t="s">
        <v>210</v>
      </c>
      <c r="AE558" t="s">
        <v>183</v>
      </c>
      <c r="AF558">
        <v>0</v>
      </c>
    </row>
    <row r="559" spans="1:32">
      <c r="A559">
        <v>203</v>
      </c>
      <c r="B559">
        <v>933</v>
      </c>
      <c r="C559" t="s">
        <v>1712</v>
      </c>
      <c r="D559" t="s">
        <v>747</v>
      </c>
      <c r="E559" t="s">
        <v>2165</v>
      </c>
      <c r="F559" t="s">
        <v>197</v>
      </c>
      <c r="G559" t="s">
        <v>1375</v>
      </c>
      <c r="H559" t="s">
        <v>192</v>
      </c>
      <c r="I559" t="s">
        <v>192</v>
      </c>
      <c r="J559" t="s">
        <v>192</v>
      </c>
      <c r="K559" t="s">
        <v>1713</v>
      </c>
      <c r="L559" s="84">
        <v>42793</v>
      </c>
      <c r="M559" t="s">
        <v>381</v>
      </c>
      <c r="N559" t="s">
        <v>1714</v>
      </c>
      <c r="O559">
        <v>2</v>
      </c>
      <c r="P559" t="s">
        <v>1349</v>
      </c>
      <c r="Q559" t="s">
        <v>1350</v>
      </c>
      <c r="R559" t="s">
        <v>1715</v>
      </c>
      <c r="S559" t="s">
        <v>1716</v>
      </c>
      <c r="T559" t="s">
        <v>38</v>
      </c>
      <c r="U559" t="s">
        <v>79</v>
      </c>
      <c r="V559">
        <v>61</v>
      </c>
      <c r="W559">
        <v>81</v>
      </c>
      <c r="X559">
        <v>121</v>
      </c>
      <c r="Y559">
        <v>99</v>
      </c>
      <c r="Z559">
        <v>190</v>
      </c>
      <c r="AA559">
        <v>158</v>
      </c>
      <c r="AB559" t="s">
        <v>644</v>
      </c>
      <c r="AC559" t="s">
        <v>212</v>
      </c>
      <c r="AD559" t="s">
        <v>210</v>
      </c>
      <c r="AE559" t="s">
        <v>183</v>
      </c>
      <c r="AF559">
        <v>0</v>
      </c>
    </row>
    <row r="560" spans="1:32">
      <c r="A560">
        <v>203</v>
      </c>
      <c r="B560">
        <v>933</v>
      </c>
      <c r="C560" t="s">
        <v>1712</v>
      </c>
      <c r="D560" t="s">
        <v>747</v>
      </c>
      <c r="E560" t="s">
        <v>2165</v>
      </c>
      <c r="F560" t="s">
        <v>37</v>
      </c>
      <c r="G560" t="s">
        <v>2850</v>
      </c>
      <c r="H560" t="s">
        <v>212</v>
      </c>
      <c r="I560" t="s">
        <v>212</v>
      </c>
      <c r="J560" t="s">
        <v>212</v>
      </c>
      <c r="K560" t="s">
        <v>1713</v>
      </c>
      <c r="L560" s="84">
        <v>42793</v>
      </c>
      <c r="M560" t="s">
        <v>381</v>
      </c>
      <c r="N560" t="s">
        <v>1714</v>
      </c>
      <c r="O560">
        <v>2</v>
      </c>
      <c r="P560" t="s">
        <v>1349</v>
      </c>
      <c r="Q560" t="s">
        <v>1350</v>
      </c>
      <c r="R560" t="s">
        <v>1715</v>
      </c>
      <c r="S560" t="s">
        <v>1716</v>
      </c>
      <c r="T560" t="s">
        <v>37</v>
      </c>
      <c r="U560" t="s">
        <v>79</v>
      </c>
      <c r="V560">
        <v>61</v>
      </c>
      <c r="W560">
        <v>81</v>
      </c>
      <c r="X560">
        <v>121</v>
      </c>
      <c r="Y560">
        <v>99</v>
      </c>
      <c r="Z560">
        <v>190</v>
      </c>
      <c r="AA560">
        <v>158</v>
      </c>
      <c r="AB560" t="s">
        <v>644</v>
      </c>
      <c r="AC560" t="s">
        <v>212</v>
      </c>
      <c r="AD560" t="s">
        <v>210</v>
      </c>
      <c r="AE560" t="s">
        <v>183</v>
      </c>
      <c r="AF560">
        <v>0</v>
      </c>
    </row>
    <row r="561" spans="1:32">
      <c r="A561">
        <v>203</v>
      </c>
      <c r="B561">
        <v>933</v>
      </c>
      <c r="C561" t="s">
        <v>1712</v>
      </c>
      <c r="D561" t="s">
        <v>747</v>
      </c>
      <c r="E561" t="s">
        <v>2165</v>
      </c>
      <c r="F561" t="s">
        <v>193</v>
      </c>
      <c r="G561" t="s">
        <v>2114</v>
      </c>
      <c r="H561" t="s">
        <v>212</v>
      </c>
      <c r="I561" t="s">
        <v>212</v>
      </c>
      <c r="J561" t="s">
        <v>192</v>
      </c>
      <c r="K561" t="s">
        <v>1713</v>
      </c>
      <c r="L561" s="84">
        <v>42793</v>
      </c>
      <c r="M561" t="s">
        <v>381</v>
      </c>
      <c r="N561" t="s">
        <v>1714</v>
      </c>
      <c r="O561">
        <v>2</v>
      </c>
      <c r="P561" t="s">
        <v>1349</v>
      </c>
      <c r="Q561" t="s">
        <v>1350</v>
      </c>
      <c r="R561" t="s">
        <v>1715</v>
      </c>
      <c r="S561" t="s">
        <v>1716</v>
      </c>
      <c r="T561" t="s">
        <v>36</v>
      </c>
      <c r="U561" t="s">
        <v>79</v>
      </c>
      <c r="V561">
        <v>61</v>
      </c>
      <c r="W561">
        <v>81</v>
      </c>
      <c r="X561">
        <v>121</v>
      </c>
      <c r="Y561">
        <v>99</v>
      </c>
      <c r="Z561">
        <v>190</v>
      </c>
      <c r="AA561">
        <v>158</v>
      </c>
      <c r="AB561" t="s">
        <v>644</v>
      </c>
      <c r="AC561" t="s">
        <v>212</v>
      </c>
      <c r="AD561" t="s">
        <v>210</v>
      </c>
      <c r="AE561" t="s">
        <v>183</v>
      </c>
      <c r="AF561">
        <v>0</v>
      </c>
    </row>
    <row r="562" spans="1:32">
      <c r="A562">
        <v>204</v>
      </c>
      <c r="B562">
        <v>874</v>
      </c>
      <c r="C562" t="s">
        <v>281</v>
      </c>
      <c r="D562" t="s">
        <v>747</v>
      </c>
      <c r="E562" t="s">
        <v>2165</v>
      </c>
      <c r="F562" t="s">
        <v>193</v>
      </c>
      <c r="G562" t="s">
        <v>2115</v>
      </c>
      <c r="H562" t="s">
        <v>212</v>
      </c>
      <c r="I562" t="s">
        <v>212</v>
      </c>
      <c r="J562" t="s">
        <v>212</v>
      </c>
      <c r="K562" t="s">
        <v>1717</v>
      </c>
      <c r="L562" s="84">
        <v>42913</v>
      </c>
      <c r="M562" t="s">
        <v>381</v>
      </c>
      <c r="N562" t="s">
        <v>542</v>
      </c>
      <c r="O562">
        <v>3</v>
      </c>
      <c r="P562" t="s">
        <v>1718</v>
      </c>
      <c r="Q562" t="s">
        <v>1719</v>
      </c>
      <c r="R562" t="s">
        <v>1720</v>
      </c>
      <c r="S562" t="s">
        <v>1721</v>
      </c>
      <c r="T562" t="s">
        <v>36</v>
      </c>
      <c r="U562" t="s">
        <v>80</v>
      </c>
      <c r="V562">
        <v>74</v>
      </c>
      <c r="W562">
        <v>81</v>
      </c>
      <c r="X562">
        <v>121</v>
      </c>
      <c r="Y562">
        <v>111</v>
      </c>
      <c r="Z562">
        <v>190</v>
      </c>
      <c r="AA562">
        <v>174</v>
      </c>
      <c r="AB562" t="s">
        <v>303</v>
      </c>
      <c r="AC562" t="s">
        <v>212</v>
      </c>
      <c r="AD562" t="s">
        <v>609</v>
      </c>
      <c r="AE562" t="s">
        <v>183</v>
      </c>
      <c r="AF562">
        <v>0</v>
      </c>
    </row>
    <row r="563" spans="1:32">
      <c r="A563">
        <v>204</v>
      </c>
      <c r="B563">
        <v>874</v>
      </c>
      <c r="C563" t="s">
        <v>281</v>
      </c>
      <c r="D563" t="s">
        <v>747</v>
      </c>
      <c r="E563" t="s">
        <v>2165</v>
      </c>
      <c r="F563" t="s">
        <v>37</v>
      </c>
      <c r="G563" t="s">
        <v>2851</v>
      </c>
      <c r="H563" t="s">
        <v>212</v>
      </c>
      <c r="I563" t="s">
        <v>212</v>
      </c>
      <c r="J563" t="s">
        <v>212</v>
      </c>
      <c r="K563" t="s">
        <v>1717</v>
      </c>
      <c r="L563" s="84">
        <v>42913</v>
      </c>
      <c r="M563" t="s">
        <v>381</v>
      </c>
      <c r="N563" t="s">
        <v>542</v>
      </c>
      <c r="O563">
        <v>3</v>
      </c>
      <c r="P563" t="s">
        <v>1718</v>
      </c>
      <c r="Q563" t="s">
        <v>1719</v>
      </c>
      <c r="R563" t="s">
        <v>1720</v>
      </c>
      <c r="S563" t="s">
        <v>1721</v>
      </c>
      <c r="T563" t="s">
        <v>37</v>
      </c>
      <c r="U563" t="s">
        <v>80</v>
      </c>
      <c r="V563">
        <v>74</v>
      </c>
      <c r="W563">
        <v>81</v>
      </c>
      <c r="X563">
        <v>121</v>
      </c>
      <c r="Y563">
        <v>111</v>
      </c>
      <c r="Z563">
        <v>190</v>
      </c>
      <c r="AA563">
        <v>174</v>
      </c>
      <c r="AB563" t="s">
        <v>303</v>
      </c>
      <c r="AC563" t="s">
        <v>212</v>
      </c>
      <c r="AD563" t="s">
        <v>609</v>
      </c>
      <c r="AE563" t="s">
        <v>183</v>
      </c>
      <c r="AF563">
        <v>0</v>
      </c>
    </row>
    <row r="564" spans="1:32">
      <c r="A564">
        <v>204</v>
      </c>
      <c r="B564">
        <v>874</v>
      </c>
      <c r="C564" t="s">
        <v>281</v>
      </c>
      <c r="D564" t="s">
        <v>747</v>
      </c>
      <c r="E564" t="s">
        <v>2165</v>
      </c>
      <c r="F564" t="s">
        <v>197</v>
      </c>
      <c r="G564" t="s">
        <v>1376</v>
      </c>
      <c r="H564" t="s">
        <v>192</v>
      </c>
      <c r="I564" t="s">
        <v>192</v>
      </c>
      <c r="J564" t="s">
        <v>223</v>
      </c>
      <c r="K564" t="s">
        <v>1717</v>
      </c>
      <c r="L564" s="84">
        <v>42913</v>
      </c>
      <c r="M564" t="s">
        <v>381</v>
      </c>
      <c r="N564" t="s">
        <v>542</v>
      </c>
      <c r="O564">
        <v>3</v>
      </c>
      <c r="P564" t="s">
        <v>1718</v>
      </c>
      <c r="Q564" t="s">
        <v>1719</v>
      </c>
      <c r="R564" t="s">
        <v>1720</v>
      </c>
      <c r="S564" t="s">
        <v>1721</v>
      </c>
      <c r="T564" t="s">
        <v>38</v>
      </c>
      <c r="U564" t="s">
        <v>80</v>
      </c>
      <c r="V564">
        <v>74</v>
      </c>
      <c r="W564">
        <v>81</v>
      </c>
      <c r="X564">
        <v>121</v>
      </c>
      <c r="Y564">
        <v>111</v>
      </c>
      <c r="Z564">
        <v>190</v>
      </c>
      <c r="AA564">
        <v>174</v>
      </c>
      <c r="AB564" t="s">
        <v>303</v>
      </c>
      <c r="AC564" t="s">
        <v>212</v>
      </c>
      <c r="AD564" t="s">
        <v>609</v>
      </c>
      <c r="AE564" t="s">
        <v>183</v>
      </c>
      <c r="AF564">
        <v>0</v>
      </c>
    </row>
    <row r="565" spans="1:32">
      <c r="A565">
        <v>204</v>
      </c>
      <c r="B565">
        <v>874</v>
      </c>
      <c r="C565" t="s">
        <v>281</v>
      </c>
      <c r="D565" t="s">
        <v>747</v>
      </c>
      <c r="E565" t="s">
        <v>2165</v>
      </c>
      <c r="F565" t="s">
        <v>6</v>
      </c>
      <c r="G565" t="s">
        <v>784</v>
      </c>
      <c r="H565" t="s">
        <v>237</v>
      </c>
      <c r="I565" t="s">
        <v>260</v>
      </c>
      <c r="J565" t="s">
        <v>238</v>
      </c>
      <c r="K565" t="s">
        <v>1717</v>
      </c>
      <c r="L565" s="84">
        <v>42913</v>
      </c>
      <c r="M565" t="s">
        <v>381</v>
      </c>
      <c r="N565" t="s">
        <v>542</v>
      </c>
      <c r="O565">
        <v>3</v>
      </c>
      <c r="P565" t="s">
        <v>1718</v>
      </c>
      <c r="Q565" t="s">
        <v>1719</v>
      </c>
      <c r="R565" t="s">
        <v>1720</v>
      </c>
      <c r="S565" t="s">
        <v>1721</v>
      </c>
      <c r="T565" t="s">
        <v>34</v>
      </c>
      <c r="U565" t="s">
        <v>80</v>
      </c>
      <c r="V565">
        <v>74</v>
      </c>
      <c r="W565">
        <v>81</v>
      </c>
      <c r="X565">
        <v>121</v>
      </c>
      <c r="Y565">
        <v>111</v>
      </c>
      <c r="Z565">
        <v>190</v>
      </c>
      <c r="AA565">
        <v>174</v>
      </c>
      <c r="AB565" t="s">
        <v>303</v>
      </c>
      <c r="AC565" t="s">
        <v>212</v>
      </c>
      <c r="AD565" t="s">
        <v>609</v>
      </c>
      <c r="AE565" t="s">
        <v>183</v>
      </c>
      <c r="AF565">
        <v>0</v>
      </c>
    </row>
    <row r="566" spans="1:32">
      <c r="A566">
        <v>204</v>
      </c>
      <c r="B566">
        <v>874</v>
      </c>
      <c r="C566" t="s">
        <v>281</v>
      </c>
      <c r="D566" t="s">
        <v>747</v>
      </c>
      <c r="E566" t="s">
        <v>2165</v>
      </c>
      <c r="F566" t="s">
        <v>7</v>
      </c>
      <c r="G566" t="s">
        <v>787</v>
      </c>
      <c r="H566" t="s">
        <v>191</v>
      </c>
      <c r="I566" t="s">
        <v>259</v>
      </c>
      <c r="J566" t="s">
        <v>236</v>
      </c>
      <c r="K566" t="s">
        <v>1717</v>
      </c>
      <c r="L566" s="84">
        <v>42913</v>
      </c>
      <c r="M566" t="s">
        <v>381</v>
      </c>
      <c r="N566" t="s">
        <v>542</v>
      </c>
      <c r="O566">
        <v>3</v>
      </c>
      <c r="P566" t="s">
        <v>1718</v>
      </c>
      <c r="Q566" t="s">
        <v>1719</v>
      </c>
      <c r="R566" t="s">
        <v>1720</v>
      </c>
      <c r="S566" t="s">
        <v>1721</v>
      </c>
      <c r="T566" t="s">
        <v>32</v>
      </c>
      <c r="U566" t="s">
        <v>80</v>
      </c>
      <c r="V566">
        <v>74</v>
      </c>
      <c r="W566">
        <v>81</v>
      </c>
      <c r="X566">
        <v>121</v>
      </c>
      <c r="Y566">
        <v>111</v>
      </c>
      <c r="Z566">
        <v>190</v>
      </c>
      <c r="AA566">
        <v>174</v>
      </c>
      <c r="AB566" t="s">
        <v>303</v>
      </c>
      <c r="AC566" t="s">
        <v>212</v>
      </c>
      <c r="AD566" t="s">
        <v>609</v>
      </c>
      <c r="AE566" t="s">
        <v>183</v>
      </c>
      <c r="AF566">
        <v>0</v>
      </c>
    </row>
    <row r="567" spans="1:32">
      <c r="A567">
        <v>204</v>
      </c>
      <c r="B567">
        <v>874</v>
      </c>
      <c r="C567" t="s">
        <v>281</v>
      </c>
      <c r="D567" t="s">
        <v>747</v>
      </c>
      <c r="E567" t="s">
        <v>2165</v>
      </c>
      <c r="F567" t="s">
        <v>8</v>
      </c>
      <c r="G567" t="s">
        <v>786</v>
      </c>
      <c r="H567" t="s">
        <v>238</v>
      </c>
      <c r="I567" t="s">
        <v>236</v>
      </c>
      <c r="J567" t="s">
        <v>256</v>
      </c>
      <c r="K567" t="s">
        <v>1717</v>
      </c>
      <c r="L567" s="84">
        <v>42913</v>
      </c>
      <c r="M567" t="s">
        <v>381</v>
      </c>
      <c r="N567" t="s">
        <v>542</v>
      </c>
      <c r="O567">
        <v>3</v>
      </c>
      <c r="P567" t="s">
        <v>1718</v>
      </c>
      <c r="Q567" t="s">
        <v>1719</v>
      </c>
      <c r="R567" t="s">
        <v>1720</v>
      </c>
      <c r="S567" t="s">
        <v>1721</v>
      </c>
      <c r="T567" t="s">
        <v>31</v>
      </c>
      <c r="U567" t="s">
        <v>80</v>
      </c>
      <c r="V567">
        <v>74</v>
      </c>
      <c r="W567">
        <v>81</v>
      </c>
      <c r="X567">
        <v>121</v>
      </c>
      <c r="Y567">
        <v>111</v>
      </c>
      <c r="Z567">
        <v>190</v>
      </c>
      <c r="AA567">
        <v>174</v>
      </c>
      <c r="AB567" t="s">
        <v>303</v>
      </c>
      <c r="AC567" t="s">
        <v>212</v>
      </c>
      <c r="AD567" t="s">
        <v>609</v>
      </c>
      <c r="AE567" t="s">
        <v>183</v>
      </c>
      <c r="AF567">
        <v>0</v>
      </c>
    </row>
    <row r="568" spans="1:32">
      <c r="A568">
        <v>204</v>
      </c>
      <c r="B568">
        <v>874</v>
      </c>
      <c r="C568" t="s">
        <v>281</v>
      </c>
      <c r="D568" t="s">
        <v>747</v>
      </c>
      <c r="E568" t="s">
        <v>2165</v>
      </c>
      <c r="F568" t="s">
        <v>5</v>
      </c>
      <c r="G568" t="s">
        <v>785</v>
      </c>
      <c r="H568" t="s">
        <v>185</v>
      </c>
      <c r="I568" t="s">
        <v>189</v>
      </c>
      <c r="J568" t="s">
        <v>259</v>
      </c>
      <c r="K568" t="s">
        <v>1717</v>
      </c>
      <c r="L568" s="84">
        <v>42913</v>
      </c>
      <c r="M568" t="s">
        <v>381</v>
      </c>
      <c r="N568" t="s">
        <v>542</v>
      </c>
      <c r="O568">
        <v>3</v>
      </c>
      <c r="P568" t="s">
        <v>1718</v>
      </c>
      <c r="Q568" t="s">
        <v>1719</v>
      </c>
      <c r="R568" t="s">
        <v>1720</v>
      </c>
      <c r="S568" t="s">
        <v>1721</v>
      </c>
      <c r="T568" t="s">
        <v>33</v>
      </c>
      <c r="U568" t="s">
        <v>80</v>
      </c>
      <c r="V568">
        <v>74</v>
      </c>
      <c r="W568">
        <v>81</v>
      </c>
      <c r="X568">
        <v>121</v>
      </c>
      <c r="Y568">
        <v>111</v>
      </c>
      <c r="Z568">
        <v>190</v>
      </c>
      <c r="AA568">
        <v>174</v>
      </c>
      <c r="AB568" t="s">
        <v>303</v>
      </c>
      <c r="AC568" t="s">
        <v>212</v>
      </c>
      <c r="AD568" t="s">
        <v>609</v>
      </c>
      <c r="AE568" t="s">
        <v>183</v>
      </c>
      <c r="AF568">
        <v>0</v>
      </c>
    </row>
    <row r="569" spans="1:32">
      <c r="A569">
        <v>205</v>
      </c>
      <c r="B569">
        <v>1052</v>
      </c>
      <c r="C569" t="s">
        <v>1722</v>
      </c>
      <c r="D569" t="s">
        <v>747</v>
      </c>
      <c r="E569" t="s">
        <v>2165</v>
      </c>
      <c r="F569" t="s">
        <v>5</v>
      </c>
      <c r="G569" t="s">
        <v>797</v>
      </c>
      <c r="H569" t="s">
        <v>171</v>
      </c>
      <c r="I569" t="s">
        <v>191</v>
      </c>
      <c r="J569" t="s">
        <v>256</v>
      </c>
      <c r="K569" t="s">
        <v>1723</v>
      </c>
      <c r="L569" s="84">
        <v>42526</v>
      </c>
      <c r="M569" t="s">
        <v>381</v>
      </c>
      <c r="N569" t="s">
        <v>1724</v>
      </c>
      <c r="O569">
        <v>9</v>
      </c>
      <c r="P569" t="s">
        <v>1725</v>
      </c>
      <c r="Q569" t="s">
        <v>1726</v>
      </c>
      <c r="R569" t="s">
        <v>2084</v>
      </c>
      <c r="S569" t="s">
        <v>2085</v>
      </c>
      <c r="T569" t="s">
        <v>33</v>
      </c>
      <c r="U569" t="s">
        <v>85</v>
      </c>
      <c r="V569">
        <v>40</v>
      </c>
      <c r="W569">
        <v>81</v>
      </c>
      <c r="X569">
        <v>121</v>
      </c>
      <c r="Y569">
        <v>69</v>
      </c>
      <c r="Z569">
        <v>190</v>
      </c>
      <c r="AA569">
        <v>109</v>
      </c>
      <c r="AB569" t="s">
        <v>234</v>
      </c>
      <c r="AC569" t="s">
        <v>192</v>
      </c>
      <c r="AD569" t="s">
        <v>210</v>
      </c>
      <c r="AE569" t="s">
        <v>183</v>
      </c>
      <c r="AF569">
        <v>2</v>
      </c>
    </row>
    <row r="570" spans="1:32">
      <c r="A570">
        <v>205</v>
      </c>
      <c r="B570">
        <v>1052</v>
      </c>
      <c r="C570" t="s">
        <v>1722</v>
      </c>
      <c r="D570" t="s">
        <v>747</v>
      </c>
      <c r="E570" t="s">
        <v>2165</v>
      </c>
      <c r="F570" t="s">
        <v>8</v>
      </c>
      <c r="G570" t="s">
        <v>796</v>
      </c>
      <c r="H570" t="s">
        <v>228</v>
      </c>
      <c r="I570" t="s">
        <v>330</v>
      </c>
      <c r="J570" t="s">
        <v>403</v>
      </c>
      <c r="K570" t="s">
        <v>1723</v>
      </c>
      <c r="L570" s="84">
        <v>42526</v>
      </c>
      <c r="M570" t="s">
        <v>381</v>
      </c>
      <c r="N570" t="s">
        <v>1724</v>
      </c>
      <c r="O570">
        <v>9</v>
      </c>
      <c r="P570" t="s">
        <v>1725</v>
      </c>
      <c r="Q570" t="s">
        <v>1726</v>
      </c>
      <c r="R570" t="s">
        <v>2084</v>
      </c>
      <c r="S570" t="s">
        <v>2085</v>
      </c>
      <c r="T570" t="s">
        <v>31</v>
      </c>
      <c r="U570" t="s">
        <v>85</v>
      </c>
      <c r="V570">
        <v>40</v>
      </c>
      <c r="W570">
        <v>81</v>
      </c>
      <c r="X570">
        <v>121</v>
      </c>
      <c r="Y570">
        <v>69</v>
      </c>
      <c r="Z570">
        <v>190</v>
      </c>
      <c r="AA570">
        <v>109</v>
      </c>
      <c r="AB570" t="s">
        <v>234</v>
      </c>
      <c r="AC570" t="s">
        <v>192</v>
      </c>
      <c r="AD570" t="s">
        <v>210</v>
      </c>
      <c r="AE570" t="s">
        <v>183</v>
      </c>
      <c r="AF570">
        <v>2</v>
      </c>
    </row>
    <row r="571" spans="1:32">
      <c r="A571">
        <v>205</v>
      </c>
      <c r="B571">
        <v>1052</v>
      </c>
      <c r="C571" t="s">
        <v>1722</v>
      </c>
      <c r="D571" t="s">
        <v>747</v>
      </c>
      <c r="E571" t="s">
        <v>2165</v>
      </c>
      <c r="F571" t="s">
        <v>7</v>
      </c>
      <c r="G571" t="s">
        <v>789</v>
      </c>
      <c r="H571" t="s">
        <v>376</v>
      </c>
      <c r="I571" t="s">
        <v>274</v>
      </c>
      <c r="J571" t="s">
        <v>188</v>
      </c>
      <c r="K571" t="s">
        <v>1723</v>
      </c>
      <c r="L571" s="84">
        <v>42526</v>
      </c>
      <c r="M571" t="s">
        <v>381</v>
      </c>
      <c r="N571" t="s">
        <v>1724</v>
      </c>
      <c r="O571">
        <v>9</v>
      </c>
      <c r="P571" t="s">
        <v>1725</v>
      </c>
      <c r="Q571" t="s">
        <v>1726</v>
      </c>
      <c r="R571" t="s">
        <v>2084</v>
      </c>
      <c r="S571" t="s">
        <v>2085</v>
      </c>
      <c r="T571" t="s">
        <v>32</v>
      </c>
      <c r="U571" t="s">
        <v>85</v>
      </c>
      <c r="V571">
        <v>40</v>
      </c>
      <c r="W571">
        <v>81</v>
      </c>
      <c r="X571">
        <v>121</v>
      </c>
      <c r="Y571">
        <v>69</v>
      </c>
      <c r="Z571">
        <v>190</v>
      </c>
      <c r="AA571">
        <v>109</v>
      </c>
      <c r="AB571" t="s">
        <v>234</v>
      </c>
      <c r="AC571" t="s">
        <v>192</v>
      </c>
      <c r="AD571" t="s">
        <v>210</v>
      </c>
      <c r="AE571" t="s">
        <v>183</v>
      </c>
      <c r="AF571">
        <v>2</v>
      </c>
    </row>
    <row r="572" spans="1:32">
      <c r="A572">
        <v>205</v>
      </c>
      <c r="B572">
        <v>1052</v>
      </c>
      <c r="C572" t="s">
        <v>1722</v>
      </c>
      <c r="D572" t="s">
        <v>747</v>
      </c>
      <c r="E572" t="s">
        <v>2165</v>
      </c>
      <c r="F572" t="s">
        <v>6</v>
      </c>
      <c r="G572" t="s">
        <v>798</v>
      </c>
      <c r="H572" t="s">
        <v>324</v>
      </c>
      <c r="I572" t="s">
        <v>243</v>
      </c>
      <c r="J572" t="s">
        <v>212</v>
      </c>
      <c r="K572" t="s">
        <v>1723</v>
      </c>
      <c r="L572" s="84">
        <v>42526</v>
      </c>
      <c r="M572" t="s">
        <v>381</v>
      </c>
      <c r="N572" t="s">
        <v>1724</v>
      </c>
      <c r="O572">
        <v>9</v>
      </c>
      <c r="P572" t="s">
        <v>1725</v>
      </c>
      <c r="Q572" t="s">
        <v>1726</v>
      </c>
      <c r="R572" t="s">
        <v>2084</v>
      </c>
      <c r="S572" t="s">
        <v>2085</v>
      </c>
      <c r="T572" t="s">
        <v>34</v>
      </c>
      <c r="U572" t="s">
        <v>85</v>
      </c>
      <c r="V572">
        <v>40</v>
      </c>
      <c r="W572">
        <v>81</v>
      </c>
      <c r="X572">
        <v>121</v>
      </c>
      <c r="Y572">
        <v>69</v>
      </c>
      <c r="Z572">
        <v>190</v>
      </c>
      <c r="AA572">
        <v>109</v>
      </c>
      <c r="AB572" t="s">
        <v>234</v>
      </c>
      <c r="AC572" t="s">
        <v>192</v>
      </c>
      <c r="AD572" t="s">
        <v>210</v>
      </c>
      <c r="AE572" t="s">
        <v>183</v>
      </c>
      <c r="AF572">
        <v>2</v>
      </c>
    </row>
    <row r="573" spans="1:32">
      <c r="A573">
        <v>205</v>
      </c>
      <c r="B573">
        <v>1052</v>
      </c>
      <c r="C573" t="s">
        <v>1722</v>
      </c>
      <c r="D573" t="s">
        <v>747</v>
      </c>
      <c r="E573" t="s">
        <v>2165</v>
      </c>
      <c r="F573" t="s">
        <v>197</v>
      </c>
      <c r="G573" t="s">
        <v>1377</v>
      </c>
      <c r="H573" t="s">
        <v>192</v>
      </c>
      <c r="I573" t="s">
        <v>192</v>
      </c>
      <c r="J573" t="s">
        <v>192</v>
      </c>
      <c r="K573" t="s">
        <v>1723</v>
      </c>
      <c r="L573" s="84">
        <v>42526</v>
      </c>
      <c r="M573" t="s">
        <v>381</v>
      </c>
      <c r="N573" t="s">
        <v>1724</v>
      </c>
      <c r="O573">
        <v>9</v>
      </c>
      <c r="P573" t="s">
        <v>1725</v>
      </c>
      <c r="Q573" t="s">
        <v>1726</v>
      </c>
      <c r="R573" t="s">
        <v>2084</v>
      </c>
      <c r="S573" t="s">
        <v>2085</v>
      </c>
      <c r="T573" t="s">
        <v>38</v>
      </c>
      <c r="U573" t="s">
        <v>85</v>
      </c>
      <c r="V573">
        <v>40</v>
      </c>
      <c r="W573">
        <v>81</v>
      </c>
      <c r="X573">
        <v>121</v>
      </c>
      <c r="Y573">
        <v>69</v>
      </c>
      <c r="Z573">
        <v>190</v>
      </c>
      <c r="AA573">
        <v>109</v>
      </c>
      <c r="AB573" t="s">
        <v>234</v>
      </c>
      <c r="AC573" t="s">
        <v>192</v>
      </c>
      <c r="AD573" t="s">
        <v>210</v>
      </c>
      <c r="AE573" t="s">
        <v>183</v>
      </c>
      <c r="AF573">
        <v>2</v>
      </c>
    </row>
    <row r="574" spans="1:32">
      <c r="A574">
        <v>205</v>
      </c>
      <c r="B574">
        <v>1052</v>
      </c>
      <c r="C574" t="s">
        <v>1722</v>
      </c>
      <c r="D574" t="s">
        <v>747</v>
      </c>
      <c r="E574" t="s">
        <v>2165</v>
      </c>
      <c r="F574" t="s">
        <v>37</v>
      </c>
      <c r="G574" t="s">
        <v>2852</v>
      </c>
      <c r="H574" t="s">
        <v>212</v>
      </c>
      <c r="I574" t="s">
        <v>212</v>
      </c>
      <c r="J574" t="s">
        <v>212</v>
      </c>
      <c r="K574" t="s">
        <v>1723</v>
      </c>
      <c r="L574" s="84">
        <v>42526</v>
      </c>
      <c r="M574" t="s">
        <v>381</v>
      </c>
      <c r="N574" t="s">
        <v>1724</v>
      </c>
      <c r="O574">
        <v>9</v>
      </c>
      <c r="P574" t="s">
        <v>1725</v>
      </c>
      <c r="Q574" t="s">
        <v>1726</v>
      </c>
      <c r="R574" t="s">
        <v>2084</v>
      </c>
      <c r="S574" t="s">
        <v>2085</v>
      </c>
      <c r="T574" t="s">
        <v>37</v>
      </c>
      <c r="U574" t="s">
        <v>85</v>
      </c>
      <c r="V574">
        <v>40</v>
      </c>
      <c r="W574">
        <v>81</v>
      </c>
      <c r="X574">
        <v>121</v>
      </c>
      <c r="Y574">
        <v>69</v>
      </c>
      <c r="Z574">
        <v>190</v>
      </c>
      <c r="AA574">
        <v>109</v>
      </c>
      <c r="AB574" t="s">
        <v>234</v>
      </c>
      <c r="AC574" t="s">
        <v>192</v>
      </c>
      <c r="AD574" t="s">
        <v>210</v>
      </c>
      <c r="AE574" t="s">
        <v>183</v>
      </c>
      <c r="AF574">
        <v>2</v>
      </c>
    </row>
    <row r="575" spans="1:32">
      <c r="A575">
        <v>205</v>
      </c>
      <c r="B575">
        <v>1052</v>
      </c>
      <c r="C575" t="s">
        <v>1722</v>
      </c>
      <c r="D575" t="s">
        <v>747</v>
      </c>
      <c r="E575" t="s">
        <v>2165</v>
      </c>
      <c r="F575" t="s">
        <v>193</v>
      </c>
      <c r="G575" t="s">
        <v>2116</v>
      </c>
      <c r="H575" t="s">
        <v>212</v>
      </c>
      <c r="I575" t="s">
        <v>212</v>
      </c>
      <c r="J575" t="s">
        <v>212</v>
      </c>
      <c r="K575" t="s">
        <v>1723</v>
      </c>
      <c r="L575" s="84">
        <v>42526</v>
      </c>
      <c r="M575" t="s">
        <v>381</v>
      </c>
      <c r="N575" t="s">
        <v>1724</v>
      </c>
      <c r="O575">
        <v>9</v>
      </c>
      <c r="P575" t="s">
        <v>1725</v>
      </c>
      <c r="Q575" t="s">
        <v>1726</v>
      </c>
      <c r="R575" t="s">
        <v>2084</v>
      </c>
      <c r="S575" t="s">
        <v>2085</v>
      </c>
      <c r="T575" t="s">
        <v>36</v>
      </c>
      <c r="U575" t="s">
        <v>85</v>
      </c>
      <c r="V575">
        <v>40</v>
      </c>
      <c r="W575">
        <v>81</v>
      </c>
      <c r="X575">
        <v>121</v>
      </c>
      <c r="Y575">
        <v>69</v>
      </c>
      <c r="Z575">
        <v>190</v>
      </c>
      <c r="AA575">
        <v>109</v>
      </c>
      <c r="AB575" t="s">
        <v>234</v>
      </c>
      <c r="AC575" t="s">
        <v>192</v>
      </c>
      <c r="AD575" t="s">
        <v>210</v>
      </c>
      <c r="AE575" t="s">
        <v>183</v>
      </c>
      <c r="AF575">
        <v>2</v>
      </c>
    </row>
    <row r="576" spans="1:32">
      <c r="A576">
        <v>206</v>
      </c>
      <c r="B576">
        <v>1021</v>
      </c>
      <c r="C576" t="s">
        <v>1727</v>
      </c>
      <c r="D576" t="s">
        <v>747</v>
      </c>
      <c r="E576" t="s">
        <v>2165</v>
      </c>
      <c r="F576" t="s">
        <v>193</v>
      </c>
      <c r="G576" t="s">
        <v>2117</v>
      </c>
      <c r="H576" t="s">
        <v>212</v>
      </c>
      <c r="I576" t="s">
        <v>212</v>
      </c>
      <c r="J576" t="s">
        <v>212</v>
      </c>
      <c r="K576" t="s">
        <v>1728</v>
      </c>
      <c r="L576" s="84">
        <v>43060</v>
      </c>
      <c r="M576" t="s">
        <v>381</v>
      </c>
      <c r="N576" t="s">
        <v>1729</v>
      </c>
      <c r="O576">
        <v>2</v>
      </c>
      <c r="P576" t="s">
        <v>2086</v>
      </c>
      <c r="Q576" t="s">
        <v>1730</v>
      </c>
      <c r="R576" t="s">
        <v>2087</v>
      </c>
      <c r="S576" t="s">
        <v>2088</v>
      </c>
      <c r="T576" t="s">
        <v>36</v>
      </c>
      <c r="U576" t="s">
        <v>79</v>
      </c>
      <c r="V576">
        <v>77</v>
      </c>
      <c r="W576">
        <v>81</v>
      </c>
      <c r="X576">
        <v>121</v>
      </c>
      <c r="Y576">
        <v>103</v>
      </c>
      <c r="Z576">
        <v>190</v>
      </c>
      <c r="AA576">
        <v>170</v>
      </c>
      <c r="AB576" t="s">
        <v>2111</v>
      </c>
      <c r="AC576" t="s">
        <v>173</v>
      </c>
      <c r="AD576" t="s">
        <v>210</v>
      </c>
      <c r="AE576" t="s">
        <v>183</v>
      </c>
      <c r="AF576">
        <v>0</v>
      </c>
    </row>
    <row r="577" spans="1:32">
      <c r="A577">
        <v>206</v>
      </c>
      <c r="B577">
        <v>1021</v>
      </c>
      <c r="C577" t="s">
        <v>1727</v>
      </c>
      <c r="D577" t="s">
        <v>747</v>
      </c>
      <c r="E577" t="s">
        <v>2165</v>
      </c>
      <c r="F577" t="s">
        <v>37</v>
      </c>
      <c r="G577" t="s">
        <v>2853</v>
      </c>
      <c r="H577" t="s">
        <v>212</v>
      </c>
      <c r="I577" t="s">
        <v>212</v>
      </c>
      <c r="J577" t="s">
        <v>212</v>
      </c>
      <c r="K577" t="s">
        <v>1728</v>
      </c>
      <c r="L577" s="84">
        <v>43060</v>
      </c>
      <c r="M577" t="s">
        <v>381</v>
      </c>
      <c r="N577" t="s">
        <v>1729</v>
      </c>
      <c r="O577">
        <v>2</v>
      </c>
      <c r="P577" t="s">
        <v>2086</v>
      </c>
      <c r="Q577" t="s">
        <v>1730</v>
      </c>
      <c r="R577" t="s">
        <v>2087</v>
      </c>
      <c r="S577" t="s">
        <v>2088</v>
      </c>
      <c r="T577" t="s">
        <v>37</v>
      </c>
      <c r="U577" t="s">
        <v>79</v>
      </c>
      <c r="V577">
        <v>77</v>
      </c>
      <c r="W577">
        <v>81</v>
      </c>
      <c r="X577">
        <v>121</v>
      </c>
      <c r="Y577">
        <v>103</v>
      </c>
      <c r="Z577">
        <v>190</v>
      </c>
      <c r="AA577">
        <v>170</v>
      </c>
      <c r="AB577" t="s">
        <v>2111</v>
      </c>
      <c r="AC577" t="s">
        <v>173</v>
      </c>
      <c r="AD577" t="s">
        <v>210</v>
      </c>
      <c r="AE577" t="s">
        <v>183</v>
      </c>
      <c r="AF577">
        <v>0</v>
      </c>
    </row>
    <row r="578" spans="1:32">
      <c r="A578">
        <v>206</v>
      </c>
      <c r="B578">
        <v>1021</v>
      </c>
      <c r="C578" t="s">
        <v>1727</v>
      </c>
      <c r="D578" t="s">
        <v>747</v>
      </c>
      <c r="E578" t="s">
        <v>2165</v>
      </c>
      <c r="F578" t="s">
        <v>197</v>
      </c>
      <c r="G578" t="s">
        <v>1378</v>
      </c>
      <c r="H578" t="s">
        <v>192</v>
      </c>
      <c r="I578" t="s">
        <v>188</v>
      </c>
      <c r="J578" t="s">
        <v>192</v>
      </c>
      <c r="K578" t="s">
        <v>1728</v>
      </c>
      <c r="L578" s="84">
        <v>43060</v>
      </c>
      <c r="M578" t="s">
        <v>381</v>
      </c>
      <c r="N578" t="s">
        <v>1729</v>
      </c>
      <c r="O578">
        <v>2</v>
      </c>
      <c r="P578" t="s">
        <v>2086</v>
      </c>
      <c r="Q578" t="s">
        <v>1730</v>
      </c>
      <c r="R578" t="s">
        <v>2087</v>
      </c>
      <c r="S578" t="s">
        <v>2088</v>
      </c>
      <c r="T578" t="s">
        <v>38</v>
      </c>
      <c r="U578" t="s">
        <v>79</v>
      </c>
      <c r="V578">
        <v>77</v>
      </c>
      <c r="W578">
        <v>81</v>
      </c>
      <c r="X578">
        <v>121</v>
      </c>
      <c r="Y578">
        <v>103</v>
      </c>
      <c r="Z578">
        <v>190</v>
      </c>
      <c r="AA578">
        <v>170</v>
      </c>
      <c r="AB578" t="s">
        <v>2111</v>
      </c>
      <c r="AC578" t="s">
        <v>173</v>
      </c>
      <c r="AD578" t="s">
        <v>210</v>
      </c>
      <c r="AE578" t="s">
        <v>183</v>
      </c>
      <c r="AF578">
        <v>0</v>
      </c>
    </row>
    <row r="579" spans="1:32">
      <c r="A579">
        <v>206</v>
      </c>
      <c r="B579">
        <v>1021</v>
      </c>
      <c r="C579" t="s">
        <v>1727</v>
      </c>
      <c r="D579" t="s">
        <v>747</v>
      </c>
      <c r="E579" t="s">
        <v>2165</v>
      </c>
      <c r="F579" t="s">
        <v>6</v>
      </c>
      <c r="G579" t="s">
        <v>806</v>
      </c>
      <c r="H579" t="s">
        <v>275</v>
      </c>
      <c r="I579" t="s">
        <v>236</v>
      </c>
      <c r="J579" t="s">
        <v>239</v>
      </c>
      <c r="K579" t="s">
        <v>1728</v>
      </c>
      <c r="L579" s="84">
        <v>43060</v>
      </c>
      <c r="M579" t="s">
        <v>381</v>
      </c>
      <c r="N579" t="s">
        <v>1729</v>
      </c>
      <c r="O579">
        <v>2</v>
      </c>
      <c r="P579" t="s">
        <v>2086</v>
      </c>
      <c r="Q579" t="s">
        <v>1730</v>
      </c>
      <c r="R579" t="s">
        <v>2087</v>
      </c>
      <c r="S579" t="s">
        <v>2088</v>
      </c>
      <c r="T579" t="s">
        <v>34</v>
      </c>
      <c r="U579" t="s">
        <v>79</v>
      </c>
      <c r="V579">
        <v>77</v>
      </c>
      <c r="W579">
        <v>81</v>
      </c>
      <c r="X579">
        <v>121</v>
      </c>
      <c r="Y579">
        <v>103</v>
      </c>
      <c r="Z579">
        <v>190</v>
      </c>
      <c r="AA579">
        <v>170</v>
      </c>
      <c r="AB579" t="s">
        <v>2111</v>
      </c>
      <c r="AC579" t="s">
        <v>173</v>
      </c>
      <c r="AD579" t="s">
        <v>210</v>
      </c>
      <c r="AE579" t="s">
        <v>183</v>
      </c>
      <c r="AF579">
        <v>0</v>
      </c>
    </row>
    <row r="580" spans="1:32">
      <c r="A580">
        <v>206</v>
      </c>
      <c r="B580">
        <v>1021</v>
      </c>
      <c r="C580" t="s">
        <v>1727</v>
      </c>
      <c r="D580" t="s">
        <v>747</v>
      </c>
      <c r="E580" t="s">
        <v>2165</v>
      </c>
      <c r="F580" t="s">
        <v>7</v>
      </c>
      <c r="G580" t="s">
        <v>809</v>
      </c>
      <c r="H580" t="s">
        <v>259</v>
      </c>
      <c r="I580" t="s">
        <v>239</v>
      </c>
      <c r="J580" t="s">
        <v>217</v>
      </c>
      <c r="K580" t="s">
        <v>1728</v>
      </c>
      <c r="L580" s="84">
        <v>43060</v>
      </c>
      <c r="M580" t="s">
        <v>381</v>
      </c>
      <c r="N580" t="s">
        <v>1729</v>
      </c>
      <c r="O580">
        <v>2</v>
      </c>
      <c r="P580" t="s">
        <v>2086</v>
      </c>
      <c r="Q580" t="s">
        <v>1730</v>
      </c>
      <c r="R580" t="s">
        <v>2087</v>
      </c>
      <c r="S580" t="s">
        <v>2088</v>
      </c>
      <c r="T580" t="s">
        <v>32</v>
      </c>
      <c r="U580" t="s">
        <v>79</v>
      </c>
      <c r="V580">
        <v>77</v>
      </c>
      <c r="W580">
        <v>81</v>
      </c>
      <c r="X580">
        <v>121</v>
      </c>
      <c r="Y580">
        <v>103</v>
      </c>
      <c r="Z580">
        <v>190</v>
      </c>
      <c r="AA580">
        <v>170</v>
      </c>
      <c r="AB580" t="s">
        <v>2111</v>
      </c>
      <c r="AC580" t="s">
        <v>173</v>
      </c>
      <c r="AD580" t="s">
        <v>210</v>
      </c>
      <c r="AE580" t="s">
        <v>183</v>
      </c>
      <c r="AF580">
        <v>0</v>
      </c>
    </row>
    <row r="581" spans="1:32">
      <c r="A581">
        <v>206</v>
      </c>
      <c r="B581">
        <v>1021</v>
      </c>
      <c r="C581" t="s">
        <v>1727</v>
      </c>
      <c r="D581" t="s">
        <v>747</v>
      </c>
      <c r="E581" t="s">
        <v>2165</v>
      </c>
      <c r="F581" t="s">
        <v>8</v>
      </c>
      <c r="G581" t="s">
        <v>808</v>
      </c>
      <c r="H581" t="s">
        <v>497</v>
      </c>
      <c r="I581" t="s">
        <v>220</v>
      </c>
      <c r="J581" t="s">
        <v>218</v>
      </c>
      <c r="K581" t="s">
        <v>1728</v>
      </c>
      <c r="L581" s="84">
        <v>43060</v>
      </c>
      <c r="M581" t="s">
        <v>381</v>
      </c>
      <c r="N581" t="s">
        <v>1729</v>
      </c>
      <c r="O581">
        <v>2</v>
      </c>
      <c r="P581" t="s">
        <v>2086</v>
      </c>
      <c r="Q581" t="s">
        <v>1730</v>
      </c>
      <c r="R581" t="s">
        <v>2087</v>
      </c>
      <c r="S581" t="s">
        <v>2088</v>
      </c>
      <c r="T581" t="s">
        <v>31</v>
      </c>
      <c r="U581" t="s">
        <v>79</v>
      </c>
      <c r="V581">
        <v>77</v>
      </c>
      <c r="W581">
        <v>81</v>
      </c>
      <c r="X581">
        <v>121</v>
      </c>
      <c r="Y581">
        <v>103</v>
      </c>
      <c r="Z581">
        <v>190</v>
      </c>
      <c r="AA581">
        <v>170</v>
      </c>
      <c r="AB581" t="s">
        <v>2111</v>
      </c>
      <c r="AC581" t="s">
        <v>173</v>
      </c>
      <c r="AD581" t="s">
        <v>210</v>
      </c>
      <c r="AE581" t="s">
        <v>183</v>
      </c>
      <c r="AF581">
        <v>0</v>
      </c>
    </row>
    <row r="582" spans="1:32">
      <c r="A582">
        <v>206</v>
      </c>
      <c r="B582">
        <v>1021</v>
      </c>
      <c r="C582" t="s">
        <v>1727</v>
      </c>
      <c r="D582" t="s">
        <v>747</v>
      </c>
      <c r="E582" t="s">
        <v>2165</v>
      </c>
      <c r="F582" t="s">
        <v>5</v>
      </c>
      <c r="G582" t="s">
        <v>807</v>
      </c>
      <c r="H582" t="s">
        <v>275</v>
      </c>
      <c r="I582" t="s">
        <v>239</v>
      </c>
      <c r="J582" t="s">
        <v>217</v>
      </c>
      <c r="K582" t="s">
        <v>1728</v>
      </c>
      <c r="L582" s="84">
        <v>43060</v>
      </c>
      <c r="M582" t="s">
        <v>381</v>
      </c>
      <c r="N582" t="s">
        <v>1729</v>
      </c>
      <c r="O582">
        <v>2</v>
      </c>
      <c r="P582" t="s">
        <v>2086</v>
      </c>
      <c r="Q582" t="s">
        <v>1730</v>
      </c>
      <c r="R582" t="s">
        <v>2087</v>
      </c>
      <c r="S582" t="s">
        <v>2088</v>
      </c>
      <c r="T582" t="s">
        <v>33</v>
      </c>
      <c r="U582" t="s">
        <v>79</v>
      </c>
      <c r="V582">
        <v>77</v>
      </c>
      <c r="W582">
        <v>81</v>
      </c>
      <c r="X582">
        <v>121</v>
      </c>
      <c r="Y582">
        <v>103</v>
      </c>
      <c r="Z582">
        <v>190</v>
      </c>
      <c r="AA582">
        <v>170</v>
      </c>
      <c r="AB582" t="s">
        <v>2111</v>
      </c>
      <c r="AC582" t="s">
        <v>173</v>
      </c>
      <c r="AD582" t="s">
        <v>210</v>
      </c>
      <c r="AE582" t="s">
        <v>183</v>
      </c>
      <c r="AF582">
        <v>0</v>
      </c>
    </row>
    <row r="583" spans="1:32">
      <c r="A583">
        <v>207</v>
      </c>
      <c r="B583">
        <v>884</v>
      </c>
      <c r="C583" t="s">
        <v>1731</v>
      </c>
      <c r="D583" t="s">
        <v>747</v>
      </c>
      <c r="E583" t="s">
        <v>2165</v>
      </c>
      <c r="F583" t="s">
        <v>5</v>
      </c>
      <c r="G583" t="s">
        <v>819</v>
      </c>
      <c r="H583" t="s">
        <v>212</v>
      </c>
      <c r="I583" t="s">
        <v>238</v>
      </c>
      <c r="J583" t="s">
        <v>239</v>
      </c>
      <c r="K583" t="s">
        <v>1732</v>
      </c>
      <c r="L583" s="84">
        <v>42005</v>
      </c>
      <c r="M583" t="s">
        <v>381</v>
      </c>
      <c r="N583" t="s">
        <v>1733</v>
      </c>
      <c r="O583">
        <v>3</v>
      </c>
      <c r="P583" t="s">
        <v>802</v>
      </c>
      <c r="Q583" t="s">
        <v>803</v>
      </c>
      <c r="R583" t="s">
        <v>1734</v>
      </c>
      <c r="S583" t="s">
        <v>1721</v>
      </c>
      <c r="T583" t="s">
        <v>33</v>
      </c>
      <c r="U583" t="s">
        <v>80</v>
      </c>
      <c r="V583">
        <v>63</v>
      </c>
      <c r="W583">
        <v>81</v>
      </c>
      <c r="X583">
        <v>121</v>
      </c>
      <c r="Y583">
        <v>100</v>
      </c>
      <c r="Z583">
        <v>190</v>
      </c>
      <c r="AA583">
        <v>159</v>
      </c>
      <c r="AB583" t="s">
        <v>1348</v>
      </c>
      <c r="AC583" t="s">
        <v>236</v>
      </c>
      <c r="AD583" t="s">
        <v>210</v>
      </c>
      <c r="AE583" t="s">
        <v>183</v>
      </c>
      <c r="AF583">
        <v>0</v>
      </c>
    </row>
    <row r="584" spans="1:32">
      <c r="A584">
        <v>207</v>
      </c>
      <c r="B584">
        <v>884</v>
      </c>
      <c r="C584" t="s">
        <v>1731</v>
      </c>
      <c r="D584" t="s">
        <v>747</v>
      </c>
      <c r="E584" t="s">
        <v>2165</v>
      </c>
      <c r="F584" t="s">
        <v>8</v>
      </c>
      <c r="G584" t="s">
        <v>818</v>
      </c>
      <c r="H584" t="s">
        <v>220</v>
      </c>
      <c r="I584" t="s">
        <v>237</v>
      </c>
      <c r="J584" t="s">
        <v>173</v>
      </c>
      <c r="K584" t="s">
        <v>1732</v>
      </c>
      <c r="L584" s="84">
        <v>42005</v>
      </c>
      <c r="M584" t="s">
        <v>381</v>
      </c>
      <c r="N584" t="s">
        <v>1733</v>
      </c>
      <c r="O584">
        <v>3</v>
      </c>
      <c r="P584" t="s">
        <v>802</v>
      </c>
      <c r="Q584" t="s">
        <v>803</v>
      </c>
      <c r="R584" t="s">
        <v>1734</v>
      </c>
      <c r="S584" t="s">
        <v>1721</v>
      </c>
      <c r="T584" t="s">
        <v>31</v>
      </c>
      <c r="U584" t="s">
        <v>80</v>
      </c>
      <c r="V584">
        <v>63</v>
      </c>
      <c r="W584">
        <v>81</v>
      </c>
      <c r="X584">
        <v>121</v>
      </c>
      <c r="Y584">
        <v>100</v>
      </c>
      <c r="Z584">
        <v>190</v>
      </c>
      <c r="AA584">
        <v>159</v>
      </c>
      <c r="AB584" t="s">
        <v>1348</v>
      </c>
      <c r="AC584" t="s">
        <v>236</v>
      </c>
      <c r="AD584" t="s">
        <v>210</v>
      </c>
      <c r="AE584" t="s">
        <v>183</v>
      </c>
      <c r="AF584">
        <v>0</v>
      </c>
    </row>
    <row r="585" spans="1:32">
      <c r="A585">
        <v>207</v>
      </c>
      <c r="B585">
        <v>884</v>
      </c>
      <c r="C585" t="s">
        <v>1731</v>
      </c>
      <c r="D585" t="s">
        <v>747</v>
      </c>
      <c r="E585" t="s">
        <v>2165</v>
      </c>
      <c r="F585" t="s">
        <v>7</v>
      </c>
      <c r="G585" t="s">
        <v>811</v>
      </c>
      <c r="H585" t="s">
        <v>256</v>
      </c>
      <c r="I585" t="s">
        <v>275</v>
      </c>
      <c r="J585" t="s">
        <v>237</v>
      </c>
      <c r="K585" t="s">
        <v>1732</v>
      </c>
      <c r="L585" s="84">
        <v>42005</v>
      </c>
      <c r="M585" t="s">
        <v>381</v>
      </c>
      <c r="N585" t="s">
        <v>1733</v>
      </c>
      <c r="O585">
        <v>3</v>
      </c>
      <c r="P585" t="s">
        <v>802</v>
      </c>
      <c r="Q585" t="s">
        <v>803</v>
      </c>
      <c r="R585" t="s">
        <v>1734</v>
      </c>
      <c r="S585" t="s">
        <v>1721</v>
      </c>
      <c r="T585" t="s">
        <v>32</v>
      </c>
      <c r="U585" t="s">
        <v>80</v>
      </c>
      <c r="V585">
        <v>63</v>
      </c>
      <c r="W585">
        <v>81</v>
      </c>
      <c r="X585">
        <v>121</v>
      </c>
      <c r="Y585">
        <v>100</v>
      </c>
      <c r="Z585">
        <v>190</v>
      </c>
      <c r="AA585">
        <v>159</v>
      </c>
      <c r="AB585" t="s">
        <v>1348</v>
      </c>
      <c r="AC585" t="s">
        <v>236</v>
      </c>
      <c r="AD585" t="s">
        <v>210</v>
      </c>
      <c r="AE585" t="s">
        <v>183</v>
      </c>
      <c r="AF585">
        <v>0</v>
      </c>
    </row>
    <row r="586" spans="1:32">
      <c r="A586">
        <v>207</v>
      </c>
      <c r="B586">
        <v>884</v>
      </c>
      <c r="C586" t="s">
        <v>1731</v>
      </c>
      <c r="D586" t="s">
        <v>747</v>
      </c>
      <c r="E586" t="s">
        <v>2165</v>
      </c>
      <c r="F586" t="s">
        <v>6</v>
      </c>
      <c r="G586" t="s">
        <v>820</v>
      </c>
      <c r="H586" t="s">
        <v>228</v>
      </c>
      <c r="I586" t="s">
        <v>191</v>
      </c>
      <c r="J586" t="s">
        <v>228</v>
      </c>
      <c r="K586" t="s">
        <v>1732</v>
      </c>
      <c r="L586" s="84">
        <v>42005</v>
      </c>
      <c r="M586" t="s">
        <v>381</v>
      </c>
      <c r="N586" t="s">
        <v>1733</v>
      </c>
      <c r="O586">
        <v>3</v>
      </c>
      <c r="P586" t="s">
        <v>802</v>
      </c>
      <c r="Q586" t="s">
        <v>803</v>
      </c>
      <c r="R586" t="s">
        <v>1734</v>
      </c>
      <c r="S586" t="s">
        <v>1721</v>
      </c>
      <c r="T586" t="s">
        <v>34</v>
      </c>
      <c r="U586" t="s">
        <v>80</v>
      </c>
      <c r="V586">
        <v>63</v>
      </c>
      <c r="W586">
        <v>81</v>
      </c>
      <c r="X586">
        <v>121</v>
      </c>
      <c r="Y586">
        <v>100</v>
      </c>
      <c r="Z586">
        <v>190</v>
      </c>
      <c r="AA586">
        <v>159</v>
      </c>
      <c r="AB586" t="s">
        <v>1348</v>
      </c>
      <c r="AC586" t="s">
        <v>236</v>
      </c>
      <c r="AD586" t="s">
        <v>210</v>
      </c>
      <c r="AE586" t="s">
        <v>183</v>
      </c>
      <c r="AF586">
        <v>0</v>
      </c>
    </row>
    <row r="587" spans="1:32">
      <c r="A587">
        <v>207</v>
      </c>
      <c r="B587">
        <v>884</v>
      </c>
      <c r="C587" t="s">
        <v>1731</v>
      </c>
      <c r="D587" t="s">
        <v>747</v>
      </c>
      <c r="E587" t="s">
        <v>2165</v>
      </c>
      <c r="F587" t="s">
        <v>197</v>
      </c>
      <c r="G587" t="s">
        <v>1379</v>
      </c>
      <c r="H587" t="s">
        <v>192</v>
      </c>
      <c r="I587" t="s">
        <v>188</v>
      </c>
      <c r="J587" t="s">
        <v>212</v>
      </c>
      <c r="K587" t="s">
        <v>1732</v>
      </c>
      <c r="L587" s="84">
        <v>42005</v>
      </c>
      <c r="M587" t="s">
        <v>381</v>
      </c>
      <c r="N587" t="s">
        <v>1733</v>
      </c>
      <c r="O587">
        <v>3</v>
      </c>
      <c r="P587" t="s">
        <v>802</v>
      </c>
      <c r="Q587" t="s">
        <v>803</v>
      </c>
      <c r="R587" t="s">
        <v>1734</v>
      </c>
      <c r="S587" t="s">
        <v>1721</v>
      </c>
      <c r="T587" t="s">
        <v>38</v>
      </c>
      <c r="U587" t="s">
        <v>80</v>
      </c>
      <c r="V587">
        <v>63</v>
      </c>
      <c r="W587">
        <v>81</v>
      </c>
      <c r="X587">
        <v>121</v>
      </c>
      <c r="Y587">
        <v>100</v>
      </c>
      <c r="Z587">
        <v>190</v>
      </c>
      <c r="AA587">
        <v>159</v>
      </c>
      <c r="AB587" t="s">
        <v>1348</v>
      </c>
      <c r="AC587" t="s">
        <v>236</v>
      </c>
      <c r="AD587" t="s">
        <v>210</v>
      </c>
      <c r="AE587" t="s">
        <v>183</v>
      </c>
      <c r="AF587">
        <v>0</v>
      </c>
    </row>
    <row r="588" spans="1:32">
      <c r="A588">
        <v>207</v>
      </c>
      <c r="B588">
        <v>884</v>
      </c>
      <c r="C588" t="s">
        <v>1731</v>
      </c>
      <c r="D588" t="s">
        <v>747</v>
      </c>
      <c r="E588" t="s">
        <v>2165</v>
      </c>
      <c r="F588" t="s">
        <v>37</v>
      </c>
      <c r="G588" t="s">
        <v>2854</v>
      </c>
      <c r="H588" t="s">
        <v>212</v>
      </c>
      <c r="I588" t="s">
        <v>212</v>
      </c>
      <c r="J588" t="s">
        <v>212</v>
      </c>
      <c r="K588" t="s">
        <v>1732</v>
      </c>
      <c r="L588" s="84">
        <v>42005</v>
      </c>
      <c r="M588" t="s">
        <v>381</v>
      </c>
      <c r="N588" t="s">
        <v>1733</v>
      </c>
      <c r="O588">
        <v>3</v>
      </c>
      <c r="P588" t="s">
        <v>802</v>
      </c>
      <c r="Q588" t="s">
        <v>803</v>
      </c>
      <c r="R588" t="s">
        <v>1734</v>
      </c>
      <c r="S588" t="s">
        <v>1721</v>
      </c>
      <c r="T588" t="s">
        <v>37</v>
      </c>
      <c r="U588" t="s">
        <v>80</v>
      </c>
      <c r="V588">
        <v>63</v>
      </c>
      <c r="W588">
        <v>81</v>
      </c>
      <c r="X588">
        <v>121</v>
      </c>
      <c r="Y588">
        <v>100</v>
      </c>
      <c r="Z588">
        <v>190</v>
      </c>
      <c r="AA588">
        <v>159</v>
      </c>
      <c r="AB588" t="s">
        <v>1348</v>
      </c>
      <c r="AC588" t="s">
        <v>236</v>
      </c>
      <c r="AD588" t="s">
        <v>210</v>
      </c>
      <c r="AE588" t="s">
        <v>183</v>
      </c>
      <c r="AF588">
        <v>0</v>
      </c>
    </row>
    <row r="589" spans="1:32">
      <c r="A589">
        <v>207</v>
      </c>
      <c r="B589">
        <v>884</v>
      </c>
      <c r="C589" t="s">
        <v>1731</v>
      </c>
      <c r="D589" t="s">
        <v>747</v>
      </c>
      <c r="E589" t="s">
        <v>2165</v>
      </c>
      <c r="F589" t="s">
        <v>193</v>
      </c>
      <c r="G589" t="s">
        <v>2118</v>
      </c>
      <c r="H589" t="s">
        <v>212</v>
      </c>
      <c r="I589" t="s">
        <v>212</v>
      </c>
      <c r="J589" t="s">
        <v>212</v>
      </c>
      <c r="K589" t="s">
        <v>1732</v>
      </c>
      <c r="L589" s="84">
        <v>42005</v>
      </c>
      <c r="M589" t="s">
        <v>381</v>
      </c>
      <c r="N589" t="s">
        <v>1733</v>
      </c>
      <c r="O589">
        <v>3</v>
      </c>
      <c r="P589" t="s">
        <v>802</v>
      </c>
      <c r="Q589" t="s">
        <v>803</v>
      </c>
      <c r="R589" t="s">
        <v>1734</v>
      </c>
      <c r="S589" t="s">
        <v>1721</v>
      </c>
      <c r="T589" t="s">
        <v>36</v>
      </c>
      <c r="U589" t="s">
        <v>80</v>
      </c>
      <c r="V589">
        <v>63</v>
      </c>
      <c r="W589">
        <v>81</v>
      </c>
      <c r="X589">
        <v>121</v>
      </c>
      <c r="Y589">
        <v>100</v>
      </c>
      <c r="Z589">
        <v>190</v>
      </c>
      <c r="AA589">
        <v>159</v>
      </c>
      <c r="AB589" t="s">
        <v>1348</v>
      </c>
      <c r="AC589" t="s">
        <v>236</v>
      </c>
      <c r="AD589" t="s">
        <v>210</v>
      </c>
      <c r="AE589" t="s">
        <v>183</v>
      </c>
      <c r="AF589">
        <v>0</v>
      </c>
    </row>
    <row r="590" spans="1:32">
      <c r="A590">
        <v>208</v>
      </c>
      <c r="B590">
        <v>997</v>
      </c>
      <c r="C590" t="s">
        <v>1735</v>
      </c>
      <c r="D590" t="s">
        <v>747</v>
      </c>
      <c r="E590" t="s">
        <v>2165</v>
      </c>
      <c r="F590" t="s">
        <v>193</v>
      </c>
      <c r="G590" t="s">
        <v>2119</v>
      </c>
      <c r="H590" t="s">
        <v>212</v>
      </c>
      <c r="I590" t="s">
        <v>212</v>
      </c>
      <c r="J590" t="s">
        <v>192</v>
      </c>
      <c r="K590" t="s">
        <v>1736</v>
      </c>
      <c r="L590" s="84">
        <v>43215</v>
      </c>
      <c r="M590" t="s">
        <v>381</v>
      </c>
      <c r="N590" t="s">
        <v>1737</v>
      </c>
      <c r="O590">
        <v>3</v>
      </c>
      <c r="P590" t="s">
        <v>1738</v>
      </c>
      <c r="Q590" t="s">
        <v>2090</v>
      </c>
      <c r="R590" t="s">
        <v>1739</v>
      </c>
      <c r="S590" t="s">
        <v>1740</v>
      </c>
      <c r="T590" t="s">
        <v>36</v>
      </c>
      <c r="U590" t="s">
        <v>80</v>
      </c>
      <c r="V590">
        <v>55</v>
      </c>
      <c r="W590">
        <v>81</v>
      </c>
      <c r="X590">
        <v>121</v>
      </c>
      <c r="Y590">
        <v>86</v>
      </c>
      <c r="Z590">
        <v>190</v>
      </c>
      <c r="AA590">
        <v>146</v>
      </c>
      <c r="AB590" t="s">
        <v>209</v>
      </c>
      <c r="AC590" t="s">
        <v>201</v>
      </c>
      <c r="AD590" t="s">
        <v>609</v>
      </c>
      <c r="AE590" t="s">
        <v>183</v>
      </c>
      <c r="AF590">
        <v>0</v>
      </c>
    </row>
    <row r="591" spans="1:32">
      <c r="A591">
        <v>208</v>
      </c>
      <c r="B591">
        <v>997</v>
      </c>
      <c r="C591" t="s">
        <v>1735</v>
      </c>
      <c r="D591" t="s">
        <v>747</v>
      </c>
      <c r="E591" t="s">
        <v>2165</v>
      </c>
      <c r="F591" t="s">
        <v>37</v>
      </c>
      <c r="G591" t="s">
        <v>2855</v>
      </c>
      <c r="H591" t="s">
        <v>212</v>
      </c>
      <c r="I591" t="s">
        <v>212</v>
      </c>
      <c r="J591" t="s">
        <v>212</v>
      </c>
      <c r="K591" t="s">
        <v>1736</v>
      </c>
      <c r="L591" s="84">
        <v>43215</v>
      </c>
      <c r="M591" t="s">
        <v>381</v>
      </c>
      <c r="N591" t="s">
        <v>1737</v>
      </c>
      <c r="O591">
        <v>3</v>
      </c>
      <c r="P591" t="s">
        <v>1738</v>
      </c>
      <c r="Q591" t="s">
        <v>2090</v>
      </c>
      <c r="R591" t="s">
        <v>1739</v>
      </c>
      <c r="S591" t="s">
        <v>1740</v>
      </c>
      <c r="T591" t="s">
        <v>37</v>
      </c>
      <c r="U591" t="s">
        <v>80</v>
      </c>
      <c r="V591">
        <v>55</v>
      </c>
      <c r="W591">
        <v>81</v>
      </c>
      <c r="X591">
        <v>121</v>
      </c>
      <c r="Y591">
        <v>86</v>
      </c>
      <c r="Z591">
        <v>190</v>
      </c>
      <c r="AA591">
        <v>146</v>
      </c>
      <c r="AB591" t="s">
        <v>209</v>
      </c>
      <c r="AC591" t="s">
        <v>201</v>
      </c>
      <c r="AD591" t="s">
        <v>609</v>
      </c>
      <c r="AE591" t="s">
        <v>183</v>
      </c>
      <c r="AF591">
        <v>0</v>
      </c>
    </row>
    <row r="592" spans="1:32">
      <c r="A592">
        <v>208</v>
      </c>
      <c r="B592">
        <v>997</v>
      </c>
      <c r="C592" t="s">
        <v>1735</v>
      </c>
      <c r="D592" t="s">
        <v>747</v>
      </c>
      <c r="E592" t="s">
        <v>2165</v>
      </c>
      <c r="F592" t="s">
        <v>197</v>
      </c>
      <c r="G592" t="s">
        <v>1380</v>
      </c>
      <c r="H592" t="s">
        <v>192</v>
      </c>
      <c r="I592" t="s">
        <v>188</v>
      </c>
      <c r="J592" t="s">
        <v>212</v>
      </c>
      <c r="K592" t="s">
        <v>1736</v>
      </c>
      <c r="L592" s="84">
        <v>43215</v>
      </c>
      <c r="M592" t="s">
        <v>381</v>
      </c>
      <c r="N592" t="s">
        <v>1737</v>
      </c>
      <c r="O592">
        <v>3</v>
      </c>
      <c r="P592" t="s">
        <v>1738</v>
      </c>
      <c r="Q592" t="s">
        <v>2090</v>
      </c>
      <c r="R592" t="s">
        <v>1739</v>
      </c>
      <c r="S592" t="s">
        <v>1740</v>
      </c>
      <c r="T592" t="s">
        <v>38</v>
      </c>
      <c r="U592" t="s">
        <v>80</v>
      </c>
      <c r="V592">
        <v>55</v>
      </c>
      <c r="W592">
        <v>81</v>
      </c>
      <c r="X592">
        <v>121</v>
      </c>
      <c r="Y592">
        <v>86</v>
      </c>
      <c r="Z592">
        <v>190</v>
      </c>
      <c r="AA592">
        <v>146</v>
      </c>
      <c r="AB592" t="s">
        <v>209</v>
      </c>
      <c r="AC592" t="s">
        <v>201</v>
      </c>
      <c r="AD592" t="s">
        <v>609</v>
      </c>
      <c r="AE592" t="s">
        <v>183</v>
      </c>
      <c r="AF592">
        <v>0</v>
      </c>
    </row>
    <row r="593" spans="1:32">
      <c r="A593">
        <v>208</v>
      </c>
      <c r="B593">
        <v>997</v>
      </c>
      <c r="C593" t="s">
        <v>1735</v>
      </c>
      <c r="D593" t="s">
        <v>747</v>
      </c>
      <c r="E593" t="s">
        <v>2165</v>
      </c>
      <c r="F593" t="s">
        <v>6</v>
      </c>
      <c r="G593" t="s">
        <v>827</v>
      </c>
      <c r="H593" t="s">
        <v>220</v>
      </c>
      <c r="I593" t="s">
        <v>228</v>
      </c>
      <c r="J593" t="s">
        <v>171</v>
      </c>
      <c r="K593" t="s">
        <v>1736</v>
      </c>
      <c r="L593" s="84">
        <v>43215</v>
      </c>
      <c r="M593" t="s">
        <v>381</v>
      </c>
      <c r="N593" t="s">
        <v>1737</v>
      </c>
      <c r="O593">
        <v>3</v>
      </c>
      <c r="P593" t="s">
        <v>1738</v>
      </c>
      <c r="Q593" t="s">
        <v>2090</v>
      </c>
      <c r="R593" t="s">
        <v>1739</v>
      </c>
      <c r="S593" t="s">
        <v>1740</v>
      </c>
      <c r="T593" t="s">
        <v>34</v>
      </c>
      <c r="U593" t="s">
        <v>80</v>
      </c>
      <c r="V593">
        <v>55</v>
      </c>
      <c r="W593">
        <v>81</v>
      </c>
      <c r="X593">
        <v>121</v>
      </c>
      <c r="Y593">
        <v>86</v>
      </c>
      <c r="Z593">
        <v>190</v>
      </c>
      <c r="AA593">
        <v>146</v>
      </c>
      <c r="AB593" t="s">
        <v>209</v>
      </c>
      <c r="AC593" t="s">
        <v>201</v>
      </c>
      <c r="AD593" t="s">
        <v>609</v>
      </c>
      <c r="AE593" t="s">
        <v>183</v>
      </c>
      <c r="AF593">
        <v>0</v>
      </c>
    </row>
    <row r="594" spans="1:32">
      <c r="A594">
        <v>208</v>
      </c>
      <c r="B594">
        <v>997</v>
      </c>
      <c r="C594" t="s">
        <v>1735</v>
      </c>
      <c r="D594" t="s">
        <v>747</v>
      </c>
      <c r="E594" t="s">
        <v>2165</v>
      </c>
      <c r="F594" t="s">
        <v>7</v>
      </c>
      <c r="G594" t="s">
        <v>830</v>
      </c>
      <c r="H594" t="s">
        <v>221</v>
      </c>
      <c r="I594" t="s">
        <v>257</v>
      </c>
      <c r="J594" t="s">
        <v>239</v>
      </c>
      <c r="K594" t="s">
        <v>1736</v>
      </c>
      <c r="L594" s="84">
        <v>43215</v>
      </c>
      <c r="M594" t="s">
        <v>381</v>
      </c>
      <c r="N594" t="s">
        <v>1737</v>
      </c>
      <c r="O594">
        <v>3</v>
      </c>
      <c r="P594" t="s">
        <v>1738</v>
      </c>
      <c r="Q594" t="s">
        <v>2090</v>
      </c>
      <c r="R594" t="s">
        <v>1739</v>
      </c>
      <c r="S594" t="s">
        <v>1740</v>
      </c>
      <c r="T594" t="s">
        <v>32</v>
      </c>
      <c r="U594" t="s">
        <v>80</v>
      </c>
      <c r="V594">
        <v>55</v>
      </c>
      <c r="W594">
        <v>81</v>
      </c>
      <c r="X594">
        <v>121</v>
      </c>
      <c r="Y594">
        <v>86</v>
      </c>
      <c r="Z594">
        <v>190</v>
      </c>
      <c r="AA594">
        <v>146</v>
      </c>
      <c r="AB594" t="s">
        <v>209</v>
      </c>
      <c r="AC594" t="s">
        <v>201</v>
      </c>
      <c r="AD594" t="s">
        <v>609</v>
      </c>
      <c r="AE594" t="s">
        <v>183</v>
      </c>
      <c r="AF594">
        <v>0</v>
      </c>
    </row>
    <row r="595" spans="1:32">
      <c r="A595">
        <v>208</v>
      </c>
      <c r="B595">
        <v>997</v>
      </c>
      <c r="C595" t="s">
        <v>1735</v>
      </c>
      <c r="D595" t="s">
        <v>747</v>
      </c>
      <c r="E595" t="s">
        <v>2165</v>
      </c>
      <c r="F595" t="s">
        <v>8</v>
      </c>
      <c r="G595" t="s">
        <v>829</v>
      </c>
      <c r="H595" t="s">
        <v>221</v>
      </c>
      <c r="I595" t="s">
        <v>185</v>
      </c>
      <c r="J595" t="s">
        <v>256</v>
      </c>
      <c r="K595" t="s">
        <v>1736</v>
      </c>
      <c r="L595" s="84">
        <v>43215</v>
      </c>
      <c r="M595" t="s">
        <v>381</v>
      </c>
      <c r="N595" t="s">
        <v>1737</v>
      </c>
      <c r="O595">
        <v>3</v>
      </c>
      <c r="P595" t="s">
        <v>1738</v>
      </c>
      <c r="Q595" t="s">
        <v>2090</v>
      </c>
      <c r="R595" t="s">
        <v>1739</v>
      </c>
      <c r="S595" t="s">
        <v>1740</v>
      </c>
      <c r="T595" t="s">
        <v>31</v>
      </c>
      <c r="U595" t="s">
        <v>80</v>
      </c>
      <c r="V595">
        <v>55</v>
      </c>
      <c r="W595">
        <v>81</v>
      </c>
      <c r="X595">
        <v>121</v>
      </c>
      <c r="Y595">
        <v>86</v>
      </c>
      <c r="Z595">
        <v>190</v>
      </c>
      <c r="AA595">
        <v>146</v>
      </c>
      <c r="AB595" t="s">
        <v>209</v>
      </c>
      <c r="AC595" t="s">
        <v>201</v>
      </c>
      <c r="AD595" t="s">
        <v>609</v>
      </c>
      <c r="AE595" t="s">
        <v>183</v>
      </c>
      <c r="AF595">
        <v>0</v>
      </c>
    </row>
    <row r="596" spans="1:32">
      <c r="A596">
        <v>208</v>
      </c>
      <c r="B596">
        <v>997</v>
      </c>
      <c r="C596" t="s">
        <v>1735</v>
      </c>
      <c r="D596" t="s">
        <v>747</v>
      </c>
      <c r="E596" t="s">
        <v>2165</v>
      </c>
      <c r="F596" t="s">
        <v>5</v>
      </c>
      <c r="G596" t="s">
        <v>828</v>
      </c>
      <c r="H596" t="s">
        <v>226</v>
      </c>
      <c r="I596" t="s">
        <v>239</v>
      </c>
      <c r="J596" t="s">
        <v>216</v>
      </c>
      <c r="K596" t="s">
        <v>1736</v>
      </c>
      <c r="L596" s="84">
        <v>43215</v>
      </c>
      <c r="M596" t="s">
        <v>381</v>
      </c>
      <c r="N596" t="s">
        <v>1737</v>
      </c>
      <c r="O596">
        <v>3</v>
      </c>
      <c r="P596" t="s">
        <v>1738</v>
      </c>
      <c r="Q596" t="s">
        <v>2090</v>
      </c>
      <c r="R596" t="s">
        <v>1739</v>
      </c>
      <c r="S596" t="s">
        <v>1740</v>
      </c>
      <c r="T596" t="s">
        <v>33</v>
      </c>
      <c r="U596" t="s">
        <v>80</v>
      </c>
      <c r="V596">
        <v>55</v>
      </c>
      <c r="W596">
        <v>81</v>
      </c>
      <c r="X596">
        <v>121</v>
      </c>
      <c r="Y596">
        <v>86</v>
      </c>
      <c r="Z596">
        <v>190</v>
      </c>
      <c r="AA596">
        <v>146</v>
      </c>
      <c r="AB596" t="s">
        <v>209</v>
      </c>
      <c r="AC596" t="s">
        <v>201</v>
      </c>
      <c r="AD596" t="s">
        <v>609</v>
      </c>
      <c r="AE596" t="s">
        <v>183</v>
      </c>
      <c r="AF596">
        <v>0</v>
      </c>
    </row>
    <row r="597" spans="1:32">
      <c r="A597">
        <v>209</v>
      </c>
      <c r="B597">
        <v>858</v>
      </c>
      <c r="C597" t="s">
        <v>1741</v>
      </c>
      <c r="D597" t="s">
        <v>747</v>
      </c>
      <c r="E597" t="s">
        <v>2165</v>
      </c>
      <c r="F597" t="s">
        <v>5</v>
      </c>
      <c r="G597" t="s">
        <v>840</v>
      </c>
      <c r="H597" t="s">
        <v>256</v>
      </c>
      <c r="I597" t="s">
        <v>218</v>
      </c>
      <c r="J597" t="s">
        <v>297</v>
      </c>
      <c r="K597" t="s">
        <v>1742</v>
      </c>
      <c r="L597" s="84">
        <v>42253</v>
      </c>
      <c r="M597" t="s">
        <v>381</v>
      </c>
      <c r="N597" t="s">
        <v>365</v>
      </c>
      <c r="O597">
        <v>9</v>
      </c>
      <c r="P597" t="s">
        <v>1743</v>
      </c>
      <c r="Q597" t="s">
        <v>1744</v>
      </c>
      <c r="R597" t="s">
        <v>1745</v>
      </c>
      <c r="S597" t="s">
        <v>1746</v>
      </c>
      <c r="T597" t="s">
        <v>33</v>
      </c>
      <c r="U597" t="s">
        <v>85</v>
      </c>
      <c r="V597">
        <v>66</v>
      </c>
      <c r="W597">
        <v>81</v>
      </c>
      <c r="X597">
        <v>121</v>
      </c>
      <c r="Y597">
        <v>103</v>
      </c>
      <c r="Z597">
        <v>190</v>
      </c>
      <c r="AA597">
        <v>171</v>
      </c>
      <c r="AB597" t="s">
        <v>696</v>
      </c>
      <c r="AC597" t="s">
        <v>237</v>
      </c>
      <c r="AD597" t="s">
        <v>609</v>
      </c>
      <c r="AE597" t="s">
        <v>183</v>
      </c>
      <c r="AF597">
        <v>0</v>
      </c>
    </row>
    <row r="598" spans="1:32">
      <c r="A598">
        <v>209</v>
      </c>
      <c r="B598">
        <v>858</v>
      </c>
      <c r="C598" t="s">
        <v>1741</v>
      </c>
      <c r="D598" t="s">
        <v>747</v>
      </c>
      <c r="E598" t="s">
        <v>2165</v>
      </c>
      <c r="F598" t="s">
        <v>8</v>
      </c>
      <c r="G598" t="s">
        <v>839</v>
      </c>
      <c r="H598" t="s">
        <v>274</v>
      </c>
      <c r="I598" t="s">
        <v>238</v>
      </c>
      <c r="J598" t="s">
        <v>260</v>
      </c>
      <c r="K598" t="s">
        <v>1742</v>
      </c>
      <c r="L598" s="84">
        <v>42253</v>
      </c>
      <c r="M598" t="s">
        <v>381</v>
      </c>
      <c r="N598" t="s">
        <v>365</v>
      </c>
      <c r="O598">
        <v>9</v>
      </c>
      <c r="P598" t="s">
        <v>1743</v>
      </c>
      <c r="Q598" t="s">
        <v>1744</v>
      </c>
      <c r="R598" t="s">
        <v>1745</v>
      </c>
      <c r="S598" t="s">
        <v>1746</v>
      </c>
      <c r="T598" t="s">
        <v>31</v>
      </c>
      <c r="U598" t="s">
        <v>85</v>
      </c>
      <c r="V598">
        <v>66</v>
      </c>
      <c r="W598">
        <v>81</v>
      </c>
      <c r="X598">
        <v>121</v>
      </c>
      <c r="Y598">
        <v>103</v>
      </c>
      <c r="Z598">
        <v>190</v>
      </c>
      <c r="AA598">
        <v>171</v>
      </c>
      <c r="AB598" t="s">
        <v>696</v>
      </c>
      <c r="AC598" t="s">
        <v>237</v>
      </c>
      <c r="AD598" t="s">
        <v>609</v>
      </c>
      <c r="AE598" t="s">
        <v>183</v>
      </c>
      <c r="AF598">
        <v>0</v>
      </c>
    </row>
    <row r="599" spans="1:32">
      <c r="A599">
        <v>209</v>
      </c>
      <c r="B599">
        <v>858</v>
      </c>
      <c r="C599" t="s">
        <v>1741</v>
      </c>
      <c r="D599" t="s">
        <v>747</v>
      </c>
      <c r="E599" t="s">
        <v>2165</v>
      </c>
      <c r="F599" t="s">
        <v>7</v>
      </c>
      <c r="G599" t="s">
        <v>832</v>
      </c>
      <c r="H599" t="s">
        <v>185</v>
      </c>
      <c r="I599" t="s">
        <v>257</v>
      </c>
      <c r="J599" t="s">
        <v>259</v>
      </c>
      <c r="K599" t="s">
        <v>1742</v>
      </c>
      <c r="L599" s="84">
        <v>42253</v>
      </c>
      <c r="M599" t="s">
        <v>381</v>
      </c>
      <c r="N599" t="s">
        <v>365</v>
      </c>
      <c r="O599">
        <v>9</v>
      </c>
      <c r="P599" t="s">
        <v>1743</v>
      </c>
      <c r="Q599" t="s">
        <v>1744</v>
      </c>
      <c r="R599" t="s">
        <v>1745</v>
      </c>
      <c r="S599" t="s">
        <v>1746</v>
      </c>
      <c r="T599" t="s">
        <v>32</v>
      </c>
      <c r="U599" t="s">
        <v>85</v>
      </c>
      <c r="V599">
        <v>66</v>
      </c>
      <c r="W599">
        <v>81</v>
      </c>
      <c r="X599">
        <v>121</v>
      </c>
      <c r="Y599">
        <v>103</v>
      </c>
      <c r="Z599">
        <v>190</v>
      </c>
      <c r="AA599">
        <v>171</v>
      </c>
      <c r="AB599" t="s">
        <v>696</v>
      </c>
      <c r="AC599" t="s">
        <v>237</v>
      </c>
      <c r="AD599" t="s">
        <v>609</v>
      </c>
      <c r="AE599" t="s">
        <v>183</v>
      </c>
      <c r="AF599">
        <v>0</v>
      </c>
    </row>
    <row r="600" spans="1:32">
      <c r="A600">
        <v>209</v>
      </c>
      <c r="B600">
        <v>858</v>
      </c>
      <c r="C600" t="s">
        <v>1741</v>
      </c>
      <c r="D600" t="s">
        <v>747</v>
      </c>
      <c r="E600" t="s">
        <v>2165</v>
      </c>
      <c r="F600" t="s">
        <v>6</v>
      </c>
      <c r="G600" t="s">
        <v>841</v>
      </c>
      <c r="H600" t="s">
        <v>256</v>
      </c>
      <c r="I600" t="s">
        <v>223</v>
      </c>
      <c r="J600" t="s">
        <v>173</v>
      </c>
      <c r="K600" t="s">
        <v>1742</v>
      </c>
      <c r="L600" s="84">
        <v>42253</v>
      </c>
      <c r="M600" t="s">
        <v>381</v>
      </c>
      <c r="N600" t="s">
        <v>365</v>
      </c>
      <c r="O600">
        <v>9</v>
      </c>
      <c r="P600" t="s">
        <v>1743</v>
      </c>
      <c r="Q600" t="s">
        <v>1744</v>
      </c>
      <c r="R600" t="s">
        <v>1745</v>
      </c>
      <c r="S600" t="s">
        <v>1746</v>
      </c>
      <c r="T600" t="s">
        <v>34</v>
      </c>
      <c r="U600" t="s">
        <v>85</v>
      </c>
      <c r="V600">
        <v>66</v>
      </c>
      <c r="W600">
        <v>81</v>
      </c>
      <c r="X600">
        <v>121</v>
      </c>
      <c r="Y600">
        <v>103</v>
      </c>
      <c r="Z600">
        <v>190</v>
      </c>
      <c r="AA600">
        <v>171</v>
      </c>
      <c r="AB600" t="s">
        <v>696</v>
      </c>
      <c r="AC600" t="s">
        <v>237</v>
      </c>
      <c r="AD600" t="s">
        <v>609</v>
      </c>
      <c r="AE600" t="s">
        <v>183</v>
      </c>
      <c r="AF600">
        <v>0</v>
      </c>
    </row>
    <row r="601" spans="1:32">
      <c r="A601">
        <v>209</v>
      </c>
      <c r="B601">
        <v>858</v>
      </c>
      <c r="C601" t="s">
        <v>1741</v>
      </c>
      <c r="D601" t="s">
        <v>747</v>
      </c>
      <c r="E601" t="s">
        <v>2165</v>
      </c>
      <c r="F601" t="s">
        <v>197</v>
      </c>
      <c r="G601" t="s">
        <v>1381</v>
      </c>
      <c r="H601" t="s">
        <v>192</v>
      </c>
      <c r="I601" t="s">
        <v>188</v>
      </c>
      <c r="J601" t="s">
        <v>192</v>
      </c>
      <c r="K601" t="s">
        <v>1742</v>
      </c>
      <c r="L601" s="84">
        <v>42253</v>
      </c>
      <c r="M601" t="s">
        <v>381</v>
      </c>
      <c r="N601" t="s">
        <v>365</v>
      </c>
      <c r="O601">
        <v>9</v>
      </c>
      <c r="P601" t="s">
        <v>1743</v>
      </c>
      <c r="Q601" t="s">
        <v>1744</v>
      </c>
      <c r="R601" t="s">
        <v>1745</v>
      </c>
      <c r="S601" t="s">
        <v>1746</v>
      </c>
      <c r="T601" t="s">
        <v>38</v>
      </c>
      <c r="U601" t="s">
        <v>85</v>
      </c>
      <c r="V601">
        <v>66</v>
      </c>
      <c r="W601">
        <v>81</v>
      </c>
      <c r="X601">
        <v>121</v>
      </c>
      <c r="Y601">
        <v>103</v>
      </c>
      <c r="Z601">
        <v>190</v>
      </c>
      <c r="AA601">
        <v>171</v>
      </c>
      <c r="AB601" t="s">
        <v>696</v>
      </c>
      <c r="AC601" t="s">
        <v>237</v>
      </c>
      <c r="AD601" t="s">
        <v>609</v>
      </c>
      <c r="AE601" t="s">
        <v>183</v>
      </c>
      <c r="AF601">
        <v>0</v>
      </c>
    </row>
    <row r="602" spans="1:32">
      <c r="A602">
        <v>209</v>
      </c>
      <c r="B602">
        <v>858</v>
      </c>
      <c r="C602" t="s">
        <v>1741</v>
      </c>
      <c r="D602" t="s">
        <v>747</v>
      </c>
      <c r="E602" t="s">
        <v>2165</v>
      </c>
      <c r="F602" t="s">
        <v>37</v>
      </c>
      <c r="G602" t="s">
        <v>2856</v>
      </c>
      <c r="H602" t="s">
        <v>212</v>
      </c>
      <c r="I602" t="s">
        <v>212</v>
      </c>
      <c r="J602" t="s">
        <v>212</v>
      </c>
      <c r="K602" t="s">
        <v>1742</v>
      </c>
      <c r="L602" s="84">
        <v>42253</v>
      </c>
      <c r="M602" t="s">
        <v>381</v>
      </c>
      <c r="N602" t="s">
        <v>365</v>
      </c>
      <c r="O602">
        <v>9</v>
      </c>
      <c r="P602" t="s">
        <v>1743</v>
      </c>
      <c r="Q602" t="s">
        <v>1744</v>
      </c>
      <c r="R602" t="s">
        <v>1745</v>
      </c>
      <c r="S602" t="s">
        <v>1746</v>
      </c>
      <c r="T602" t="s">
        <v>37</v>
      </c>
      <c r="U602" t="s">
        <v>85</v>
      </c>
      <c r="V602">
        <v>66</v>
      </c>
      <c r="W602">
        <v>81</v>
      </c>
      <c r="X602">
        <v>121</v>
      </c>
      <c r="Y602">
        <v>103</v>
      </c>
      <c r="Z602">
        <v>190</v>
      </c>
      <c r="AA602">
        <v>171</v>
      </c>
      <c r="AB602" t="s">
        <v>696</v>
      </c>
      <c r="AC602" t="s">
        <v>237</v>
      </c>
      <c r="AD602" t="s">
        <v>609</v>
      </c>
      <c r="AE602" t="s">
        <v>183</v>
      </c>
      <c r="AF602">
        <v>0</v>
      </c>
    </row>
    <row r="603" spans="1:32">
      <c r="A603">
        <v>209</v>
      </c>
      <c r="B603">
        <v>858</v>
      </c>
      <c r="C603" t="s">
        <v>1741</v>
      </c>
      <c r="D603" t="s">
        <v>747</v>
      </c>
      <c r="E603" t="s">
        <v>2165</v>
      </c>
      <c r="F603" t="s">
        <v>193</v>
      </c>
      <c r="G603" t="s">
        <v>2120</v>
      </c>
      <c r="H603" t="s">
        <v>212</v>
      </c>
      <c r="I603" t="s">
        <v>212</v>
      </c>
      <c r="J603" t="s">
        <v>212</v>
      </c>
      <c r="K603" t="s">
        <v>1742</v>
      </c>
      <c r="L603" s="84">
        <v>42253</v>
      </c>
      <c r="M603" t="s">
        <v>381</v>
      </c>
      <c r="N603" t="s">
        <v>365</v>
      </c>
      <c r="O603">
        <v>9</v>
      </c>
      <c r="P603" t="s">
        <v>1743</v>
      </c>
      <c r="Q603" t="s">
        <v>1744</v>
      </c>
      <c r="R603" t="s">
        <v>1745</v>
      </c>
      <c r="S603" t="s">
        <v>1746</v>
      </c>
      <c r="T603" t="s">
        <v>36</v>
      </c>
      <c r="U603" t="s">
        <v>85</v>
      </c>
      <c r="V603">
        <v>66</v>
      </c>
      <c r="W603">
        <v>81</v>
      </c>
      <c r="X603">
        <v>121</v>
      </c>
      <c r="Y603">
        <v>103</v>
      </c>
      <c r="Z603">
        <v>190</v>
      </c>
      <c r="AA603">
        <v>171</v>
      </c>
      <c r="AB603" t="s">
        <v>696</v>
      </c>
      <c r="AC603" t="s">
        <v>237</v>
      </c>
      <c r="AD603" t="s">
        <v>609</v>
      </c>
      <c r="AE603" t="s">
        <v>183</v>
      </c>
      <c r="AF603">
        <v>0</v>
      </c>
    </row>
    <row r="604" spans="1:32">
      <c r="A604">
        <v>210</v>
      </c>
      <c r="B604">
        <v>1157</v>
      </c>
      <c r="C604" t="s">
        <v>2482</v>
      </c>
      <c r="D604" t="s">
        <v>747</v>
      </c>
      <c r="E604" t="s">
        <v>2165</v>
      </c>
      <c r="F604" t="s">
        <v>193</v>
      </c>
      <c r="G604" t="s">
        <v>2121</v>
      </c>
      <c r="H604" t="s">
        <v>212</v>
      </c>
      <c r="I604" t="s">
        <v>212</v>
      </c>
      <c r="J604" t="s">
        <v>212</v>
      </c>
      <c r="K604" t="s">
        <v>2483</v>
      </c>
      <c r="L604" s="84">
        <v>43334</v>
      </c>
      <c r="M604" t="s">
        <v>381</v>
      </c>
      <c r="N604" t="s">
        <v>2484</v>
      </c>
      <c r="O604">
        <v>2</v>
      </c>
      <c r="P604" t="s">
        <v>2485</v>
      </c>
      <c r="Q604" t="s">
        <v>2486</v>
      </c>
      <c r="R604" t="s">
        <v>2487</v>
      </c>
      <c r="S604" t="s">
        <v>2488</v>
      </c>
      <c r="T604" t="s">
        <v>36</v>
      </c>
      <c r="U604" t="s">
        <v>79</v>
      </c>
      <c r="V604">
        <v>52</v>
      </c>
      <c r="W604">
        <v>81</v>
      </c>
      <c r="X604">
        <v>121</v>
      </c>
      <c r="Y604">
        <v>87</v>
      </c>
      <c r="Z604">
        <v>190</v>
      </c>
      <c r="AA604">
        <v>151</v>
      </c>
      <c r="AB604" t="s">
        <v>2106</v>
      </c>
      <c r="AC604" t="s">
        <v>173</v>
      </c>
      <c r="AD604" t="s">
        <v>210</v>
      </c>
      <c r="AE604" t="s">
        <v>183</v>
      </c>
      <c r="AF604">
        <v>1</v>
      </c>
    </row>
    <row r="605" spans="1:32">
      <c r="A605">
        <v>210</v>
      </c>
      <c r="B605">
        <v>1157</v>
      </c>
      <c r="C605" t="s">
        <v>2482</v>
      </c>
      <c r="D605" t="s">
        <v>747</v>
      </c>
      <c r="E605" t="s">
        <v>2165</v>
      </c>
      <c r="F605" t="s">
        <v>37</v>
      </c>
      <c r="G605" t="s">
        <v>2857</v>
      </c>
      <c r="H605" t="s">
        <v>212</v>
      </c>
      <c r="I605" t="s">
        <v>212</v>
      </c>
      <c r="J605" t="s">
        <v>212</v>
      </c>
      <c r="K605" t="s">
        <v>2483</v>
      </c>
      <c r="L605" s="84">
        <v>43334</v>
      </c>
      <c r="M605" t="s">
        <v>381</v>
      </c>
      <c r="N605" t="s">
        <v>2484</v>
      </c>
      <c r="O605">
        <v>2</v>
      </c>
      <c r="P605" t="s">
        <v>2485</v>
      </c>
      <c r="Q605" t="s">
        <v>2486</v>
      </c>
      <c r="R605" t="s">
        <v>2487</v>
      </c>
      <c r="S605" t="s">
        <v>2488</v>
      </c>
      <c r="T605" t="s">
        <v>37</v>
      </c>
      <c r="U605" t="s">
        <v>79</v>
      </c>
      <c r="V605">
        <v>52</v>
      </c>
      <c r="W605">
        <v>81</v>
      </c>
      <c r="X605">
        <v>121</v>
      </c>
      <c r="Y605">
        <v>87</v>
      </c>
      <c r="Z605">
        <v>190</v>
      </c>
      <c r="AA605">
        <v>151</v>
      </c>
      <c r="AB605" t="s">
        <v>2106</v>
      </c>
      <c r="AC605" t="s">
        <v>173</v>
      </c>
      <c r="AD605" t="s">
        <v>210</v>
      </c>
      <c r="AE605" t="s">
        <v>183</v>
      </c>
      <c r="AF605">
        <v>1</v>
      </c>
    </row>
    <row r="606" spans="1:32">
      <c r="A606">
        <v>210</v>
      </c>
      <c r="B606">
        <v>1157</v>
      </c>
      <c r="C606" t="s">
        <v>2482</v>
      </c>
      <c r="D606" t="s">
        <v>747</v>
      </c>
      <c r="E606" t="s">
        <v>2165</v>
      </c>
      <c r="F606" t="s">
        <v>197</v>
      </c>
      <c r="G606" t="s">
        <v>1382</v>
      </c>
      <c r="H606" t="s">
        <v>192</v>
      </c>
      <c r="I606" t="s">
        <v>188</v>
      </c>
      <c r="J606" t="s">
        <v>192</v>
      </c>
      <c r="K606" t="s">
        <v>2483</v>
      </c>
      <c r="L606" s="84">
        <v>43334</v>
      </c>
      <c r="M606" t="s">
        <v>381</v>
      </c>
      <c r="N606" t="s">
        <v>2484</v>
      </c>
      <c r="O606">
        <v>2</v>
      </c>
      <c r="P606" t="s">
        <v>2485</v>
      </c>
      <c r="Q606" t="s">
        <v>2486</v>
      </c>
      <c r="R606" t="s">
        <v>2487</v>
      </c>
      <c r="S606" t="s">
        <v>2488</v>
      </c>
      <c r="T606" t="s">
        <v>38</v>
      </c>
      <c r="U606" t="s">
        <v>79</v>
      </c>
      <c r="V606">
        <v>52</v>
      </c>
      <c r="W606">
        <v>81</v>
      </c>
      <c r="X606">
        <v>121</v>
      </c>
      <c r="Y606">
        <v>87</v>
      </c>
      <c r="Z606">
        <v>190</v>
      </c>
      <c r="AA606">
        <v>151</v>
      </c>
      <c r="AB606" t="s">
        <v>2106</v>
      </c>
      <c r="AC606" t="s">
        <v>173</v>
      </c>
      <c r="AD606" t="s">
        <v>210</v>
      </c>
      <c r="AE606" t="s">
        <v>183</v>
      </c>
      <c r="AF606">
        <v>1</v>
      </c>
    </row>
    <row r="607" spans="1:32">
      <c r="A607">
        <v>210</v>
      </c>
      <c r="B607">
        <v>1157</v>
      </c>
      <c r="C607" t="s">
        <v>2482</v>
      </c>
      <c r="D607" t="s">
        <v>747</v>
      </c>
      <c r="E607" t="s">
        <v>2165</v>
      </c>
      <c r="F607" t="s">
        <v>6</v>
      </c>
      <c r="G607" t="s">
        <v>848</v>
      </c>
      <c r="H607" t="s">
        <v>403</v>
      </c>
      <c r="I607" t="s">
        <v>914</v>
      </c>
      <c r="J607" t="s">
        <v>181</v>
      </c>
      <c r="K607" t="s">
        <v>2483</v>
      </c>
      <c r="L607" s="84">
        <v>43334</v>
      </c>
      <c r="M607" t="s">
        <v>381</v>
      </c>
      <c r="N607" t="s">
        <v>2484</v>
      </c>
      <c r="O607">
        <v>2</v>
      </c>
      <c r="P607" t="s">
        <v>2485</v>
      </c>
      <c r="Q607" t="s">
        <v>2486</v>
      </c>
      <c r="R607" t="s">
        <v>2487</v>
      </c>
      <c r="S607" t="s">
        <v>2488</v>
      </c>
      <c r="T607" t="s">
        <v>34</v>
      </c>
      <c r="U607" t="s">
        <v>79</v>
      </c>
      <c r="V607">
        <v>52</v>
      </c>
      <c r="W607">
        <v>81</v>
      </c>
      <c r="X607">
        <v>121</v>
      </c>
      <c r="Y607">
        <v>87</v>
      </c>
      <c r="Z607">
        <v>190</v>
      </c>
      <c r="AA607">
        <v>151</v>
      </c>
      <c r="AB607" t="s">
        <v>2106</v>
      </c>
      <c r="AC607" t="s">
        <v>173</v>
      </c>
      <c r="AD607" t="s">
        <v>210</v>
      </c>
      <c r="AE607" t="s">
        <v>183</v>
      </c>
      <c r="AF607">
        <v>1</v>
      </c>
    </row>
    <row r="608" spans="1:32">
      <c r="A608">
        <v>210</v>
      </c>
      <c r="B608">
        <v>1157</v>
      </c>
      <c r="C608" t="s">
        <v>2482</v>
      </c>
      <c r="D608" t="s">
        <v>747</v>
      </c>
      <c r="E608" t="s">
        <v>2165</v>
      </c>
      <c r="F608" t="s">
        <v>7</v>
      </c>
      <c r="G608" t="s">
        <v>851</v>
      </c>
      <c r="H608" t="s">
        <v>237</v>
      </c>
      <c r="I608" t="s">
        <v>228</v>
      </c>
      <c r="J608" t="s">
        <v>226</v>
      </c>
      <c r="K608" t="s">
        <v>2483</v>
      </c>
      <c r="L608" s="84">
        <v>43334</v>
      </c>
      <c r="M608" t="s">
        <v>381</v>
      </c>
      <c r="N608" t="s">
        <v>2484</v>
      </c>
      <c r="O608">
        <v>2</v>
      </c>
      <c r="P608" t="s">
        <v>2485</v>
      </c>
      <c r="Q608" t="s">
        <v>2486</v>
      </c>
      <c r="R608" t="s">
        <v>2487</v>
      </c>
      <c r="S608" t="s">
        <v>2488</v>
      </c>
      <c r="T608" t="s">
        <v>32</v>
      </c>
      <c r="U608" t="s">
        <v>79</v>
      </c>
      <c r="V608">
        <v>52</v>
      </c>
      <c r="W608">
        <v>81</v>
      </c>
      <c r="X608">
        <v>121</v>
      </c>
      <c r="Y608">
        <v>87</v>
      </c>
      <c r="Z608">
        <v>190</v>
      </c>
      <c r="AA608">
        <v>151</v>
      </c>
      <c r="AB608" t="s">
        <v>2106</v>
      </c>
      <c r="AC608" t="s">
        <v>173</v>
      </c>
      <c r="AD608" t="s">
        <v>210</v>
      </c>
      <c r="AE608" t="s">
        <v>183</v>
      </c>
      <c r="AF608">
        <v>1</v>
      </c>
    </row>
    <row r="609" spans="1:32">
      <c r="A609">
        <v>210</v>
      </c>
      <c r="B609">
        <v>1157</v>
      </c>
      <c r="C609" t="s">
        <v>2482</v>
      </c>
      <c r="D609" t="s">
        <v>747</v>
      </c>
      <c r="E609" t="s">
        <v>2165</v>
      </c>
      <c r="F609" t="s">
        <v>8</v>
      </c>
      <c r="G609" t="s">
        <v>850</v>
      </c>
      <c r="H609" t="s">
        <v>188</v>
      </c>
      <c r="I609" t="s">
        <v>462</v>
      </c>
      <c r="J609" t="s">
        <v>415</v>
      </c>
      <c r="K609" t="s">
        <v>2483</v>
      </c>
      <c r="L609" s="84">
        <v>43334</v>
      </c>
      <c r="M609" t="s">
        <v>381</v>
      </c>
      <c r="N609" t="s">
        <v>2484</v>
      </c>
      <c r="O609">
        <v>2</v>
      </c>
      <c r="P609" t="s">
        <v>2485</v>
      </c>
      <c r="Q609" t="s">
        <v>2486</v>
      </c>
      <c r="R609" t="s">
        <v>2487</v>
      </c>
      <c r="S609" t="s">
        <v>2488</v>
      </c>
      <c r="T609" t="s">
        <v>31</v>
      </c>
      <c r="U609" t="s">
        <v>79</v>
      </c>
      <c r="V609">
        <v>52</v>
      </c>
      <c r="W609">
        <v>81</v>
      </c>
      <c r="X609">
        <v>121</v>
      </c>
      <c r="Y609">
        <v>87</v>
      </c>
      <c r="Z609">
        <v>190</v>
      </c>
      <c r="AA609">
        <v>151</v>
      </c>
      <c r="AB609" t="s">
        <v>2106</v>
      </c>
      <c r="AC609" t="s">
        <v>173</v>
      </c>
      <c r="AD609" t="s">
        <v>210</v>
      </c>
      <c r="AE609" t="s">
        <v>183</v>
      </c>
      <c r="AF609">
        <v>1</v>
      </c>
    </row>
    <row r="610" spans="1:32">
      <c r="A610">
        <v>210</v>
      </c>
      <c r="B610">
        <v>1157</v>
      </c>
      <c r="C610" t="s">
        <v>2482</v>
      </c>
      <c r="D610" t="s">
        <v>747</v>
      </c>
      <c r="E610" t="s">
        <v>2165</v>
      </c>
      <c r="F610" t="s">
        <v>5</v>
      </c>
      <c r="G610" t="s">
        <v>849</v>
      </c>
      <c r="H610" t="s">
        <v>171</v>
      </c>
      <c r="I610" t="s">
        <v>260</v>
      </c>
      <c r="J610" t="s">
        <v>220</v>
      </c>
      <c r="K610" t="s">
        <v>2483</v>
      </c>
      <c r="L610" s="84">
        <v>43334</v>
      </c>
      <c r="M610" t="s">
        <v>381</v>
      </c>
      <c r="N610" t="s">
        <v>2484</v>
      </c>
      <c r="O610">
        <v>2</v>
      </c>
      <c r="P610" t="s">
        <v>2485</v>
      </c>
      <c r="Q610" t="s">
        <v>2486</v>
      </c>
      <c r="R610" t="s">
        <v>2487</v>
      </c>
      <c r="S610" t="s">
        <v>2488</v>
      </c>
      <c r="T610" t="s">
        <v>33</v>
      </c>
      <c r="U610" t="s">
        <v>79</v>
      </c>
      <c r="V610">
        <v>52</v>
      </c>
      <c r="W610">
        <v>81</v>
      </c>
      <c r="X610">
        <v>121</v>
      </c>
      <c r="Y610">
        <v>87</v>
      </c>
      <c r="Z610">
        <v>190</v>
      </c>
      <c r="AA610">
        <v>151</v>
      </c>
      <c r="AB610" t="s">
        <v>2106</v>
      </c>
      <c r="AC610" t="s">
        <v>173</v>
      </c>
      <c r="AD610" t="s">
        <v>210</v>
      </c>
      <c r="AE610" t="s">
        <v>183</v>
      </c>
      <c r="AF610">
        <v>1</v>
      </c>
    </row>
    <row r="611" spans="1:32">
      <c r="A611">
        <v>211</v>
      </c>
      <c r="B611">
        <v>1141</v>
      </c>
      <c r="C611" t="s">
        <v>2489</v>
      </c>
      <c r="D611" t="s">
        <v>747</v>
      </c>
      <c r="E611" t="s">
        <v>2165</v>
      </c>
      <c r="F611" t="s">
        <v>5</v>
      </c>
      <c r="G611" t="s">
        <v>861</v>
      </c>
      <c r="H611" t="s">
        <v>238</v>
      </c>
      <c r="I611" t="s">
        <v>220</v>
      </c>
      <c r="J611" t="s">
        <v>275</v>
      </c>
      <c r="K611" t="s">
        <v>2490</v>
      </c>
      <c r="L611" s="84">
        <v>41957</v>
      </c>
      <c r="M611" t="s">
        <v>381</v>
      </c>
      <c r="N611" t="s">
        <v>1311</v>
      </c>
      <c r="O611">
        <v>3</v>
      </c>
      <c r="P611" t="s">
        <v>2491</v>
      </c>
      <c r="Q611" t="s">
        <v>2492</v>
      </c>
      <c r="R611" t="s">
        <v>2493</v>
      </c>
      <c r="S611" t="s">
        <v>2494</v>
      </c>
      <c r="T611" t="s">
        <v>33</v>
      </c>
      <c r="U611" t="s">
        <v>80</v>
      </c>
      <c r="V611">
        <v>53</v>
      </c>
      <c r="W611">
        <v>81</v>
      </c>
      <c r="X611">
        <v>121</v>
      </c>
      <c r="Y611">
        <v>82</v>
      </c>
      <c r="Z611">
        <v>190</v>
      </c>
      <c r="AA611">
        <v>139</v>
      </c>
      <c r="AB611" t="s">
        <v>1267</v>
      </c>
      <c r="AC611" t="s">
        <v>226</v>
      </c>
      <c r="AD611" t="s">
        <v>210</v>
      </c>
      <c r="AE611" t="s">
        <v>183</v>
      </c>
      <c r="AF611">
        <v>0</v>
      </c>
    </row>
    <row r="612" spans="1:32">
      <c r="A612">
        <v>211</v>
      </c>
      <c r="B612">
        <v>1141</v>
      </c>
      <c r="C612" t="s">
        <v>2489</v>
      </c>
      <c r="D612" t="s">
        <v>747</v>
      </c>
      <c r="E612" t="s">
        <v>2165</v>
      </c>
      <c r="F612" t="s">
        <v>8</v>
      </c>
      <c r="G612" t="s">
        <v>860</v>
      </c>
      <c r="H612" t="s">
        <v>497</v>
      </c>
      <c r="I612" t="s">
        <v>236</v>
      </c>
      <c r="J612" t="s">
        <v>305</v>
      </c>
      <c r="K612" t="s">
        <v>2490</v>
      </c>
      <c r="L612" s="84">
        <v>41957</v>
      </c>
      <c r="M612" t="s">
        <v>381</v>
      </c>
      <c r="N612" t="s">
        <v>1311</v>
      </c>
      <c r="O612">
        <v>3</v>
      </c>
      <c r="P612" t="s">
        <v>2491</v>
      </c>
      <c r="Q612" t="s">
        <v>2492</v>
      </c>
      <c r="R612" t="s">
        <v>2493</v>
      </c>
      <c r="S612" t="s">
        <v>2494</v>
      </c>
      <c r="T612" t="s">
        <v>31</v>
      </c>
      <c r="U612" t="s">
        <v>80</v>
      </c>
      <c r="V612">
        <v>53</v>
      </c>
      <c r="W612">
        <v>81</v>
      </c>
      <c r="X612">
        <v>121</v>
      </c>
      <c r="Y612">
        <v>82</v>
      </c>
      <c r="Z612">
        <v>190</v>
      </c>
      <c r="AA612">
        <v>139</v>
      </c>
      <c r="AB612" t="s">
        <v>1267</v>
      </c>
      <c r="AC612" t="s">
        <v>226</v>
      </c>
      <c r="AD612" t="s">
        <v>210</v>
      </c>
      <c r="AE612" t="s">
        <v>183</v>
      </c>
      <c r="AF612">
        <v>0</v>
      </c>
    </row>
    <row r="613" spans="1:32">
      <c r="A613">
        <v>211</v>
      </c>
      <c r="B613">
        <v>1141</v>
      </c>
      <c r="C613" t="s">
        <v>2489</v>
      </c>
      <c r="D613" t="s">
        <v>747</v>
      </c>
      <c r="E613" t="s">
        <v>2165</v>
      </c>
      <c r="F613" t="s">
        <v>7</v>
      </c>
      <c r="G613" t="s">
        <v>853</v>
      </c>
      <c r="H613" t="s">
        <v>217</v>
      </c>
      <c r="I613" t="s">
        <v>257</v>
      </c>
      <c r="J613" t="s">
        <v>217</v>
      </c>
      <c r="K613" t="s">
        <v>2490</v>
      </c>
      <c r="L613" s="84">
        <v>41957</v>
      </c>
      <c r="M613" t="s">
        <v>381</v>
      </c>
      <c r="N613" t="s">
        <v>1311</v>
      </c>
      <c r="O613">
        <v>3</v>
      </c>
      <c r="P613" t="s">
        <v>2491</v>
      </c>
      <c r="Q613" t="s">
        <v>2492</v>
      </c>
      <c r="R613" t="s">
        <v>2493</v>
      </c>
      <c r="S613" t="s">
        <v>2494</v>
      </c>
      <c r="T613" t="s">
        <v>32</v>
      </c>
      <c r="U613" t="s">
        <v>80</v>
      </c>
      <c r="V613">
        <v>53</v>
      </c>
      <c r="W613">
        <v>81</v>
      </c>
      <c r="X613">
        <v>121</v>
      </c>
      <c r="Y613">
        <v>82</v>
      </c>
      <c r="Z613">
        <v>190</v>
      </c>
      <c r="AA613">
        <v>139</v>
      </c>
      <c r="AB613" t="s">
        <v>1267</v>
      </c>
      <c r="AC613" t="s">
        <v>226</v>
      </c>
      <c r="AD613" t="s">
        <v>210</v>
      </c>
      <c r="AE613" t="s">
        <v>183</v>
      </c>
      <c r="AF613">
        <v>0</v>
      </c>
    </row>
    <row r="614" spans="1:32">
      <c r="A614">
        <v>211</v>
      </c>
      <c r="B614">
        <v>1141</v>
      </c>
      <c r="C614" t="s">
        <v>2489</v>
      </c>
      <c r="D614" t="s">
        <v>747</v>
      </c>
      <c r="E614" t="s">
        <v>2165</v>
      </c>
      <c r="F614" t="s">
        <v>6</v>
      </c>
      <c r="G614" t="s">
        <v>862</v>
      </c>
      <c r="H614" t="s">
        <v>497</v>
      </c>
      <c r="I614" t="s">
        <v>217</v>
      </c>
      <c r="J614" t="s">
        <v>243</v>
      </c>
      <c r="K614" t="s">
        <v>2490</v>
      </c>
      <c r="L614" s="84">
        <v>41957</v>
      </c>
      <c r="M614" t="s">
        <v>381</v>
      </c>
      <c r="N614" t="s">
        <v>1311</v>
      </c>
      <c r="O614">
        <v>3</v>
      </c>
      <c r="P614" t="s">
        <v>2491</v>
      </c>
      <c r="Q614" t="s">
        <v>2492</v>
      </c>
      <c r="R614" t="s">
        <v>2493</v>
      </c>
      <c r="S614" t="s">
        <v>2494</v>
      </c>
      <c r="T614" t="s">
        <v>34</v>
      </c>
      <c r="U614" t="s">
        <v>80</v>
      </c>
      <c r="V614">
        <v>53</v>
      </c>
      <c r="W614">
        <v>81</v>
      </c>
      <c r="X614">
        <v>121</v>
      </c>
      <c r="Y614">
        <v>82</v>
      </c>
      <c r="Z614">
        <v>190</v>
      </c>
      <c r="AA614">
        <v>139</v>
      </c>
      <c r="AB614" t="s">
        <v>1267</v>
      </c>
      <c r="AC614" t="s">
        <v>226</v>
      </c>
      <c r="AD614" t="s">
        <v>210</v>
      </c>
      <c r="AE614" t="s">
        <v>183</v>
      </c>
      <c r="AF614">
        <v>0</v>
      </c>
    </row>
    <row r="615" spans="1:32">
      <c r="A615">
        <v>211</v>
      </c>
      <c r="B615">
        <v>1141</v>
      </c>
      <c r="C615" t="s">
        <v>2489</v>
      </c>
      <c r="D615" t="s">
        <v>747</v>
      </c>
      <c r="E615" t="s">
        <v>2165</v>
      </c>
      <c r="F615" t="s">
        <v>197</v>
      </c>
      <c r="G615" t="s">
        <v>1383</v>
      </c>
      <c r="H615" t="s">
        <v>192</v>
      </c>
      <c r="I615" t="s">
        <v>188</v>
      </c>
      <c r="J615" t="s">
        <v>192</v>
      </c>
      <c r="K615" t="s">
        <v>2490</v>
      </c>
      <c r="L615" s="84">
        <v>41957</v>
      </c>
      <c r="M615" t="s">
        <v>381</v>
      </c>
      <c r="N615" t="s">
        <v>1311</v>
      </c>
      <c r="O615">
        <v>3</v>
      </c>
      <c r="P615" t="s">
        <v>2491</v>
      </c>
      <c r="Q615" t="s">
        <v>2492</v>
      </c>
      <c r="R615" t="s">
        <v>2493</v>
      </c>
      <c r="S615" t="s">
        <v>2494</v>
      </c>
      <c r="T615" t="s">
        <v>38</v>
      </c>
      <c r="U615" t="s">
        <v>80</v>
      </c>
      <c r="V615">
        <v>53</v>
      </c>
      <c r="W615">
        <v>81</v>
      </c>
      <c r="X615">
        <v>121</v>
      </c>
      <c r="Y615">
        <v>82</v>
      </c>
      <c r="Z615">
        <v>190</v>
      </c>
      <c r="AA615">
        <v>139</v>
      </c>
      <c r="AB615" t="s">
        <v>1267</v>
      </c>
      <c r="AC615" t="s">
        <v>226</v>
      </c>
      <c r="AD615" t="s">
        <v>210</v>
      </c>
      <c r="AE615" t="s">
        <v>183</v>
      </c>
      <c r="AF615">
        <v>0</v>
      </c>
    </row>
    <row r="616" spans="1:32">
      <c r="A616">
        <v>211</v>
      </c>
      <c r="B616">
        <v>1141</v>
      </c>
      <c r="C616" t="s">
        <v>2489</v>
      </c>
      <c r="D616" t="s">
        <v>747</v>
      </c>
      <c r="E616" t="s">
        <v>2165</v>
      </c>
      <c r="F616" t="s">
        <v>37</v>
      </c>
      <c r="G616" t="s">
        <v>2858</v>
      </c>
      <c r="H616" t="s">
        <v>212</v>
      </c>
      <c r="I616" t="s">
        <v>212</v>
      </c>
      <c r="J616" t="s">
        <v>212</v>
      </c>
      <c r="K616" t="s">
        <v>2490</v>
      </c>
      <c r="L616" s="84">
        <v>41957</v>
      </c>
      <c r="M616" t="s">
        <v>381</v>
      </c>
      <c r="N616" t="s">
        <v>1311</v>
      </c>
      <c r="O616">
        <v>3</v>
      </c>
      <c r="P616" t="s">
        <v>2491</v>
      </c>
      <c r="Q616" t="s">
        <v>2492</v>
      </c>
      <c r="R616" t="s">
        <v>2493</v>
      </c>
      <c r="S616" t="s">
        <v>2494</v>
      </c>
      <c r="T616" t="s">
        <v>37</v>
      </c>
      <c r="U616" t="s">
        <v>80</v>
      </c>
      <c r="V616">
        <v>53</v>
      </c>
      <c r="W616">
        <v>81</v>
      </c>
      <c r="X616">
        <v>121</v>
      </c>
      <c r="Y616">
        <v>82</v>
      </c>
      <c r="Z616">
        <v>190</v>
      </c>
      <c r="AA616">
        <v>139</v>
      </c>
      <c r="AB616" t="s">
        <v>1267</v>
      </c>
      <c r="AC616" t="s">
        <v>226</v>
      </c>
      <c r="AD616" t="s">
        <v>210</v>
      </c>
      <c r="AE616" t="s">
        <v>183</v>
      </c>
      <c r="AF616">
        <v>0</v>
      </c>
    </row>
    <row r="617" spans="1:32">
      <c r="A617">
        <v>211</v>
      </c>
      <c r="B617">
        <v>1141</v>
      </c>
      <c r="C617" t="s">
        <v>2489</v>
      </c>
      <c r="D617" t="s">
        <v>747</v>
      </c>
      <c r="E617" t="s">
        <v>2165</v>
      </c>
      <c r="F617" t="s">
        <v>193</v>
      </c>
      <c r="G617" t="s">
        <v>2122</v>
      </c>
      <c r="H617" t="s">
        <v>212</v>
      </c>
      <c r="I617" t="s">
        <v>212</v>
      </c>
      <c r="J617" t="s">
        <v>212</v>
      </c>
      <c r="K617" t="s">
        <v>2490</v>
      </c>
      <c r="L617" s="84">
        <v>41957</v>
      </c>
      <c r="M617" t="s">
        <v>381</v>
      </c>
      <c r="N617" t="s">
        <v>1311</v>
      </c>
      <c r="O617">
        <v>3</v>
      </c>
      <c r="P617" t="s">
        <v>2491</v>
      </c>
      <c r="Q617" t="s">
        <v>2492</v>
      </c>
      <c r="R617" t="s">
        <v>2493</v>
      </c>
      <c r="S617" t="s">
        <v>2494</v>
      </c>
      <c r="T617" t="s">
        <v>36</v>
      </c>
      <c r="U617" t="s">
        <v>80</v>
      </c>
      <c r="V617">
        <v>53</v>
      </c>
      <c r="W617">
        <v>81</v>
      </c>
      <c r="X617">
        <v>121</v>
      </c>
      <c r="Y617">
        <v>82</v>
      </c>
      <c r="Z617">
        <v>190</v>
      </c>
      <c r="AA617">
        <v>139</v>
      </c>
      <c r="AB617" t="s">
        <v>1267</v>
      </c>
      <c r="AC617" t="s">
        <v>226</v>
      </c>
      <c r="AD617" t="s">
        <v>210</v>
      </c>
      <c r="AE617" t="s">
        <v>183</v>
      </c>
      <c r="AF617">
        <v>0</v>
      </c>
    </row>
    <row r="618" spans="1:32">
      <c r="A618">
        <v>212</v>
      </c>
      <c r="B618">
        <v>861</v>
      </c>
      <c r="C618" t="s">
        <v>1747</v>
      </c>
      <c r="D618" t="s">
        <v>747</v>
      </c>
      <c r="E618" t="s">
        <v>2165</v>
      </c>
      <c r="F618" t="s">
        <v>193</v>
      </c>
      <c r="G618" t="s">
        <v>2123</v>
      </c>
      <c r="H618" t="s">
        <v>212</v>
      </c>
      <c r="I618" t="s">
        <v>212</v>
      </c>
      <c r="J618" t="s">
        <v>192</v>
      </c>
      <c r="K618" t="s">
        <v>1748</v>
      </c>
      <c r="L618" s="84">
        <v>42208</v>
      </c>
      <c r="M618" t="s">
        <v>325</v>
      </c>
      <c r="N618" t="s">
        <v>1749</v>
      </c>
      <c r="O618">
        <v>3</v>
      </c>
      <c r="P618" t="s">
        <v>1750</v>
      </c>
      <c r="Q618" t="s">
        <v>1442</v>
      </c>
      <c r="R618" t="s">
        <v>1751</v>
      </c>
      <c r="S618" t="s">
        <v>1752</v>
      </c>
      <c r="T618" t="s">
        <v>36</v>
      </c>
      <c r="U618" t="s">
        <v>80</v>
      </c>
      <c r="V618">
        <v>71</v>
      </c>
      <c r="W618">
        <v>81</v>
      </c>
      <c r="X618">
        <v>121</v>
      </c>
      <c r="Y618">
        <v>107</v>
      </c>
      <c r="Z618">
        <v>190</v>
      </c>
      <c r="AA618">
        <v>170</v>
      </c>
      <c r="AB618" t="s">
        <v>805</v>
      </c>
      <c r="AC618" t="s">
        <v>228</v>
      </c>
      <c r="AD618" t="s">
        <v>182</v>
      </c>
      <c r="AE618" t="s">
        <v>183</v>
      </c>
      <c r="AF618">
        <v>0</v>
      </c>
    </row>
    <row r="619" spans="1:32">
      <c r="A619">
        <v>212</v>
      </c>
      <c r="B619">
        <v>861</v>
      </c>
      <c r="C619" t="s">
        <v>1747</v>
      </c>
      <c r="D619" t="s">
        <v>747</v>
      </c>
      <c r="E619" t="s">
        <v>2165</v>
      </c>
      <c r="F619" t="s">
        <v>37</v>
      </c>
      <c r="G619" t="s">
        <v>2859</v>
      </c>
      <c r="H619" t="s">
        <v>212</v>
      </c>
      <c r="I619" t="s">
        <v>212</v>
      </c>
      <c r="J619" t="s">
        <v>212</v>
      </c>
      <c r="K619" t="s">
        <v>1748</v>
      </c>
      <c r="L619" s="84">
        <v>42208</v>
      </c>
      <c r="M619" t="s">
        <v>325</v>
      </c>
      <c r="N619" t="s">
        <v>1749</v>
      </c>
      <c r="O619">
        <v>3</v>
      </c>
      <c r="P619" t="s">
        <v>1750</v>
      </c>
      <c r="Q619" t="s">
        <v>1442</v>
      </c>
      <c r="R619" t="s">
        <v>1751</v>
      </c>
      <c r="S619" t="s">
        <v>1752</v>
      </c>
      <c r="T619" t="s">
        <v>37</v>
      </c>
      <c r="U619" t="s">
        <v>80</v>
      </c>
      <c r="V619">
        <v>71</v>
      </c>
      <c r="W619">
        <v>81</v>
      </c>
      <c r="X619">
        <v>121</v>
      </c>
      <c r="Y619">
        <v>107</v>
      </c>
      <c r="Z619">
        <v>190</v>
      </c>
      <c r="AA619">
        <v>170</v>
      </c>
      <c r="AB619" t="s">
        <v>805</v>
      </c>
      <c r="AC619" t="s">
        <v>228</v>
      </c>
      <c r="AD619" t="s">
        <v>182</v>
      </c>
      <c r="AE619" t="s">
        <v>183</v>
      </c>
      <c r="AF619">
        <v>0</v>
      </c>
    </row>
    <row r="620" spans="1:32">
      <c r="A620">
        <v>212</v>
      </c>
      <c r="B620">
        <v>861</v>
      </c>
      <c r="C620" t="s">
        <v>1747</v>
      </c>
      <c r="D620" t="s">
        <v>747</v>
      </c>
      <c r="E620" t="s">
        <v>2165</v>
      </c>
      <c r="F620" t="s">
        <v>197</v>
      </c>
      <c r="G620" t="s">
        <v>1384</v>
      </c>
      <c r="H620" t="s">
        <v>192</v>
      </c>
      <c r="I620" t="s">
        <v>192</v>
      </c>
      <c r="J620" t="s">
        <v>192</v>
      </c>
      <c r="K620" t="s">
        <v>1748</v>
      </c>
      <c r="L620" s="84">
        <v>42208</v>
      </c>
      <c r="M620" t="s">
        <v>325</v>
      </c>
      <c r="N620" t="s">
        <v>1749</v>
      </c>
      <c r="O620">
        <v>3</v>
      </c>
      <c r="P620" t="s">
        <v>1750</v>
      </c>
      <c r="Q620" t="s">
        <v>1442</v>
      </c>
      <c r="R620" t="s">
        <v>1751</v>
      </c>
      <c r="S620" t="s">
        <v>1752</v>
      </c>
      <c r="T620" t="s">
        <v>38</v>
      </c>
      <c r="U620" t="s">
        <v>80</v>
      </c>
      <c r="V620">
        <v>71</v>
      </c>
      <c r="W620">
        <v>81</v>
      </c>
      <c r="X620">
        <v>121</v>
      </c>
      <c r="Y620">
        <v>107</v>
      </c>
      <c r="Z620">
        <v>190</v>
      </c>
      <c r="AA620">
        <v>170</v>
      </c>
      <c r="AB620" t="s">
        <v>805</v>
      </c>
      <c r="AC620" t="s">
        <v>228</v>
      </c>
      <c r="AD620" t="s">
        <v>182</v>
      </c>
      <c r="AE620" t="s">
        <v>183</v>
      </c>
      <c r="AF620">
        <v>0</v>
      </c>
    </row>
    <row r="621" spans="1:32">
      <c r="A621">
        <v>212</v>
      </c>
      <c r="B621">
        <v>861</v>
      </c>
      <c r="C621" t="s">
        <v>1747</v>
      </c>
      <c r="D621" t="s">
        <v>747</v>
      </c>
      <c r="E621" t="s">
        <v>2165</v>
      </c>
      <c r="F621" t="s">
        <v>6</v>
      </c>
      <c r="G621" t="s">
        <v>870</v>
      </c>
      <c r="H621" t="s">
        <v>189</v>
      </c>
      <c r="I621" t="s">
        <v>297</v>
      </c>
      <c r="J621" t="s">
        <v>217</v>
      </c>
      <c r="K621" t="s">
        <v>1748</v>
      </c>
      <c r="L621" s="84">
        <v>42208</v>
      </c>
      <c r="M621" t="s">
        <v>325</v>
      </c>
      <c r="N621" t="s">
        <v>1749</v>
      </c>
      <c r="O621">
        <v>3</v>
      </c>
      <c r="P621" t="s">
        <v>1750</v>
      </c>
      <c r="Q621" t="s">
        <v>1442</v>
      </c>
      <c r="R621" t="s">
        <v>1751</v>
      </c>
      <c r="S621" t="s">
        <v>1752</v>
      </c>
      <c r="T621" t="s">
        <v>34</v>
      </c>
      <c r="U621" t="s">
        <v>80</v>
      </c>
      <c r="V621">
        <v>71</v>
      </c>
      <c r="W621">
        <v>81</v>
      </c>
      <c r="X621">
        <v>121</v>
      </c>
      <c r="Y621">
        <v>107</v>
      </c>
      <c r="Z621">
        <v>190</v>
      </c>
      <c r="AA621">
        <v>170</v>
      </c>
      <c r="AB621" t="s">
        <v>805</v>
      </c>
      <c r="AC621" t="s">
        <v>228</v>
      </c>
      <c r="AD621" t="s">
        <v>182</v>
      </c>
      <c r="AE621" t="s">
        <v>183</v>
      </c>
      <c r="AF621">
        <v>0</v>
      </c>
    </row>
    <row r="622" spans="1:32">
      <c r="A622">
        <v>212</v>
      </c>
      <c r="B622">
        <v>861</v>
      </c>
      <c r="C622" t="s">
        <v>1747</v>
      </c>
      <c r="D622" t="s">
        <v>747</v>
      </c>
      <c r="E622" t="s">
        <v>2165</v>
      </c>
      <c r="F622" t="s">
        <v>7</v>
      </c>
      <c r="G622" t="s">
        <v>873</v>
      </c>
      <c r="H622" t="s">
        <v>189</v>
      </c>
      <c r="I622" t="s">
        <v>262</v>
      </c>
      <c r="J622" t="s">
        <v>257</v>
      </c>
      <c r="K622" t="s">
        <v>1748</v>
      </c>
      <c r="L622" s="84">
        <v>42208</v>
      </c>
      <c r="M622" t="s">
        <v>325</v>
      </c>
      <c r="N622" t="s">
        <v>1749</v>
      </c>
      <c r="O622">
        <v>3</v>
      </c>
      <c r="P622" t="s">
        <v>1750</v>
      </c>
      <c r="Q622" t="s">
        <v>1442</v>
      </c>
      <c r="R622" t="s">
        <v>1751</v>
      </c>
      <c r="S622" t="s">
        <v>1752</v>
      </c>
      <c r="T622" t="s">
        <v>32</v>
      </c>
      <c r="U622" t="s">
        <v>80</v>
      </c>
      <c r="V622">
        <v>71</v>
      </c>
      <c r="W622">
        <v>81</v>
      </c>
      <c r="X622">
        <v>121</v>
      </c>
      <c r="Y622">
        <v>107</v>
      </c>
      <c r="Z622">
        <v>190</v>
      </c>
      <c r="AA622">
        <v>170</v>
      </c>
      <c r="AB622" t="s">
        <v>805</v>
      </c>
      <c r="AC622" t="s">
        <v>228</v>
      </c>
      <c r="AD622" t="s">
        <v>182</v>
      </c>
      <c r="AE622" t="s">
        <v>183</v>
      </c>
      <c r="AF622">
        <v>0</v>
      </c>
    </row>
    <row r="623" spans="1:32">
      <c r="A623">
        <v>212</v>
      </c>
      <c r="B623">
        <v>861</v>
      </c>
      <c r="C623" t="s">
        <v>1747</v>
      </c>
      <c r="D623" t="s">
        <v>747</v>
      </c>
      <c r="E623" t="s">
        <v>2165</v>
      </c>
      <c r="F623" t="s">
        <v>8</v>
      </c>
      <c r="G623" t="s">
        <v>872</v>
      </c>
      <c r="H623" t="s">
        <v>215</v>
      </c>
      <c r="I623" t="s">
        <v>257</v>
      </c>
      <c r="J623" t="s">
        <v>217</v>
      </c>
      <c r="K623" t="s">
        <v>1748</v>
      </c>
      <c r="L623" s="84">
        <v>42208</v>
      </c>
      <c r="M623" t="s">
        <v>325</v>
      </c>
      <c r="N623" t="s">
        <v>1749</v>
      </c>
      <c r="O623">
        <v>3</v>
      </c>
      <c r="P623" t="s">
        <v>1750</v>
      </c>
      <c r="Q623" t="s">
        <v>1442</v>
      </c>
      <c r="R623" t="s">
        <v>1751</v>
      </c>
      <c r="S623" t="s">
        <v>1752</v>
      </c>
      <c r="T623" t="s">
        <v>31</v>
      </c>
      <c r="U623" t="s">
        <v>80</v>
      </c>
      <c r="V623">
        <v>71</v>
      </c>
      <c r="W623">
        <v>81</v>
      </c>
      <c r="X623">
        <v>121</v>
      </c>
      <c r="Y623">
        <v>107</v>
      </c>
      <c r="Z623">
        <v>190</v>
      </c>
      <c r="AA623">
        <v>170</v>
      </c>
      <c r="AB623" t="s">
        <v>805</v>
      </c>
      <c r="AC623" t="s">
        <v>228</v>
      </c>
      <c r="AD623" t="s">
        <v>182</v>
      </c>
      <c r="AE623" t="s">
        <v>183</v>
      </c>
      <c r="AF623">
        <v>0</v>
      </c>
    </row>
    <row r="624" spans="1:32">
      <c r="A624">
        <v>212</v>
      </c>
      <c r="B624">
        <v>861</v>
      </c>
      <c r="C624" t="s">
        <v>1747</v>
      </c>
      <c r="D624" t="s">
        <v>747</v>
      </c>
      <c r="E624" t="s">
        <v>2165</v>
      </c>
      <c r="F624" t="s">
        <v>5</v>
      </c>
      <c r="G624" t="s">
        <v>871</v>
      </c>
      <c r="H624" t="s">
        <v>305</v>
      </c>
      <c r="I624" t="s">
        <v>262</v>
      </c>
      <c r="J624" t="s">
        <v>497</v>
      </c>
      <c r="K624" t="s">
        <v>1748</v>
      </c>
      <c r="L624" s="84">
        <v>42208</v>
      </c>
      <c r="M624" t="s">
        <v>325</v>
      </c>
      <c r="N624" t="s">
        <v>1749</v>
      </c>
      <c r="O624">
        <v>3</v>
      </c>
      <c r="P624" t="s">
        <v>1750</v>
      </c>
      <c r="Q624" t="s">
        <v>1442</v>
      </c>
      <c r="R624" t="s">
        <v>1751</v>
      </c>
      <c r="S624" t="s">
        <v>1752</v>
      </c>
      <c r="T624" t="s">
        <v>33</v>
      </c>
      <c r="U624" t="s">
        <v>80</v>
      </c>
      <c r="V624">
        <v>71</v>
      </c>
      <c r="W624">
        <v>81</v>
      </c>
      <c r="X624">
        <v>121</v>
      </c>
      <c r="Y624">
        <v>107</v>
      </c>
      <c r="Z624">
        <v>190</v>
      </c>
      <c r="AA624">
        <v>170</v>
      </c>
      <c r="AB624" t="s">
        <v>805</v>
      </c>
      <c r="AC624" t="s">
        <v>228</v>
      </c>
      <c r="AD624" t="s">
        <v>182</v>
      </c>
      <c r="AE624" t="s">
        <v>183</v>
      </c>
      <c r="AF624">
        <v>0</v>
      </c>
    </row>
    <row r="625" spans="1:32">
      <c r="A625">
        <v>213</v>
      </c>
      <c r="B625">
        <v>849</v>
      </c>
      <c r="C625" t="s">
        <v>1753</v>
      </c>
      <c r="D625" t="s">
        <v>747</v>
      </c>
      <c r="E625" t="s">
        <v>2165</v>
      </c>
      <c r="F625" t="s">
        <v>5</v>
      </c>
      <c r="G625" t="s">
        <v>884</v>
      </c>
      <c r="H625" t="s">
        <v>260</v>
      </c>
      <c r="I625" t="s">
        <v>220</v>
      </c>
      <c r="J625" t="s">
        <v>221</v>
      </c>
      <c r="K625" t="s">
        <v>1754</v>
      </c>
      <c r="L625" s="84">
        <v>41942</v>
      </c>
      <c r="M625" t="s">
        <v>381</v>
      </c>
      <c r="N625" t="s">
        <v>1755</v>
      </c>
      <c r="O625">
        <v>2</v>
      </c>
      <c r="P625" t="s">
        <v>1756</v>
      </c>
      <c r="Q625" t="s">
        <v>1757</v>
      </c>
      <c r="R625" t="s">
        <v>1758</v>
      </c>
      <c r="S625" t="s">
        <v>1759</v>
      </c>
      <c r="T625" t="s">
        <v>33</v>
      </c>
      <c r="U625" t="s">
        <v>79</v>
      </c>
      <c r="V625">
        <v>57</v>
      </c>
      <c r="W625">
        <v>81</v>
      </c>
      <c r="X625">
        <v>121</v>
      </c>
      <c r="Y625">
        <v>75</v>
      </c>
      <c r="Z625">
        <v>190</v>
      </c>
      <c r="AA625">
        <v>129</v>
      </c>
      <c r="AB625" t="s">
        <v>1236</v>
      </c>
      <c r="AC625" t="s">
        <v>171</v>
      </c>
      <c r="AD625" t="s">
        <v>210</v>
      </c>
      <c r="AE625" t="s">
        <v>183</v>
      </c>
      <c r="AF625">
        <v>0</v>
      </c>
    </row>
    <row r="626" spans="1:32">
      <c r="A626">
        <v>213</v>
      </c>
      <c r="B626">
        <v>849</v>
      </c>
      <c r="C626" t="s">
        <v>1753</v>
      </c>
      <c r="D626" t="s">
        <v>747</v>
      </c>
      <c r="E626" t="s">
        <v>2165</v>
      </c>
      <c r="F626" t="s">
        <v>8</v>
      </c>
      <c r="G626" t="s">
        <v>883</v>
      </c>
      <c r="H626" t="s">
        <v>181</v>
      </c>
      <c r="I626" t="s">
        <v>324</v>
      </c>
      <c r="J626" t="s">
        <v>188</v>
      </c>
      <c r="K626" t="s">
        <v>1754</v>
      </c>
      <c r="L626" s="84">
        <v>41942</v>
      </c>
      <c r="M626" t="s">
        <v>381</v>
      </c>
      <c r="N626" t="s">
        <v>1755</v>
      </c>
      <c r="O626">
        <v>2</v>
      </c>
      <c r="P626" t="s">
        <v>1756</v>
      </c>
      <c r="Q626" t="s">
        <v>1757</v>
      </c>
      <c r="R626" t="s">
        <v>1758</v>
      </c>
      <c r="S626" t="s">
        <v>1759</v>
      </c>
      <c r="T626" t="s">
        <v>31</v>
      </c>
      <c r="U626" t="s">
        <v>79</v>
      </c>
      <c r="V626">
        <v>57</v>
      </c>
      <c r="W626">
        <v>81</v>
      </c>
      <c r="X626">
        <v>121</v>
      </c>
      <c r="Y626">
        <v>75</v>
      </c>
      <c r="Z626">
        <v>190</v>
      </c>
      <c r="AA626">
        <v>129</v>
      </c>
      <c r="AB626" t="s">
        <v>1236</v>
      </c>
      <c r="AC626" t="s">
        <v>171</v>
      </c>
      <c r="AD626" t="s">
        <v>210</v>
      </c>
      <c r="AE626" t="s">
        <v>183</v>
      </c>
      <c r="AF626">
        <v>0</v>
      </c>
    </row>
    <row r="627" spans="1:32">
      <c r="A627">
        <v>213</v>
      </c>
      <c r="B627">
        <v>849</v>
      </c>
      <c r="C627" t="s">
        <v>1753</v>
      </c>
      <c r="D627" t="s">
        <v>747</v>
      </c>
      <c r="E627" t="s">
        <v>2165</v>
      </c>
      <c r="F627" t="s">
        <v>7</v>
      </c>
      <c r="G627" t="s">
        <v>875</v>
      </c>
      <c r="H627" t="s">
        <v>223</v>
      </c>
      <c r="I627" t="s">
        <v>324</v>
      </c>
      <c r="J627" t="s">
        <v>212</v>
      </c>
      <c r="K627" t="s">
        <v>1754</v>
      </c>
      <c r="L627" s="84">
        <v>41942</v>
      </c>
      <c r="M627" t="s">
        <v>381</v>
      </c>
      <c r="N627" t="s">
        <v>1755</v>
      </c>
      <c r="O627">
        <v>2</v>
      </c>
      <c r="P627" t="s">
        <v>1756</v>
      </c>
      <c r="Q627" t="s">
        <v>1757</v>
      </c>
      <c r="R627" t="s">
        <v>1758</v>
      </c>
      <c r="S627" t="s">
        <v>1759</v>
      </c>
      <c r="T627" t="s">
        <v>32</v>
      </c>
      <c r="U627" t="s">
        <v>79</v>
      </c>
      <c r="V627">
        <v>57</v>
      </c>
      <c r="W627">
        <v>81</v>
      </c>
      <c r="X627">
        <v>121</v>
      </c>
      <c r="Y627">
        <v>75</v>
      </c>
      <c r="Z627">
        <v>190</v>
      </c>
      <c r="AA627">
        <v>129</v>
      </c>
      <c r="AB627" t="s">
        <v>1236</v>
      </c>
      <c r="AC627" t="s">
        <v>171</v>
      </c>
      <c r="AD627" t="s">
        <v>210</v>
      </c>
      <c r="AE627" t="s">
        <v>183</v>
      </c>
      <c r="AF627">
        <v>0</v>
      </c>
    </row>
    <row r="628" spans="1:32">
      <c r="A628">
        <v>213</v>
      </c>
      <c r="B628">
        <v>849</v>
      </c>
      <c r="C628" t="s">
        <v>1753</v>
      </c>
      <c r="D628" t="s">
        <v>747</v>
      </c>
      <c r="E628" t="s">
        <v>2165</v>
      </c>
      <c r="F628" t="s">
        <v>6</v>
      </c>
      <c r="G628" t="s">
        <v>885</v>
      </c>
      <c r="H628" t="s">
        <v>243</v>
      </c>
      <c r="I628" t="s">
        <v>403</v>
      </c>
      <c r="J628" t="s">
        <v>173</v>
      </c>
      <c r="K628" t="s">
        <v>1754</v>
      </c>
      <c r="L628" s="84">
        <v>41942</v>
      </c>
      <c r="M628" t="s">
        <v>381</v>
      </c>
      <c r="N628" t="s">
        <v>1755</v>
      </c>
      <c r="O628">
        <v>2</v>
      </c>
      <c r="P628" t="s">
        <v>1756</v>
      </c>
      <c r="Q628" t="s">
        <v>1757</v>
      </c>
      <c r="R628" t="s">
        <v>1758</v>
      </c>
      <c r="S628" t="s">
        <v>1759</v>
      </c>
      <c r="T628" t="s">
        <v>34</v>
      </c>
      <c r="U628" t="s">
        <v>79</v>
      </c>
      <c r="V628">
        <v>57</v>
      </c>
      <c r="W628">
        <v>81</v>
      </c>
      <c r="X628">
        <v>121</v>
      </c>
      <c r="Y628">
        <v>75</v>
      </c>
      <c r="Z628">
        <v>190</v>
      </c>
      <c r="AA628">
        <v>129</v>
      </c>
      <c r="AB628" t="s">
        <v>1236</v>
      </c>
      <c r="AC628" t="s">
        <v>171</v>
      </c>
      <c r="AD628" t="s">
        <v>210</v>
      </c>
      <c r="AE628" t="s">
        <v>183</v>
      </c>
      <c r="AF628">
        <v>0</v>
      </c>
    </row>
    <row r="629" spans="1:32">
      <c r="A629">
        <v>213</v>
      </c>
      <c r="B629">
        <v>849</v>
      </c>
      <c r="C629" t="s">
        <v>1753</v>
      </c>
      <c r="D629" t="s">
        <v>747</v>
      </c>
      <c r="E629" t="s">
        <v>2165</v>
      </c>
      <c r="F629" t="s">
        <v>197</v>
      </c>
      <c r="G629" t="s">
        <v>1385</v>
      </c>
      <c r="H629" t="s">
        <v>192</v>
      </c>
      <c r="I629" t="s">
        <v>188</v>
      </c>
      <c r="J629" t="s">
        <v>212</v>
      </c>
      <c r="K629" t="s">
        <v>1754</v>
      </c>
      <c r="L629" s="84">
        <v>41942</v>
      </c>
      <c r="M629" t="s">
        <v>381</v>
      </c>
      <c r="N629" t="s">
        <v>1755</v>
      </c>
      <c r="O629">
        <v>2</v>
      </c>
      <c r="P629" t="s">
        <v>1756</v>
      </c>
      <c r="Q629" t="s">
        <v>1757</v>
      </c>
      <c r="R629" t="s">
        <v>1758</v>
      </c>
      <c r="S629" t="s">
        <v>1759</v>
      </c>
      <c r="T629" t="s">
        <v>38</v>
      </c>
      <c r="U629" t="s">
        <v>79</v>
      </c>
      <c r="V629">
        <v>57</v>
      </c>
      <c r="W629">
        <v>81</v>
      </c>
      <c r="X629">
        <v>121</v>
      </c>
      <c r="Y629">
        <v>75</v>
      </c>
      <c r="Z629">
        <v>190</v>
      </c>
      <c r="AA629">
        <v>129</v>
      </c>
      <c r="AB629" t="s">
        <v>1236</v>
      </c>
      <c r="AC629" t="s">
        <v>171</v>
      </c>
      <c r="AD629" t="s">
        <v>210</v>
      </c>
      <c r="AE629" t="s">
        <v>183</v>
      </c>
      <c r="AF629">
        <v>0</v>
      </c>
    </row>
    <row r="630" spans="1:32">
      <c r="A630">
        <v>213</v>
      </c>
      <c r="B630">
        <v>849</v>
      </c>
      <c r="C630" t="s">
        <v>1753</v>
      </c>
      <c r="D630" t="s">
        <v>747</v>
      </c>
      <c r="E630" t="s">
        <v>2165</v>
      </c>
      <c r="F630" t="s">
        <v>37</v>
      </c>
      <c r="G630" t="s">
        <v>2860</v>
      </c>
      <c r="H630" t="s">
        <v>212</v>
      </c>
      <c r="I630" t="s">
        <v>212</v>
      </c>
      <c r="J630" t="s">
        <v>212</v>
      </c>
      <c r="K630" t="s">
        <v>1754</v>
      </c>
      <c r="L630" s="84">
        <v>41942</v>
      </c>
      <c r="M630" t="s">
        <v>381</v>
      </c>
      <c r="N630" t="s">
        <v>1755</v>
      </c>
      <c r="O630">
        <v>2</v>
      </c>
      <c r="P630" t="s">
        <v>1756</v>
      </c>
      <c r="Q630" t="s">
        <v>1757</v>
      </c>
      <c r="R630" t="s">
        <v>1758</v>
      </c>
      <c r="S630" t="s">
        <v>1759</v>
      </c>
      <c r="T630" t="s">
        <v>37</v>
      </c>
      <c r="U630" t="s">
        <v>79</v>
      </c>
      <c r="V630">
        <v>57</v>
      </c>
      <c r="W630">
        <v>81</v>
      </c>
      <c r="X630">
        <v>121</v>
      </c>
      <c r="Y630">
        <v>75</v>
      </c>
      <c r="Z630">
        <v>190</v>
      </c>
      <c r="AA630">
        <v>129</v>
      </c>
      <c r="AB630" t="s">
        <v>1236</v>
      </c>
      <c r="AC630" t="s">
        <v>171</v>
      </c>
      <c r="AD630" t="s">
        <v>210</v>
      </c>
      <c r="AE630" t="s">
        <v>183</v>
      </c>
      <c r="AF630">
        <v>0</v>
      </c>
    </row>
    <row r="631" spans="1:32">
      <c r="A631">
        <v>213</v>
      </c>
      <c r="B631">
        <v>849</v>
      </c>
      <c r="C631" t="s">
        <v>1753</v>
      </c>
      <c r="D631" t="s">
        <v>747</v>
      </c>
      <c r="E631" t="s">
        <v>2165</v>
      </c>
      <c r="F631" t="s">
        <v>193</v>
      </c>
      <c r="G631" t="s">
        <v>2124</v>
      </c>
      <c r="H631" t="s">
        <v>212</v>
      </c>
      <c r="I631" t="s">
        <v>212</v>
      </c>
      <c r="J631" t="s">
        <v>192</v>
      </c>
      <c r="K631" t="s">
        <v>1754</v>
      </c>
      <c r="L631" s="84">
        <v>41942</v>
      </c>
      <c r="M631" t="s">
        <v>381</v>
      </c>
      <c r="N631" t="s">
        <v>1755</v>
      </c>
      <c r="O631">
        <v>2</v>
      </c>
      <c r="P631" t="s">
        <v>1756</v>
      </c>
      <c r="Q631" t="s">
        <v>1757</v>
      </c>
      <c r="R631" t="s">
        <v>1758</v>
      </c>
      <c r="S631" t="s">
        <v>1759</v>
      </c>
      <c r="T631" t="s">
        <v>36</v>
      </c>
      <c r="U631" t="s">
        <v>79</v>
      </c>
      <c r="V631">
        <v>57</v>
      </c>
      <c r="W631">
        <v>81</v>
      </c>
      <c r="X631">
        <v>121</v>
      </c>
      <c r="Y631">
        <v>75</v>
      </c>
      <c r="Z631">
        <v>190</v>
      </c>
      <c r="AA631">
        <v>129</v>
      </c>
      <c r="AB631" t="s">
        <v>1236</v>
      </c>
      <c r="AC631" t="s">
        <v>171</v>
      </c>
      <c r="AD631" t="s">
        <v>210</v>
      </c>
      <c r="AE631" t="s">
        <v>183</v>
      </c>
      <c r="AF631">
        <v>0</v>
      </c>
    </row>
    <row r="632" spans="1:32">
      <c r="A632">
        <v>214</v>
      </c>
      <c r="B632">
        <v>862</v>
      </c>
      <c r="C632" t="s">
        <v>1760</v>
      </c>
      <c r="D632" t="s">
        <v>747</v>
      </c>
      <c r="E632" t="s">
        <v>2165</v>
      </c>
      <c r="F632" t="s">
        <v>193</v>
      </c>
      <c r="G632" t="s">
        <v>2125</v>
      </c>
      <c r="H632" t="s">
        <v>212</v>
      </c>
      <c r="I632" t="s">
        <v>212</v>
      </c>
      <c r="J632" t="s">
        <v>212</v>
      </c>
      <c r="K632" t="s">
        <v>1761</v>
      </c>
      <c r="L632" s="84">
        <v>42193</v>
      </c>
      <c r="M632" t="s">
        <v>381</v>
      </c>
      <c r="N632" t="s">
        <v>1762</v>
      </c>
      <c r="O632">
        <v>9</v>
      </c>
      <c r="P632" t="s">
        <v>1763</v>
      </c>
      <c r="Q632" t="s">
        <v>1764</v>
      </c>
      <c r="R632" t="s">
        <v>1765</v>
      </c>
      <c r="S632" t="s">
        <v>1766</v>
      </c>
      <c r="T632" t="s">
        <v>36</v>
      </c>
      <c r="U632" t="s">
        <v>85</v>
      </c>
      <c r="V632">
        <v>66</v>
      </c>
      <c r="W632">
        <v>81</v>
      </c>
      <c r="X632">
        <v>121</v>
      </c>
      <c r="Y632">
        <v>99</v>
      </c>
      <c r="Z632">
        <v>190</v>
      </c>
      <c r="AA632">
        <v>144</v>
      </c>
      <c r="AB632" t="s">
        <v>805</v>
      </c>
      <c r="AC632" t="s">
        <v>181</v>
      </c>
      <c r="AD632" t="s">
        <v>210</v>
      </c>
      <c r="AE632" t="s">
        <v>183</v>
      </c>
      <c r="AF632">
        <v>0</v>
      </c>
    </row>
    <row r="633" spans="1:32">
      <c r="A633">
        <v>214</v>
      </c>
      <c r="B633">
        <v>862</v>
      </c>
      <c r="C633" t="s">
        <v>1760</v>
      </c>
      <c r="D633" t="s">
        <v>747</v>
      </c>
      <c r="E633" t="s">
        <v>2165</v>
      </c>
      <c r="F633" t="s">
        <v>37</v>
      </c>
      <c r="G633" t="s">
        <v>2861</v>
      </c>
      <c r="H633" t="s">
        <v>212</v>
      </c>
      <c r="I633" t="s">
        <v>212</v>
      </c>
      <c r="J633" t="s">
        <v>212</v>
      </c>
      <c r="K633" t="s">
        <v>1761</v>
      </c>
      <c r="L633" s="84">
        <v>42193</v>
      </c>
      <c r="M633" t="s">
        <v>381</v>
      </c>
      <c r="N633" t="s">
        <v>1762</v>
      </c>
      <c r="O633">
        <v>9</v>
      </c>
      <c r="P633" t="s">
        <v>1763</v>
      </c>
      <c r="Q633" t="s">
        <v>1764</v>
      </c>
      <c r="R633" t="s">
        <v>1765</v>
      </c>
      <c r="S633" t="s">
        <v>1766</v>
      </c>
      <c r="T633" t="s">
        <v>37</v>
      </c>
      <c r="U633" t="s">
        <v>85</v>
      </c>
      <c r="V633">
        <v>66</v>
      </c>
      <c r="W633">
        <v>81</v>
      </c>
      <c r="X633">
        <v>121</v>
      </c>
      <c r="Y633">
        <v>99</v>
      </c>
      <c r="Z633">
        <v>190</v>
      </c>
      <c r="AA633">
        <v>144</v>
      </c>
      <c r="AB633" t="s">
        <v>805</v>
      </c>
      <c r="AC633" t="s">
        <v>181</v>
      </c>
      <c r="AD633" t="s">
        <v>210</v>
      </c>
      <c r="AE633" t="s">
        <v>183</v>
      </c>
      <c r="AF633">
        <v>0</v>
      </c>
    </row>
    <row r="634" spans="1:32">
      <c r="A634">
        <v>214</v>
      </c>
      <c r="B634">
        <v>862</v>
      </c>
      <c r="C634" t="s">
        <v>1760</v>
      </c>
      <c r="D634" t="s">
        <v>747</v>
      </c>
      <c r="E634" t="s">
        <v>2165</v>
      </c>
      <c r="F634" t="s">
        <v>197</v>
      </c>
      <c r="G634" t="s">
        <v>1386</v>
      </c>
      <c r="H634" t="s">
        <v>192</v>
      </c>
      <c r="I634" t="s">
        <v>188</v>
      </c>
      <c r="J634" t="s">
        <v>192</v>
      </c>
      <c r="K634" t="s">
        <v>1761</v>
      </c>
      <c r="L634" s="84">
        <v>42193</v>
      </c>
      <c r="M634" t="s">
        <v>381</v>
      </c>
      <c r="N634" t="s">
        <v>1762</v>
      </c>
      <c r="O634">
        <v>9</v>
      </c>
      <c r="P634" t="s">
        <v>1763</v>
      </c>
      <c r="Q634" t="s">
        <v>1764</v>
      </c>
      <c r="R634" t="s">
        <v>1765</v>
      </c>
      <c r="S634" t="s">
        <v>1766</v>
      </c>
      <c r="T634" t="s">
        <v>38</v>
      </c>
      <c r="U634" t="s">
        <v>85</v>
      </c>
      <c r="V634">
        <v>66</v>
      </c>
      <c r="W634">
        <v>81</v>
      </c>
      <c r="X634">
        <v>121</v>
      </c>
      <c r="Y634">
        <v>99</v>
      </c>
      <c r="Z634">
        <v>190</v>
      </c>
      <c r="AA634">
        <v>144</v>
      </c>
      <c r="AB634" t="s">
        <v>805</v>
      </c>
      <c r="AC634" t="s">
        <v>181</v>
      </c>
      <c r="AD634" t="s">
        <v>210</v>
      </c>
      <c r="AE634" t="s">
        <v>183</v>
      </c>
      <c r="AF634">
        <v>0</v>
      </c>
    </row>
    <row r="635" spans="1:32">
      <c r="A635">
        <v>214</v>
      </c>
      <c r="B635">
        <v>862</v>
      </c>
      <c r="C635" t="s">
        <v>1760</v>
      </c>
      <c r="D635" t="s">
        <v>747</v>
      </c>
      <c r="E635" t="s">
        <v>2165</v>
      </c>
      <c r="F635" t="s">
        <v>6</v>
      </c>
      <c r="G635" t="s">
        <v>893</v>
      </c>
      <c r="H635" t="s">
        <v>185</v>
      </c>
      <c r="I635" t="s">
        <v>297</v>
      </c>
      <c r="J635" t="s">
        <v>188</v>
      </c>
      <c r="K635" t="s">
        <v>1761</v>
      </c>
      <c r="L635" s="84">
        <v>42193</v>
      </c>
      <c r="M635" t="s">
        <v>381</v>
      </c>
      <c r="N635" t="s">
        <v>1762</v>
      </c>
      <c r="O635">
        <v>9</v>
      </c>
      <c r="P635" t="s">
        <v>1763</v>
      </c>
      <c r="Q635" t="s">
        <v>1764</v>
      </c>
      <c r="R635" t="s">
        <v>1765</v>
      </c>
      <c r="S635" t="s">
        <v>1766</v>
      </c>
      <c r="T635" t="s">
        <v>34</v>
      </c>
      <c r="U635" t="s">
        <v>85</v>
      </c>
      <c r="V635">
        <v>66</v>
      </c>
      <c r="W635">
        <v>81</v>
      </c>
      <c r="X635">
        <v>121</v>
      </c>
      <c r="Y635">
        <v>99</v>
      </c>
      <c r="Z635">
        <v>190</v>
      </c>
      <c r="AA635">
        <v>144</v>
      </c>
      <c r="AB635" t="s">
        <v>805</v>
      </c>
      <c r="AC635" t="s">
        <v>181</v>
      </c>
      <c r="AD635" t="s">
        <v>210</v>
      </c>
      <c r="AE635" t="s">
        <v>183</v>
      </c>
      <c r="AF635">
        <v>0</v>
      </c>
    </row>
    <row r="636" spans="1:32">
      <c r="A636">
        <v>214</v>
      </c>
      <c r="B636">
        <v>862</v>
      </c>
      <c r="C636" t="s">
        <v>1760</v>
      </c>
      <c r="D636" t="s">
        <v>747</v>
      </c>
      <c r="E636" t="s">
        <v>2165</v>
      </c>
      <c r="F636" t="s">
        <v>7</v>
      </c>
      <c r="G636" t="s">
        <v>896</v>
      </c>
      <c r="H636" t="s">
        <v>191</v>
      </c>
      <c r="I636" t="s">
        <v>185</v>
      </c>
      <c r="J636" t="s">
        <v>260</v>
      </c>
      <c r="K636" t="s">
        <v>1761</v>
      </c>
      <c r="L636" s="84">
        <v>42193</v>
      </c>
      <c r="M636" t="s">
        <v>381</v>
      </c>
      <c r="N636" t="s">
        <v>1762</v>
      </c>
      <c r="O636">
        <v>9</v>
      </c>
      <c r="P636" t="s">
        <v>1763</v>
      </c>
      <c r="Q636" t="s">
        <v>1764</v>
      </c>
      <c r="R636" t="s">
        <v>1765</v>
      </c>
      <c r="S636" t="s">
        <v>1766</v>
      </c>
      <c r="T636" t="s">
        <v>32</v>
      </c>
      <c r="U636" t="s">
        <v>85</v>
      </c>
      <c r="V636">
        <v>66</v>
      </c>
      <c r="W636">
        <v>81</v>
      </c>
      <c r="X636">
        <v>121</v>
      </c>
      <c r="Y636">
        <v>99</v>
      </c>
      <c r="Z636">
        <v>190</v>
      </c>
      <c r="AA636">
        <v>144</v>
      </c>
      <c r="AB636" t="s">
        <v>805</v>
      </c>
      <c r="AC636" t="s">
        <v>181</v>
      </c>
      <c r="AD636" t="s">
        <v>210</v>
      </c>
      <c r="AE636" t="s">
        <v>183</v>
      </c>
      <c r="AF636">
        <v>0</v>
      </c>
    </row>
    <row r="637" spans="1:32">
      <c r="A637">
        <v>214</v>
      </c>
      <c r="B637">
        <v>862</v>
      </c>
      <c r="C637" t="s">
        <v>1760</v>
      </c>
      <c r="D637" t="s">
        <v>747</v>
      </c>
      <c r="E637" t="s">
        <v>2165</v>
      </c>
      <c r="F637" t="s">
        <v>8</v>
      </c>
      <c r="G637" t="s">
        <v>895</v>
      </c>
      <c r="H637" t="s">
        <v>220</v>
      </c>
      <c r="I637" t="s">
        <v>259</v>
      </c>
      <c r="J637" t="s">
        <v>215</v>
      </c>
      <c r="K637" t="s">
        <v>1761</v>
      </c>
      <c r="L637" s="84">
        <v>42193</v>
      </c>
      <c r="M637" t="s">
        <v>381</v>
      </c>
      <c r="N637" t="s">
        <v>1762</v>
      </c>
      <c r="O637">
        <v>9</v>
      </c>
      <c r="P637" t="s">
        <v>1763</v>
      </c>
      <c r="Q637" t="s">
        <v>1764</v>
      </c>
      <c r="R637" t="s">
        <v>1765</v>
      </c>
      <c r="S637" t="s">
        <v>1766</v>
      </c>
      <c r="T637" t="s">
        <v>31</v>
      </c>
      <c r="U637" t="s">
        <v>85</v>
      </c>
      <c r="V637">
        <v>66</v>
      </c>
      <c r="W637">
        <v>81</v>
      </c>
      <c r="X637">
        <v>121</v>
      </c>
      <c r="Y637">
        <v>99</v>
      </c>
      <c r="Z637">
        <v>190</v>
      </c>
      <c r="AA637">
        <v>144</v>
      </c>
      <c r="AB637" t="s">
        <v>805</v>
      </c>
      <c r="AC637" t="s">
        <v>181</v>
      </c>
      <c r="AD637" t="s">
        <v>210</v>
      </c>
      <c r="AE637" t="s">
        <v>183</v>
      </c>
      <c r="AF637">
        <v>0</v>
      </c>
    </row>
    <row r="638" spans="1:32">
      <c r="A638">
        <v>214</v>
      </c>
      <c r="B638">
        <v>862</v>
      </c>
      <c r="C638" t="s">
        <v>1760</v>
      </c>
      <c r="D638" t="s">
        <v>747</v>
      </c>
      <c r="E638" t="s">
        <v>2165</v>
      </c>
      <c r="F638" t="s">
        <v>5</v>
      </c>
      <c r="G638" t="s">
        <v>894</v>
      </c>
      <c r="H638" t="s">
        <v>185</v>
      </c>
      <c r="I638" t="s">
        <v>259</v>
      </c>
      <c r="J638" t="s">
        <v>260</v>
      </c>
      <c r="K638" t="s">
        <v>1761</v>
      </c>
      <c r="L638" s="84">
        <v>42193</v>
      </c>
      <c r="M638" t="s">
        <v>381</v>
      </c>
      <c r="N638" t="s">
        <v>1762</v>
      </c>
      <c r="O638">
        <v>9</v>
      </c>
      <c r="P638" t="s">
        <v>1763</v>
      </c>
      <c r="Q638" t="s">
        <v>1764</v>
      </c>
      <c r="R638" t="s">
        <v>1765</v>
      </c>
      <c r="S638" t="s">
        <v>1766</v>
      </c>
      <c r="T638" t="s">
        <v>33</v>
      </c>
      <c r="U638" t="s">
        <v>85</v>
      </c>
      <c r="V638">
        <v>66</v>
      </c>
      <c r="W638">
        <v>81</v>
      </c>
      <c r="X638">
        <v>121</v>
      </c>
      <c r="Y638">
        <v>99</v>
      </c>
      <c r="Z638">
        <v>190</v>
      </c>
      <c r="AA638">
        <v>144</v>
      </c>
      <c r="AB638" t="s">
        <v>805</v>
      </c>
      <c r="AC638" t="s">
        <v>181</v>
      </c>
      <c r="AD638" t="s">
        <v>210</v>
      </c>
      <c r="AE638" t="s">
        <v>183</v>
      </c>
      <c r="AF638">
        <v>0</v>
      </c>
    </row>
    <row r="639" spans="1:32">
      <c r="A639">
        <v>215</v>
      </c>
      <c r="B639">
        <v>872</v>
      </c>
      <c r="C639" t="s">
        <v>1767</v>
      </c>
      <c r="D639" t="s">
        <v>747</v>
      </c>
      <c r="E639" t="s">
        <v>2165</v>
      </c>
      <c r="F639" t="s">
        <v>5</v>
      </c>
      <c r="G639" t="s">
        <v>906</v>
      </c>
      <c r="H639" t="s">
        <v>256</v>
      </c>
      <c r="I639" t="s">
        <v>236</v>
      </c>
      <c r="J639" t="s">
        <v>259</v>
      </c>
      <c r="K639" t="s">
        <v>1768</v>
      </c>
      <c r="L639" s="84">
        <v>42685</v>
      </c>
      <c r="M639" t="s">
        <v>325</v>
      </c>
      <c r="N639" t="s">
        <v>542</v>
      </c>
      <c r="O639">
        <v>2</v>
      </c>
      <c r="P639" t="s">
        <v>1769</v>
      </c>
      <c r="Q639" t="s">
        <v>1770</v>
      </c>
      <c r="R639" t="s">
        <v>1771</v>
      </c>
      <c r="S639" t="s">
        <v>1772</v>
      </c>
      <c r="T639" t="s">
        <v>33</v>
      </c>
      <c r="U639" t="s">
        <v>79</v>
      </c>
      <c r="V639">
        <v>71</v>
      </c>
      <c r="W639">
        <v>81</v>
      </c>
      <c r="X639">
        <v>121</v>
      </c>
      <c r="Y639">
        <v>108</v>
      </c>
      <c r="Z639">
        <v>190</v>
      </c>
      <c r="AA639">
        <v>176</v>
      </c>
      <c r="AB639" t="s">
        <v>234</v>
      </c>
      <c r="AC639" t="s">
        <v>243</v>
      </c>
      <c r="AD639" t="s">
        <v>210</v>
      </c>
      <c r="AE639" t="s">
        <v>183</v>
      </c>
      <c r="AF639">
        <v>0</v>
      </c>
    </row>
    <row r="640" spans="1:32">
      <c r="A640">
        <v>215</v>
      </c>
      <c r="B640">
        <v>872</v>
      </c>
      <c r="C640" t="s">
        <v>1767</v>
      </c>
      <c r="D640" t="s">
        <v>747</v>
      </c>
      <c r="E640" t="s">
        <v>2165</v>
      </c>
      <c r="F640" t="s">
        <v>8</v>
      </c>
      <c r="G640" t="s">
        <v>905</v>
      </c>
      <c r="H640" t="s">
        <v>220</v>
      </c>
      <c r="I640" t="s">
        <v>185</v>
      </c>
      <c r="J640" t="s">
        <v>260</v>
      </c>
      <c r="K640" t="s">
        <v>1768</v>
      </c>
      <c r="L640" s="84">
        <v>42685</v>
      </c>
      <c r="M640" t="s">
        <v>325</v>
      </c>
      <c r="N640" t="s">
        <v>542</v>
      </c>
      <c r="O640">
        <v>2</v>
      </c>
      <c r="P640" t="s">
        <v>1769</v>
      </c>
      <c r="Q640" t="s">
        <v>1770</v>
      </c>
      <c r="R640" t="s">
        <v>1771</v>
      </c>
      <c r="S640" t="s">
        <v>1772</v>
      </c>
      <c r="T640" t="s">
        <v>31</v>
      </c>
      <c r="U640" t="s">
        <v>79</v>
      </c>
      <c r="V640">
        <v>71</v>
      </c>
      <c r="W640">
        <v>81</v>
      </c>
      <c r="X640">
        <v>121</v>
      </c>
      <c r="Y640">
        <v>108</v>
      </c>
      <c r="Z640">
        <v>190</v>
      </c>
      <c r="AA640">
        <v>176</v>
      </c>
      <c r="AB640" t="s">
        <v>234</v>
      </c>
      <c r="AC640" t="s">
        <v>243</v>
      </c>
      <c r="AD640" t="s">
        <v>210</v>
      </c>
      <c r="AE640" t="s">
        <v>183</v>
      </c>
      <c r="AF640">
        <v>0</v>
      </c>
    </row>
    <row r="641" spans="1:32">
      <c r="A641">
        <v>215</v>
      </c>
      <c r="B641">
        <v>872</v>
      </c>
      <c r="C641" t="s">
        <v>1767</v>
      </c>
      <c r="D641" t="s">
        <v>747</v>
      </c>
      <c r="E641" t="s">
        <v>2165</v>
      </c>
      <c r="F641" t="s">
        <v>7</v>
      </c>
      <c r="G641" t="s">
        <v>898</v>
      </c>
      <c r="H641" t="s">
        <v>185</v>
      </c>
      <c r="I641" t="s">
        <v>218</v>
      </c>
      <c r="J641" t="s">
        <v>218</v>
      </c>
      <c r="K641" t="s">
        <v>1768</v>
      </c>
      <c r="L641" s="84">
        <v>42685</v>
      </c>
      <c r="M641" t="s">
        <v>325</v>
      </c>
      <c r="N641" t="s">
        <v>542</v>
      </c>
      <c r="O641">
        <v>2</v>
      </c>
      <c r="P641" t="s">
        <v>1769</v>
      </c>
      <c r="Q641" t="s">
        <v>1770</v>
      </c>
      <c r="R641" t="s">
        <v>1771</v>
      </c>
      <c r="S641" t="s">
        <v>1772</v>
      </c>
      <c r="T641" t="s">
        <v>32</v>
      </c>
      <c r="U641" t="s">
        <v>79</v>
      </c>
      <c r="V641">
        <v>71</v>
      </c>
      <c r="W641">
        <v>81</v>
      </c>
      <c r="X641">
        <v>121</v>
      </c>
      <c r="Y641">
        <v>108</v>
      </c>
      <c r="Z641">
        <v>190</v>
      </c>
      <c r="AA641">
        <v>176</v>
      </c>
      <c r="AB641" t="s">
        <v>234</v>
      </c>
      <c r="AC641" t="s">
        <v>243</v>
      </c>
      <c r="AD641" t="s">
        <v>210</v>
      </c>
      <c r="AE641" t="s">
        <v>183</v>
      </c>
      <c r="AF641">
        <v>0</v>
      </c>
    </row>
    <row r="642" spans="1:32">
      <c r="A642">
        <v>215</v>
      </c>
      <c r="B642">
        <v>872</v>
      </c>
      <c r="C642" t="s">
        <v>1767</v>
      </c>
      <c r="D642" t="s">
        <v>747</v>
      </c>
      <c r="E642" t="s">
        <v>2165</v>
      </c>
      <c r="F642" t="s">
        <v>6</v>
      </c>
      <c r="G642" t="s">
        <v>907</v>
      </c>
      <c r="H642" t="s">
        <v>185</v>
      </c>
      <c r="I642" t="s">
        <v>238</v>
      </c>
      <c r="J642" t="s">
        <v>237</v>
      </c>
      <c r="K642" t="s">
        <v>1768</v>
      </c>
      <c r="L642" s="84">
        <v>42685</v>
      </c>
      <c r="M642" t="s">
        <v>325</v>
      </c>
      <c r="N642" t="s">
        <v>542</v>
      </c>
      <c r="O642">
        <v>2</v>
      </c>
      <c r="P642" t="s">
        <v>1769</v>
      </c>
      <c r="Q642" t="s">
        <v>1770</v>
      </c>
      <c r="R642" t="s">
        <v>1771</v>
      </c>
      <c r="S642" t="s">
        <v>1772</v>
      </c>
      <c r="T642" t="s">
        <v>34</v>
      </c>
      <c r="U642" t="s">
        <v>79</v>
      </c>
      <c r="V642">
        <v>71</v>
      </c>
      <c r="W642">
        <v>81</v>
      </c>
      <c r="X642">
        <v>121</v>
      </c>
      <c r="Y642">
        <v>108</v>
      </c>
      <c r="Z642">
        <v>190</v>
      </c>
      <c r="AA642">
        <v>176</v>
      </c>
      <c r="AB642" t="s">
        <v>234</v>
      </c>
      <c r="AC642" t="s">
        <v>243</v>
      </c>
      <c r="AD642" t="s">
        <v>210</v>
      </c>
      <c r="AE642" t="s">
        <v>183</v>
      </c>
      <c r="AF642">
        <v>0</v>
      </c>
    </row>
    <row r="643" spans="1:32">
      <c r="A643">
        <v>215</v>
      </c>
      <c r="B643">
        <v>872</v>
      </c>
      <c r="C643" t="s">
        <v>1767</v>
      </c>
      <c r="D643" t="s">
        <v>747</v>
      </c>
      <c r="E643" t="s">
        <v>2165</v>
      </c>
      <c r="F643" t="s">
        <v>197</v>
      </c>
      <c r="G643" t="s">
        <v>1387</v>
      </c>
      <c r="H643" t="s">
        <v>192</v>
      </c>
      <c r="I643" t="s">
        <v>188</v>
      </c>
      <c r="J643" t="s">
        <v>212</v>
      </c>
      <c r="K643" t="s">
        <v>1768</v>
      </c>
      <c r="L643" s="84">
        <v>42685</v>
      </c>
      <c r="M643" t="s">
        <v>325</v>
      </c>
      <c r="N643" t="s">
        <v>542</v>
      </c>
      <c r="O643">
        <v>2</v>
      </c>
      <c r="P643" t="s">
        <v>1769</v>
      </c>
      <c r="Q643" t="s">
        <v>1770</v>
      </c>
      <c r="R643" t="s">
        <v>1771</v>
      </c>
      <c r="S643" t="s">
        <v>1772</v>
      </c>
      <c r="T643" t="s">
        <v>38</v>
      </c>
      <c r="U643" t="s">
        <v>79</v>
      </c>
      <c r="V643">
        <v>71</v>
      </c>
      <c r="W643">
        <v>81</v>
      </c>
      <c r="X643">
        <v>121</v>
      </c>
      <c r="Y643">
        <v>108</v>
      </c>
      <c r="Z643">
        <v>190</v>
      </c>
      <c r="AA643">
        <v>176</v>
      </c>
      <c r="AB643" t="s">
        <v>234</v>
      </c>
      <c r="AC643" t="s">
        <v>243</v>
      </c>
      <c r="AD643" t="s">
        <v>210</v>
      </c>
      <c r="AE643" t="s">
        <v>183</v>
      </c>
      <c r="AF643">
        <v>0</v>
      </c>
    </row>
    <row r="644" spans="1:32">
      <c r="A644">
        <v>215</v>
      </c>
      <c r="B644">
        <v>872</v>
      </c>
      <c r="C644" t="s">
        <v>1767</v>
      </c>
      <c r="D644" t="s">
        <v>747</v>
      </c>
      <c r="E644" t="s">
        <v>2165</v>
      </c>
      <c r="F644" t="s">
        <v>37</v>
      </c>
      <c r="G644" t="s">
        <v>2862</v>
      </c>
      <c r="H644" t="s">
        <v>212</v>
      </c>
      <c r="I644" t="s">
        <v>212</v>
      </c>
      <c r="J644" t="s">
        <v>212</v>
      </c>
      <c r="K644" t="s">
        <v>1768</v>
      </c>
      <c r="L644" s="84">
        <v>42685</v>
      </c>
      <c r="M644" t="s">
        <v>325</v>
      </c>
      <c r="N644" t="s">
        <v>542</v>
      </c>
      <c r="O644">
        <v>2</v>
      </c>
      <c r="P644" t="s">
        <v>1769</v>
      </c>
      <c r="Q644" t="s">
        <v>1770</v>
      </c>
      <c r="R644" t="s">
        <v>1771</v>
      </c>
      <c r="S644" t="s">
        <v>1772</v>
      </c>
      <c r="T644" t="s">
        <v>37</v>
      </c>
      <c r="U644" t="s">
        <v>79</v>
      </c>
      <c r="V644">
        <v>71</v>
      </c>
      <c r="W644">
        <v>81</v>
      </c>
      <c r="X644">
        <v>121</v>
      </c>
      <c r="Y644">
        <v>108</v>
      </c>
      <c r="Z644">
        <v>190</v>
      </c>
      <c r="AA644">
        <v>176</v>
      </c>
      <c r="AB644" t="s">
        <v>234</v>
      </c>
      <c r="AC644" t="s">
        <v>243</v>
      </c>
      <c r="AD644" t="s">
        <v>210</v>
      </c>
      <c r="AE644" t="s">
        <v>183</v>
      </c>
      <c r="AF644">
        <v>0</v>
      </c>
    </row>
    <row r="645" spans="1:32">
      <c r="A645">
        <v>215</v>
      </c>
      <c r="B645">
        <v>872</v>
      </c>
      <c r="C645" t="s">
        <v>1767</v>
      </c>
      <c r="D645" t="s">
        <v>747</v>
      </c>
      <c r="E645" t="s">
        <v>2165</v>
      </c>
      <c r="F645" t="s">
        <v>193</v>
      </c>
      <c r="G645" t="s">
        <v>2126</v>
      </c>
      <c r="H645" t="s">
        <v>212</v>
      </c>
      <c r="I645" t="s">
        <v>212</v>
      </c>
      <c r="J645" t="s">
        <v>212</v>
      </c>
      <c r="K645" t="s">
        <v>1768</v>
      </c>
      <c r="L645" s="84">
        <v>42685</v>
      </c>
      <c r="M645" t="s">
        <v>325</v>
      </c>
      <c r="N645" t="s">
        <v>542</v>
      </c>
      <c r="O645">
        <v>2</v>
      </c>
      <c r="P645" t="s">
        <v>1769</v>
      </c>
      <c r="Q645" t="s">
        <v>1770</v>
      </c>
      <c r="R645" t="s">
        <v>1771</v>
      </c>
      <c r="S645" t="s">
        <v>1772</v>
      </c>
      <c r="T645" t="s">
        <v>36</v>
      </c>
      <c r="U645" t="s">
        <v>79</v>
      </c>
      <c r="V645">
        <v>71</v>
      </c>
      <c r="W645">
        <v>81</v>
      </c>
      <c r="X645">
        <v>121</v>
      </c>
      <c r="Y645">
        <v>108</v>
      </c>
      <c r="Z645">
        <v>190</v>
      </c>
      <c r="AA645">
        <v>176</v>
      </c>
      <c r="AB645" t="s">
        <v>234</v>
      </c>
      <c r="AC645" t="s">
        <v>243</v>
      </c>
      <c r="AD645" t="s">
        <v>210</v>
      </c>
      <c r="AE645" t="s">
        <v>183</v>
      </c>
      <c r="AF645">
        <v>0</v>
      </c>
    </row>
    <row r="646" spans="1:32">
      <c r="A646">
        <v>216</v>
      </c>
      <c r="B646">
        <v>873</v>
      </c>
      <c r="C646" t="s">
        <v>1773</v>
      </c>
      <c r="D646" t="s">
        <v>747</v>
      </c>
      <c r="E646" t="s">
        <v>2165</v>
      </c>
      <c r="F646" t="s">
        <v>193</v>
      </c>
      <c r="G646" t="s">
        <v>2127</v>
      </c>
      <c r="H646" t="s">
        <v>212</v>
      </c>
      <c r="I646" t="s">
        <v>212</v>
      </c>
      <c r="J646" t="s">
        <v>212</v>
      </c>
      <c r="K646" t="s">
        <v>1774</v>
      </c>
      <c r="L646" s="84">
        <v>42063</v>
      </c>
      <c r="M646" t="s">
        <v>381</v>
      </c>
      <c r="N646" t="s">
        <v>1699</v>
      </c>
      <c r="O646">
        <v>3</v>
      </c>
      <c r="P646" t="s">
        <v>1775</v>
      </c>
      <c r="Q646" t="s">
        <v>1776</v>
      </c>
      <c r="R646" t="s">
        <v>1777</v>
      </c>
      <c r="S646" t="s">
        <v>1778</v>
      </c>
      <c r="T646" t="s">
        <v>36</v>
      </c>
      <c r="U646" t="s">
        <v>80</v>
      </c>
      <c r="V646">
        <v>43</v>
      </c>
      <c r="W646">
        <v>81</v>
      </c>
      <c r="X646">
        <v>121</v>
      </c>
      <c r="Y646">
        <v>73</v>
      </c>
      <c r="Z646">
        <v>190</v>
      </c>
      <c r="AA646">
        <v>126</v>
      </c>
      <c r="AB646" t="s">
        <v>1348</v>
      </c>
      <c r="AC646" t="s">
        <v>256</v>
      </c>
      <c r="AD646" t="s">
        <v>210</v>
      </c>
      <c r="AE646" t="s">
        <v>183</v>
      </c>
      <c r="AF646">
        <v>0</v>
      </c>
    </row>
    <row r="647" spans="1:32">
      <c r="A647">
        <v>216</v>
      </c>
      <c r="B647">
        <v>873</v>
      </c>
      <c r="C647" t="s">
        <v>1773</v>
      </c>
      <c r="D647" t="s">
        <v>747</v>
      </c>
      <c r="E647" t="s">
        <v>2165</v>
      </c>
      <c r="F647" t="s">
        <v>37</v>
      </c>
      <c r="G647" t="s">
        <v>2863</v>
      </c>
      <c r="H647" t="s">
        <v>212</v>
      </c>
      <c r="I647" t="s">
        <v>212</v>
      </c>
      <c r="J647" t="s">
        <v>212</v>
      </c>
      <c r="K647" t="s">
        <v>1774</v>
      </c>
      <c r="L647" s="84">
        <v>42063</v>
      </c>
      <c r="M647" t="s">
        <v>381</v>
      </c>
      <c r="N647" t="s">
        <v>1699</v>
      </c>
      <c r="O647">
        <v>3</v>
      </c>
      <c r="P647" t="s">
        <v>1775</v>
      </c>
      <c r="Q647" t="s">
        <v>1776</v>
      </c>
      <c r="R647" t="s">
        <v>1777</v>
      </c>
      <c r="S647" t="s">
        <v>1778</v>
      </c>
      <c r="T647" t="s">
        <v>37</v>
      </c>
      <c r="U647" t="s">
        <v>80</v>
      </c>
      <c r="V647">
        <v>43</v>
      </c>
      <c r="W647">
        <v>81</v>
      </c>
      <c r="X647">
        <v>121</v>
      </c>
      <c r="Y647">
        <v>73</v>
      </c>
      <c r="Z647">
        <v>190</v>
      </c>
      <c r="AA647">
        <v>126</v>
      </c>
      <c r="AB647" t="s">
        <v>1348</v>
      </c>
      <c r="AC647" t="s">
        <v>256</v>
      </c>
      <c r="AD647" t="s">
        <v>210</v>
      </c>
      <c r="AE647" t="s">
        <v>183</v>
      </c>
      <c r="AF647">
        <v>0</v>
      </c>
    </row>
    <row r="648" spans="1:32">
      <c r="A648">
        <v>216</v>
      </c>
      <c r="B648">
        <v>873</v>
      </c>
      <c r="C648" t="s">
        <v>1773</v>
      </c>
      <c r="D648" t="s">
        <v>747</v>
      </c>
      <c r="E648" t="s">
        <v>2165</v>
      </c>
      <c r="F648" t="s">
        <v>197</v>
      </c>
      <c r="G648" t="s">
        <v>1388</v>
      </c>
      <c r="H648" t="s">
        <v>192</v>
      </c>
      <c r="I648" t="s">
        <v>192</v>
      </c>
      <c r="J648" t="s">
        <v>192</v>
      </c>
      <c r="K648" t="s">
        <v>1774</v>
      </c>
      <c r="L648" s="84">
        <v>42063</v>
      </c>
      <c r="M648" t="s">
        <v>381</v>
      </c>
      <c r="N648" t="s">
        <v>1699</v>
      </c>
      <c r="O648">
        <v>3</v>
      </c>
      <c r="P648" t="s">
        <v>1775</v>
      </c>
      <c r="Q648" t="s">
        <v>1776</v>
      </c>
      <c r="R648" t="s">
        <v>1777</v>
      </c>
      <c r="S648" t="s">
        <v>1778</v>
      </c>
      <c r="T648" t="s">
        <v>38</v>
      </c>
      <c r="U648" t="s">
        <v>80</v>
      </c>
      <c r="V648">
        <v>43</v>
      </c>
      <c r="W648">
        <v>81</v>
      </c>
      <c r="X648">
        <v>121</v>
      </c>
      <c r="Y648">
        <v>73</v>
      </c>
      <c r="Z648">
        <v>190</v>
      </c>
      <c r="AA648">
        <v>126</v>
      </c>
      <c r="AB648" t="s">
        <v>1348</v>
      </c>
      <c r="AC648" t="s">
        <v>256</v>
      </c>
      <c r="AD648" t="s">
        <v>210</v>
      </c>
      <c r="AE648" t="s">
        <v>183</v>
      </c>
      <c r="AF648">
        <v>0</v>
      </c>
    </row>
    <row r="649" spans="1:32">
      <c r="A649">
        <v>216</v>
      </c>
      <c r="B649">
        <v>873</v>
      </c>
      <c r="C649" t="s">
        <v>1773</v>
      </c>
      <c r="D649" t="s">
        <v>747</v>
      </c>
      <c r="E649" t="s">
        <v>2165</v>
      </c>
      <c r="F649" t="s">
        <v>6</v>
      </c>
      <c r="G649" t="s">
        <v>913</v>
      </c>
      <c r="H649" t="s">
        <v>238</v>
      </c>
      <c r="I649" t="s">
        <v>220</v>
      </c>
      <c r="J649" t="s">
        <v>226</v>
      </c>
      <c r="K649" t="s">
        <v>1774</v>
      </c>
      <c r="L649" s="84">
        <v>42063</v>
      </c>
      <c r="M649" t="s">
        <v>381</v>
      </c>
      <c r="N649" t="s">
        <v>1699</v>
      </c>
      <c r="O649">
        <v>3</v>
      </c>
      <c r="P649" t="s">
        <v>1775</v>
      </c>
      <c r="Q649" t="s">
        <v>1776</v>
      </c>
      <c r="R649" t="s">
        <v>1777</v>
      </c>
      <c r="S649" t="s">
        <v>1778</v>
      </c>
      <c r="T649" t="s">
        <v>34</v>
      </c>
      <c r="U649" t="s">
        <v>80</v>
      </c>
      <c r="V649">
        <v>43</v>
      </c>
      <c r="W649">
        <v>81</v>
      </c>
      <c r="X649">
        <v>121</v>
      </c>
      <c r="Y649">
        <v>73</v>
      </c>
      <c r="Z649">
        <v>190</v>
      </c>
      <c r="AA649">
        <v>126</v>
      </c>
      <c r="AB649" t="s">
        <v>1348</v>
      </c>
      <c r="AC649" t="s">
        <v>256</v>
      </c>
      <c r="AD649" t="s">
        <v>210</v>
      </c>
      <c r="AE649" t="s">
        <v>183</v>
      </c>
      <c r="AF649">
        <v>0</v>
      </c>
    </row>
    <row r="650" spans="1:32">
      <c r="A650">
        <v>216</v>
      </c>
      <c r="B650">
        <v>873</v>
      </c>
      <c r="C650" t="s">
        <v>1773</v>
      </c>
      <c r="D650" t="s">
        <v>747</v>
      </c>
      <c r="E650" t="s">
        <v>2165</v>
      </c>
      <c r="F650" t="s">
        <v>7</v>
      </c>
      <c r="G650" t="s">
        <v>917</v>
      </c>
      <c r="H650" t="s">
        <v>237</v>
      </c>
      <c r="I650" t="s">
        <v>238</v>
      </c>
      <c r="J650" t="s">
        <v>260</v>
      </c>
      <c r="K650" t="s">
        <v>1774</v>
      </c>
      <c r="L650" s="84">
        <v>42063</v>
      </c>
      <c r="M650" t="s">
        <v>381</v>
      </c>
      <c r="N650" t="s">
        <v>1699</v>
      </c>
      <c r="O650">
        <v>3</v>
      </c>
      <c r="P650" t="s">
        <v>1775</v>
      </c>
      <c r="Q650" t="s">
        <v>1776</v>
      </c>
      <c r="R650" t="s">
        <v>1777</v>
      </c>
      <c r="S650" t="s">
        <v>1778</v>
      </c>
      <c r="T650" t="s">
        <v>32</v>
      </c>
      <c r="U650" t="s">
        <v>80</v>
      </c>
      <c r="V650">
        <v>43</v>
      </c>
      <c r="W650">
        <v>81</v>
      </c>
      <c r="X650">
        <v>121</v>
      </c>
      <c r="Y650">
        <v>73</v>
      </c>
      <c r="Z650">
        <v>190</v>
      </c>
      <c r="AA650">
        <v>126</v>
      </c>
      <c r="AB650" t="s">
        <v>1348</v>
      </c>
      <c r="AC650" t="s">
        <v>256</v>
      </c>
      <c r="AD650" t="s">
        <v>210</v>
      </c>
      <c r="AE650" t="s">
        <v>183</v>
      </c>
      <c r="AF650">
        <v>0</v>
      </c>
    </row>
    <row r="651" spans="1:32">
      <c r="A651">
        <v>216</v>
      </c>
      <c r="B651">
        <v>873</v>
      </c>
      <c r="C651" t="s">
        <v>1773</v>
      </c>
      <c r="D651" t="s">
        <v>747</v>
      </c>
      <c r="E651" t="s">
        <v>2165</v>
      </c>
      <c r="F651" t="s">
        <v>8</v>
      </c>
      <c r="G651" t="s">
        <v>916</v>
      </c>
      <c r="H651" t="s">
        <v>297</v>
      </c>
      <c r="I651" t="s">
        <v>237</v>
      </c>
      <c r="J651" t="s">
        <v>256</v>
      </c>
      <c r="K651" t="s">
        <v>1774</v>
      </c>
      <c r="L651" s="84">
        <v>42063</v>
      </c>
      <c r="M651" t="s">
        <v>381</v>
      </c>
      <c r="N651" t="s">
        <v>1699</v>
      </c>
      <c r="O651">
        <v>3</v>
      </c>
      <c r="P651" t="s">
        <v>1775</v>
      </c>
      <c r="Q651" t="s">
        <v>1776</v>
      </c>
      <c r="R651" t="s">
        <v>1777</v>
      </c>
      <c r="S651" t="s">
        <v>1778</v>
      </c>
      <c r="T651" t="s">
        <v>31</v>
      </c>
      <c r="U651" t="s">
        <v>80</v>
      </c>
      <c r="V651">
        <v>43</v>
      </c>
      <c r="W651">
        <v>81</v>
      </c>
      <c r="X651">
        <v>121</v>
      </c>
      <c r="Y651">
        <v>73</v>
      </c>
      <c r="Z651">
        <v>190</v>
      </c>
      <c r="AA651">
        <v>126</v>
      </c>
      <c r="AB651" t="s">
        <v>1348</v>
      </c>
      <c r="AC651" t="s">
        <v>256</v>
      </c>
      <c r="AD651" t="s">
        <v>210</v>
      </c>
      <c r="AE651" t="s">
        <v>183</v>
      </c>
      <c r="AF651">
        <v>0</v>
      </c>
    </row>
    <row r="652" spans="1:32">
      <c r="A652">
        <v>216</v>
      </c>
      <c r="B652">
        <v>873</v>
      </c>
      <c r="C652" t="s">
        <v>1773</v>
      </c>
      <c r="D652" t="s">
        <v>747</v>
      </c>
      <c r="E652" t="s">
        <v>2165</v>
      </c>
      <c r="F652" t="s">
        <v>5</v>
      </c>
      <c r="G652" t="s">
        <v>915</v>
      </c>
      <c r="H652" t="s">
        <v>236</v>
      </c>
      <c r="I652" t="s">
        <v>218</v>
      </c>
      <c r="J652" t="s">
        <v>260</v>
      </c>
      <c r="K652" t="s">
        <v>1774</v>
      </c>
      <c r="L652" s="84">
        <v>42063</v>
      </c>
      <c r="M652" t="s">
        <v>381</v>
      </c>
      <c r="N652" t="s">
        <v>1699</v>
      </c>
      <c r="O652">
        <v>3</v>
      </c>
      <c r="P652" t="s">
        <v>1775</v>
      </c>
      <c r="Q652" t="s">
        <v>1776</v>
      </c>
      <c r="R652" t="s">
        <v>1777</v>
      </c>
      <c r="S652" t="s">
        <v>1778</v>
      </c>
      <c r="T652" t="s">
        <v>33</v>
      </c>
      <c r="U652" t="s">
        <v>80</v>
      </c>
      <c r="V652">
        <v>43</v>
      </c>
      <c r="W652">
        <v>81</v>
      </c>
      <c r="X652">
        <v>121</v>
      </c>
      <c r="Y652">
        <v>73</v>
      </c>
      <c r="Z652">
        <v>190</v>
      </c>
      <c r="AA652">
        <v>126</v>
      </c>
      <c r="AB652" t="s">
        <v>1348</v>
      </c>
      <c r="AC652" t="s">
        <v>256</v>
      </c>
      <c r="AD652" t="s">
        <v>210</v>
      </c>
      <c r="AE652" t="s">
        <v>183</v>
      </c>
      <c r="AF652">
        <v>0</v>
      </c>
    </row>
    <row r="653" spans="1:32">
      <c r="A653">
        <v>217</v>
      </c>
      <c r="B653">
        <v>947</v>
      </c>
      <c r="C653" t="s">
        <v>1779</v>
      </c>
      <c r="D653" t="s">
        <v>747</v>
      </c>
      <c r="E653" t="s">
        <v>2165</v>
      </c>
      <c r="F653" t="s">
        <v>5</v>
      </c>
      <c r="G653" t="s">
        <v>925</v>
      </c>
      <c r="H653" t="s">
        <v>237</v>
      </c>
      <c r="I653" t="s">
        <v>239</v>
      </c>
      <c r="J653" t="s">
        <v>215</v>
      </c>
      <c r="K653" t="s">
        <v>1780</v>
      </c>
      <c r="L653" s="84">
        <v>42286</v>
      </c>
      <c r="M653" t="s">
        <v>381</v>
      </c>
      <c r="N653" t="s">
        <v>877</v>
      </c>
      <c r="O653">
        <v>9</v>
      </c>
      <c r="P653" t="s">
        <v>1781</v>
      </c>
      <c r="Q653" t="s">
        <v>1782</v>
      </c>
      <c r="R653" t="s">
        <v>1783</v>
      </c>
      <c r="S653" t="s">
        <v>1784</v>
      </c>
      <c r="T653" t="s">
        <v>33</v>
      </c>
      <c r="U653" t="s">
        <v>85</v>
      </c>
      <c r="V653">
        <v>57</v>
      </c>
      <c r="W653">
        <v>81</v>
      </c>
      <c r="X653">
        <v>121</v>
      </c>
      <c r="Y653">
        <v>79</v>
      </c>
      <c r="Z653">
        <v>190</v>
      </c>
      <c r="AA653">
        <v>126</v>
      </c>
      <c r="AB653" t="s">
        <v>696</v>
      </c>
      <c r="AC653" t="s">
        <v>223</v>
      </c>
      <c r="AD653" t="s">
        <v>609</v>
      </c>
      <c r="AE653" t="s">
        <v>183</v>
      </c>
      <c r="AF653">
        <v>2</v>
      </c>
    </row>
    <row r="654" spans="1:32">
      <c r="A654">
        <v>217</v>
      </c>
      <c r="B654">
        <v>947</v>
      </c>
      <c r="C654" t="s">
        <v>1779</v>
      </c>
      <c r="D654" t="s">
        <v>747</v>
      </c>
      <c r="E654" t="s">
        <v>2165</v>
      </c>
      <c r="F654" t="s">
        <v>8</v>
      </c>
      <c r="G654" t="s">
        <v>924</v>
      </c>
      <c r="H654" t="s">
        <v>324</v>
      </c>
      <c r="I654" t="s">
        <v>227</v>
      </c>
      <c r="J654" t="s">
        <v>324</v>
      </c>
      <c r="K654" t="s">
        <v>1780</v>
      </c>
      <c r="L654" s="84">
        <v>42286</v>
      </c>
      <c r="M654" t="s">
        <v>381</v>
      </c>
      <c r="N654" t="s">
        <v>877</v>
      </c>
      <c r="O654">
        <v>9</v>
      </c>
      <c r="P654" t="s">
        <v>1781</v>
      </c>
      <c r="Q654" t="s">
        <v>1782</v>
      </c>
      <c r="R654" t="s">
        <v>1783</v>
      </c>
      <c r="S654" t="s">
        <v>1784</v>
      </c>
      <c r="T654" t="s">
        <v>31</v>
      </c>
      <c r="U654" t="s">
        <v>85</v>
      </c>
      <c r="V654">
        <v>57</v>
      </c>
      <c r="W654">
        <v>81</v>
      </c>
      <c r="X654">
        <v>121</v>
      </c>
      <c r="Y654">
        <v>79</v>
      </c>
      <c r="Z654">
        <v>190</v>
      </c>
      <c r="AA654">
        <v>126</v>
      </c>
      <c r="AB654" t="s">
        <v>696</v>
      </c>
      <c r="AC654" t="s">
        <v>223</v>
      </c>
      <c r="AD654" t="s">
        <v>609</v>
      </c>
      <c r="AE654" t="s">
        <v>183</v>
      </c>
      <c r="AF654">
        <v>2</v>
      </c>
    </row>
    <row r="655" spans="1:32">
      <c r="A655">
        <v>217</v>
      </c>
      <c r="B655">
        <v>947</v>
      </c>
      <c r="C655" t="s">
        <v>1779</v>
      </c>
      <c r="D655" t="s">
        <v>747</v>
      </c>
      <c r="E655" t="s">
        <v>2165</v>
      </c>
      <c r="F655" t="s">
        <v>7</v>
      </c>
      <c r="G655" t="s">
        <v>919</v>
      </c>
      <c r="H655" t="s">
        <v>181</v>
      </c>
      <c r="I655" t="s">
        <v>171</v>
      </c>
      <c r="J655" t="s">
        <v>236</v>
      </c>
      <c r="K655" t="s">
        <v>1780</v>
      </c>
      <c r="L655" s="84">
        <v>42286</v>
      </c>
      <c r="M655" t="s">
        <v>381</v>
      </c>
      <c r="N655" t="s">
        <v>877</v>
      </c>
      <c r="O655">
        <v>9</v>
      </c>
      <c r="P655" t="s">
        <v>1781</v>
      </c>
      <c r="Q655" t="s">
        <v>1782</v>
      </c>
      <c r="R655" t="s">
        <v>1783</v>
      </c>
      <c r="S655" t="s">
        <v>1784</v>
      </c>
      <c r="T655" t="s">
        <v>32</v>
      </c>
      <c r="U655" t="s">
        <v>85</v>
      </c>
      <c r="V655">
        <v>57</v>
      </c>
      <c r="W655">
        <v>81</v>
      </c>
      <c r="X655">
        <v>121</v>
      </c>
      <c r="Y655">
        <v>79</v>
      </c>
      <c r="Z655">
        <v>190</v>
      </c>
      <c r="AA655">
        <v>126</v>
      </c>
      <c r="AB655" t="s">
        <v>696</v>
      </c>
      <c r="AC655" t="s">
        <v>223</v>
      </c>
      <c r="AD655" t="s">
        <v>609</v>
      </c>
      <c r="AE655" t="s">
        <v>183</v>
      </c>
      <c r="AF655">
        <v>2</v>
      </c>
    </row>
    <row r="656" spans="1:32">
      <c r="A656">
        <v>217</v>
      </c>
      <c r="B656">
        <v>947</v>
      </c>
      <c r="C656" t="s">
        <v>1779</v>
      </c>
      <c r="D656" t="s">
        <v>747</v>
      </c>
      <c r="E656" t="s">
        <v>2165</v>
      </c>
      <c r="F656" t="s">
        <v>6</v>
      </c>
      <c r="G656" t="s">
        <v>926</v>
      </c>
      <c r="H656" t="s">
        <v>324</v>
      </c>
      <c r="I656" t="s">
        <v>243</v>
      </c>
      <c r="J656" t="s">
        <v>243</v>
      </c>
      <c r="K656" t="s">
        <v>1780</v>
      </c>
      <c r="L656" s="84">
        <v>42286</v>
      </c>
      <c r="M656" t="s">
        <v>381</v>
      </c>
      <c r="N656" t="s">
        <v>877</v>
      </c>
      <c r="O656">
        <v>9</v>
      </c>
      <c r="P656" t="s">
        <v>1781</v>
      </c>
      <c r="Q656" t="s">
        <v>1782</v>
      </c>
      <c r="R656" t="s">
        <v>1783</v>
      </c>
      <c r="S656" t="s">
        <v>1784</v>
      </c>
      <c r="T656" t="s">
        <v>34</v>
      </c>
      <c r="U656" t="s">
        <v>85</v>
      </c>
      <c r="V656">
        <v>57</v>
      </c>
      <c r="W656">
        <v>81</v>
      </c>
      <c r="X656">
        <v>121</v>
      </c>
      <c r="Y656">
        <v>79</v>
      </c>
      <c r="Z656">
        <v>190</v>
      </c>
      <c r="AA656">
        <v>126</v>
      </c>
      <c r="AB656" t="s">
        <v>696</v>
      </c>
      <c r="AC656" t="s">
        <v>223</v>
      </c>
      <c r="AD656" t="s">
        <v>609</v>
      </c>
      <c r="AE656" t="s">
        <v>183</v>
      </c>
      <c r="AF656">
        <v>2</v>
      </c>
    </row>
    <row r="657" spans="1:32">
      <c r="A657">
        <v>217</v>
      </c>
      <c r="B657">
        <v>947</v>
      </c>
      <c r="C657" t="s">
        <v>1779</v>
      </c>
      <c r="D657" t="s">
        <v>747</v>
      </c>
      <c r="E657" t="s">
        <v>2165</v>
      </c>
      <c r="F657" t="s">
        <v>197</v>
      </c>
      <c r="G657" t="s">
        <v>1390</v>
      </c>
      <c r="H657" t="s">
        <v>212</v>
      </c>
      <c r="I657" t="s">
        <v>212</v>
      </c>
      <c r="J657" t="s">
        <v>192</v>
      </c>
      <c r="K657" t="s">
        <v>1780</v>
      </c>
      <c r="L657" s="84">
        <v>42286</v>
      </c>
      <c r="M657" t="s">
        <v>381</v>
      </c>
      <c r="N657" t="s">
        <v>877</v>
      </c>
      <c r="O657">
        <v>9</v>
      </c>
      <c r="P657" t="s">
        <v>1781</v>
      </c>
      <c r="Q657" t="s">
        <v>1782</v>
      </c>
      <c r="R657" t="s">
        <v>1783</v>
      </c>
      <c r="S657" t="s">
        <v>1784</v>
      </c>
      <c r="T657" t="s">
        <v>38</v>
      </c>
      <c r="U657" t="s">
        <v>85</v>
      </c>
      <c r="V657">
        <v>57</v>
      </c>
      <c r="W657">
        <v>81</v>
      </c>
      <c r="X657">
        <v>121</v>
      </c>
      <c r="Y657">
        <v>79</v>
      </c>
      <c r="Z657">
        <v>190</v>
      </c>
      <c r="AA657">
        <v>126</v>
      </c>
      <c r="AB657" t="s">
        <v>696</v>
      </c>
      <c r="AC657" t="s">
        <v>223</v>
      </c>
      <c r="AD657" t="s">
        <v>609</v>
      </c>
      <c r="AE657" t="s">
        <v>183</v>
      </c>
      <c r="AF657">
        <v>2</v>
      </c>
    </row>
    <row r="658" spans="1:32">
      <c r="A658">
        <v>217</v>
      </c>
      <c r="B658">
        <v>947</v>
      </c>
      <c r="C658" t="s">
        <v>1779</v>
      </c>
      <c r="D658" t="s">
        <v>747</v>
      </c>
      <c r="E658" t="s">
        <v>2165</v>
      </c>
      <c r="F658" t="s">
        <v>37</v>
      </c>
      <c r="G658" t="s">
        <v>2864</v>
      </c>
      <c r="H658" t="s">
        <v>212</v>
      </c>
      <c r="I658" t="s">
        <v>212</v>
      </c>
      <c r="J658" t="s">
        <v>212</v>
      </c>
      <c r="K658" t="s">
        <v>1780</v>
      </c>
      <c r="L658" s="84">
        <v>42286</v>
      </c>
      <c r="M658" t="s">
        <v>381</v>
      </c>
      <c r="N658" t="s">
        <v>877</v>
      </c>
      <c r="O658">
        <v>9</v>
      </c>
      <c r="P658" t="s">
        <v>1781</v>
      </c>
      <c r="Q658" t="s">
        <v>1782</v>
      </c>
      <c r="R658" t="s">
        <v>1783</v>
      </c>
      <c r="S658" t="s">
        <v>1784</v>
      </c>
      <c r="T658" t="s">
        <v>37</v>
      </c>
      <c r="U658" t="s">
        <v>85</v>
      </c>
      <c r="V658">
        <v>57</v>
      </c>
      <c r="W658">
        <v>81</v>
      </c>
      <c r="X658">
        <v>121</v>
      </c>
      <c r="Y658">
        <v>79</v>
      </c>
      <c r="Z658">
        <v>190</v>
      </c>
      <c r="AA658">
        <v>126</v>
      </c>
      <c r="AB658" t="s">
        <v>696</v>
      </c>
      <c r="AC658" t="s">
        <v>223</v>
      </c>
      <c r="AD658" t="s">
        <v>609</v>
      </c>
      <c r="AE658" t="s">
        <v>183</v>
      </c>
      <c r="AF658">
        <v>2</v>
      </c>
    </row>
    <row r="659" spans="1:32">
      <c r="A659">
        <v>217</v>
      </c>
      <c r="B659">
        <v>947</v>
      </c>
      <c r="C659" t="s">
        <v>1779</v>
      </c>
      <c r="D659" t="s">
        <v>747</v>
      </c>
      <c r="E659" t="s">
        <v>2165</v>
      </c>
      <c r="F659" t="s">
        <v>193</v>
      </c>
      <c r="G659" t="s">
        <v>2128</v>
      </c>
      <c r="H659" t="s">
        <v>212</v>
      </c>
      <c r="I659" t="s">
        <v>212</v>
      </c>
      <c r="J659" t="s">
        <v>192</v>
      </c>
      <c r="K659" t="s">
        <v>1780</v>
      </c>
      <c r="L659" s="84">
        <v>42286</v>
      </c>
      <c r="M659" t="s">
        <v>381</v>
      </c>
      <c r="N659" t="s">
        <v>877</v>
      </c>
      <c r="O659">
        <v>9</v>
      </c>
      <c r="P659" t="s">
        <v>1781</v>
      </c>
      <c r="Q659" t="s">
        <v>1782</v>
      </c>
      <c r="R659" t="s">
        <v>1783</v>
      </c>
      <c r="S659" t="s">
        <v>1784</v>
      </c>
      <c r="T659" t="s">
        <v>36</v>
      </c>
      <c r="U659" t="s">
        <v>85</v>
      </c>
      <c r="V659">
        <v>57</v>
      </c>
      <c r="W659">
        <v>81</v>
      </c>
      <c r="X659">
        <v>121</v>
      </c>
      <c r="Y659">
        <v>79</v>
      </c>
      <c r="Z659">
        <v>190</v>
      </c>
      <c r="AA659">
        <v>126</v>
      </c>
      <c r="AB659" t="s">
        <v>696</v>
      </c>
      <c r="AC659" t="s">
        <v>223</v>
      </c>
      <c r="AD659" t="s">
        <v>609</v>
      </c>
      <c r="AE659" t="s">
        <v>183</v>
      </c>
      <c r="AF659">
        <v>2</v>
      </c>
    </row>
    <row r="660" spans="1:32">
      <c r="A660">
        <v>218</v>
      </c>
      <c r="B660">
        <v>842</v>
      </c>
      <c r="C660" t="s">
        <v>362</v>
      </c>
      <c r="D660" t="s">
        <v>747</v>
      </c>
      <c r="E660" t="s">
        <v>2165</v>
      </c>
      <c r="F660" t="s">
        <v>193</v>
      </c>
      <c r="G660" t="s">
        <v>2129</v>
      </c>
      <c r="H660" t="s">
        <v>212</v>
      </c>
      <c r="I660" t="s">
        <v>212</v>
      </c>
      <c r="J660" t="s">
        <v>212</v>
      </c>
      <c r="K660" t="s">
        <v>364</v>
      </c>
      <c r="L660" s="84">
        <v>42556</v>
      </c>
      <c r="M660" t="s">
        <v>325</v>
      </c>
      <c r="N660" t="s">
        <v>365</v>
      </c>
      <c r="O660">
        <v>9</v>
      </c>
      <c r="P660" t="s">
        <v>366</v>
      </c>
      <c r="Q660" t="s">
        <v>367</v>
      </c>
      <c r="R660" t="s">
        <v>368</v>
      </c>
      <c r="S660" t="s">
        <v>369</v>
      </c>
      <c r="T660" t="s">
        <v>36</v>
      </c>
      <c r="U660" t="s">
        <v>85</v>
      </c>
      <c r="V660">
        <v>42</v>
      </c>
      <c r="W660">
        <v>81</v>
      </c>
      <c r="X660">
        <v>121</v>
      </c>
      <c r="Y660">
        <v>66</v>
      </c>
      <c r="Z660">
        <v>190</v>
      </c>
      <c r="AA660">
        <v>109</v>
      </c>
      <c r="AB660" t="s">
        <v>370</v>
      </c>
      <c r="AC660" t="s">
        <v>192</v>
      </c>
      <c r="AD660" t="s">
        <v>210</v>
      </c>
      <c r="AE660" t="s">
        <v>183</v>
      </c>
      <c r="AF660">
        <v>4</v>
      </c>
    </row>
    <row r="661" spans="1:32">
      <c r="A661">
        <v>218</v>
      </c>
      <c r="B661">
        <v>842</v>
      </c>
      <c r="C661" t="s">
        <v>362</v>
      </c>
      <c r="D661" t="s">
        <v>747</v>
      </c>
      <c r="E661" t="s">
        <v>2165</v>
      </c>
      <c r="F661" t="s">
        <v>37</v>
      </c>
      <c r="G661" t="s">
        <v>2865</v>
      </c>
      <c r="H661" t="s">
        <v>212</v>
      </c>
      <c r="I661" t="s">
        <v>212</v>
      </c>
      <c r="J661" t="s">
        <v>212</v>
      </c>
      <c r="K661" t="s">
        <v>364</v>
      </c>
      <c r="L661" s="84">
        <v>42556</v>
      </c>
      <c r="M661" t="s">
        <v>325</v>
      </c>
      <c r="N661" t="s">
        <v>365</v>
      </c>
      <c r="O661">
        <v>9</v>
      </c>
      <c r="P661" t="s">
        <v>366</v>
      </c>
      <c r="Q661" t="s">
        <v>367</v>
      </c>
      <c r="R661" t="s">
        <v>368</v>
      </c>
      <c r="S661" t="s">
        <v>369</v>
      </c>
      <c r="T661" t="s">
        <v>37</v>
      </c>
      <c r="U661" t="s">
        <v>85</v>
      </c>
      <c r="V661">
        <v>42</v>
      </c>
      <c r="W661">
        <v>81</v>
      </c>
      <c r="X661">
        <v>121</v>
      </c>
      <c r="Y661">
        <v>66</v>
      </c>
      <c r="Z661">
        <v>190</v>
      </c>
      <c r="AA661">
        <v>109</v>
      </c>
      <c r="AB661" t="s">
        <v>370</v>
      </c>
      <c r="AC661" t="s">
        <v>192</v>
      </c>
      <c r="AD661" t="s">
        <v>210</v>
      </c>
      <c r="AE661" t="s">
        <v>183</v>
      </c>
      <c r="AF661">
        <v>4</v>
      </c>
    </row>
    <row r="662" spans="1:32">
      <c r="A662">
        <v>218</v>
      </c>
      <c r="B662">
        <v>842</v>
      </c>
      <c r="C662" t="s">
        <v>362</v>
      </c>
      <c r="D662" t="s">
        <v>747</v>
      </c>
      <c r="E662" t="s">
        <v>2165</v>
      </c>
      <c r="F662" t="s">
        <v>197</v>
      </c>
      <c r="G662" t="s">
        <v>1391</v>
      </c>
      <c r="H662" t="s">
        <v>212</v>
      </c>
      <c r="I662" t="s">
        <v>192</v>
      </c>
      <c r="J662" t="s">
        <v>192</v>
      </c>
      <c r="K662" t="s">
        <v>364</v>
      </c>
      <c r="L662" s="84">
        <v>42556</v>
      </c>
      <c r="M662" t="s">
        <v>325</v>
      </c>
      <c r="N662" t="s">
        <v>365</v>
      </c>
      <c r="O662">
        <v>9</v>
      </c>
      <c r="P662" t="s">
        <v>366</v>
      </c>
      <c r="Q662" t="s">
        <v>367</v>
      </c>
      <c r="R662" t="s">
        <v>368</v>
      </c>
      <c r="S662" t="s">
        <v>369</v>
      </c>
      <c r="T662" t="s">
        <v>38</v>
      </c>
      <c r="U662" t="s">
        <v>85</v>
      </c>
      <c r="V662">
        <v>42</v>
      </c>
      <c r="W662">
        <v>81</v>
      </c>
      <c r="X662">
        <v>121</v>
      </c>
      <c r="Y662">
        <v>66</v>
      </c>
      <c r="Z662">
        <v>190</v>
      </c>
      <c r="AA662">
        <v>109</v>
      </c>
      <c r="AB662" t="s">
        <v>370</v>
      </c>
      <c r="AC662" t="s">
        <v>192</v>
      </c>
      <c r="AD662" t="s">
        <v>210</v>
      </c>
      <c r="AE662" t="s">
        <v>183</v>
      </c>
      <c r="AF662">
        <v>4</v>
      </c>
    </row>
    <row r="663" spans="1:32">
      <c r="A663">
        <v>218</v>
      </c>
      <c r="B663">
        <v>842</v>
      </c>
      <c r="C663" t="s">
        <v>362</v>
      </c>
      <c r="D663" t="s">
        <v>747</v>
      </c>
      <c r="E663" t="s">
        <v>2165</v>
      </c>
      <c r="F663" t="s">
        <v>6</v>
      </c>
      <c r="G663" t="s">
        <v>933</v>
      </c>
      <c r="H663" t="s">
        <v>403</v>
      </c>
      <c r="I663" t="s">
        <v>324</v>
      </c>
      <c r="J663" t="s">
        <v>181</v>
      </c>
      <c r="K663" t="s">
        <v>364</v>
      </c>
      <c r="L663" s="84">
        <v>42556</v>
      </c>
      <c r="M663" t="s">
        <v>325</v>
      </c>
      <c r="N663" t="s">
        <v>365</v>
      </c>
      <c r="O663">
        <v>9</v>
      </c>
      <c r="P663" t="s">
        <v>366</v>
      </c>
      <c r="Q663" t="s">
        <v>367</v>
      </c>
      <c r="R663" t="s">
        <v>368</v>
      </c>
      <c r="S663" t="s">
        <v>369</v>
      </c>
      <c r="T663" t="s">
        <v>34</v>
      </c>
      <c r="U663" t="s">
        <v>85</v>
      </c>
      <c r="V663">
        <v>42</v>
      </c>
      <c r="W663">
        <v>81</v>
      </c>
      <c r="X663">
        <v>121</v>
      </c>
      <c r="Y663">
        <v>66</v>
      </c>
      <c r="Z663">
        <v>190</v>
      </c>
      <c r="AA663">
        <v>109</v>
      </c>
      <c r="AB663" t="s">
        <v>370</v>
      </c>
      <c r="AC663" t="s">
        <v>192</v>
      </c>
      <c r="AD663" t="s">
        <v>210</v>
      </c>
      <c r="AE663" t="s">
        <v>183</v>
      </c>
      <c r="AF663">
        <v>4</v>
      </c>
    </row>
    <row r="664" spans="1:32">
      <c r="A664">
        <v>218</v>
      </c>
      <c r="B664">
        <v>842</v>
      </c>
      <c r="C664" t="s">
        <v>362</v>
      </c>
      <c r="D664" t="s">
        <v>747</v>
      </c>
      <c r="E664" t="s">
        <v>2165</v>
      </c>
      <c r="F664" t="s">
        <v>7</v>
      </c>
      <c r="G664" t="s">
        <v>936</v>
      </c>
      <c r="H664" t="s">
        <v>415</v>
      </c>
      <c r="I664" t="s">
        <v>228</v>
      </c>
      <c r="J664" t="s">
        <v>228</v>
      </c>
      <c r="K664" t="s">
        <v>364</v>
      </c>
      <c r="L664" s="84">
        <v>42556</v>
      </c>
      <c r="M664" t="s">
        <v>325</v>
      </c>
      <c r="N664" t="s">
        <v>365</v>
      </c>
      <c r="O664">
        <v>9</v>
      </c>
      <c r="P664" t="s">
        <v>366</v>
      </c>
      <c r="Q664" t="s">
        <v>367</v>
      </c>
      <c r="R664" t="s">
        <v>368</v>
      </c>
      <c r="S664" t="s">
        <v>369</v>
      </c>
      <c r="T664" t="s">
        <v>32</v>
      </c>
      <c r="U664" t="s">
        <v>85</v>
      </c>
      <c r="V664">
        <v>42</v>
      </c>
      <c r="W664">
        <v>81</v>
      </c>
      <c r="X664">
        <v>121</v>
      </c>
      <c r="Y664">
        <v>66</v>
      </c>
      <c r="Z664">
        <v>190</v>
      </c>
      <c r="AA664">
        <v>109</v>
      </c>
      <c r="AB664" t="s">
        <v>370</v>
      </c>
      <c r="AC664" t="s">
        <v>192</v>
      </c>
      <c r="AD664" t="s">
        <v>210</v>
      </c>
      <c r="AE664" t="s">
        <v>183</v>
      </c>
      <c r="AF664">
        <v>4</v>
      </c>
    </row>
    <row r="665" spans="1:32">
      <c r="A665">
        <v>218</v>
      </c>
      <c r="B665">
        <v>842</v>
      </c>
      <c r="C665" t="s">
        <v>362</v>
      </c>
      <c r="D665" t="s">
        <v>747</v>
      </c>
      <c r="E665" t="s">
        <v>2165</v>
      </c>
      <c r="F665" t="s">
        <v>8</v>
      </c>
      <c r="G665" t="s">
        <v>935</v>
      </c>
      <c r="H665" t="s">
        <v>376</v>
      </c>
      <c r="I665" t="s">
        <v>415</v>
      </c>
      <c r="J665" t="s">
        <v>324</v>
      </c>
      <c r="K665" t="s">
        <v>364</v>
      </c>
      <c r="L665" s="84">
        <v>42556</v>
      </c>
      <c r="M665" t="s">
        <v>325</v>
      </c>
      <c r="N665" t="s">
        <v>365</v>
      </c>
      <c r="O665">
        <v>9</v>
      </c>
      <c r="P665" t="s">
        <v>366</v>
      </c>
      <c r="Q665" t="s">
        <v>367</v>
      </c>
      <c r="R665" t="s">
        <v>368</v>
      </c>
      <c r="S665" t="s">
        <v>369</v>
      </c>
      <c r="T665" t="s">
        <v>31</v>
      </c>
      <c r="U665" t="s">
        <v>85</v>
      </c>
      <c r="V665">
        <v>42</v>
      </c>
      <c r="W665">
        <v>81</v>
      </c>
      <c r="X665">
        <v>121</v>
      </c>
      <c r="Y665">
        <v>66</v>
      </c>
      <c r="Z665">
        <v>190</v>
      </c>
      <c r="AA665">
        <v>109</v>
      </c>
      <c r="AB665" t="s">
        <v>370</v>
      </c>
      <c r="AC665" t="s">
        <v>192</v>
      </c>
      <c r="AD665" t="s">
        <v>210</v>
      </c>
      <c r="AE665" t="s">
        <v>183</v>
      </c>
      <c r="AF665">
        <v>4</v>
      </c>
    </row>
    <row r="666" spans="1:32">
      <c r="A666">
        <v>218</v>
      </c>
      <c r="B666">
        <v>842</v>
      </c>
      <c r="C666" t="s">
        <v>362</v>
      </c>
      <c r="D666" t="s">
        <v>747</v>
      </c>
      <c r="E666" t="s">
        <v>2165</v>
      </c>
      <c r="F666" t="s">
        <v>5</v>
      </c>
      <c r="G666" t="s">
        <v>934</v>
      </c>
      <c r="H666" t="s">
        <v>187</v>
      </c>
      <c r="I666" t="s">
        <v>192</v>
      </c>
      <c r="J666" t="s">
        <v>181</v>
      </c>
      <c r="K666" t="s">
        <v>364</v>
      </c>
      <c r="L666" s="84">
        <v>42556</v>
      </c>
      <c r="M666" t="s">
        <v>325</v>
      </c>
      <c r="N666" t="s">
        <v>365</v>
      </c>
      <c r="O666">
        <v>9</v>
      </c>
      <c r="P666" t="s">
        <v>366</v>
      </c>
      <c r="Q666" t="s">
        <v>367</v>
      </c>
      <c r="R666" t="s">
        <v>368</v>
      </c>
      <c r="S666" t="s">
        <v>369</v>
      </c>
      <c r="T666" t="s">
        <v>33</v>
      </c>
      <c r="U666" t="s">
        <v>85</v>
      </c>
      <c r="V666">
        <v>42</v>
      </c>
      <c r="W666">
        <v>81</v>
      </c>
      <c r="X666">
        <v>121</v>
      </c>
      <c r="Y666">
        <v>66</v>
      </c>
      <c r="Z666">
        <v>190</v>
      </c>
      <c r="AA666">
        <v>109</v>
      </c>
      <c r="AB666" t="s">
        <v>370</v>
      </c>
      <c r="AC666" t="s">
        <v>192</v>
      </c>
      <c r="AD666" t="s">
        <v>210</v>
      </c>
      <c r="AE666" t="s">
        <v>183</v>
      </c>
      <c r="AF666">
        <v>4</v>
      </c>
    </row>
    <row r="667" spans="1:32">
      <c r="A667">
        <v>219</v>
      </c>
      <c r="B667">
        <v>890</v>
      </c>
      <c r="C667" t="s">
        <v>1785</v>
      </c>
      <c r="D667" t="s">
        <v>747</v>
      </c>
      <c r="E667" t="s">
        <v>2165</v>
      </c>
      <c r="F667" t="s">
        <v>5</v>
      </c>
      <c r="G667" t="s">
        <v>946</v>
      </c>
      <c r="H667" t="s">
        <v>216</v>
      </c>
      <c r="I667" t="s">
        <v>220</v>
      </c>
      <c r="J667" t="s">
        <v>221</v>
      </c>
      <c r="K667" t="s">
        <v>1786</v>
      </c>
      <c r="L667" s="84">
        <v>42448</v>
      </c>
      <c r="M667" t="s">
        <v>381</v>
      </c>
      <c r="N667" t="s">
        <v>1787</v>
      </c>
      <c r="O667">
        <v>3</v>
      </c>
      <c r="P667" t="s">
        <v>580</v>
      </c>
      <c r="Q667" t="s">
        <v>581</v>
      </c>
      <c r="R667" t="s">
        <v>1788</v>
      </c>
      <c r="S667" t="s">
        <v>1789</v>
      </c>
      <c r="T667" t="s">
        <v>33</v>
      </c>
      <c r="U667" t="s">
        <v>80</v>
      </c>
      <c r="V667">
        <v>71</v>
      </c>
      <c r="W667">
        <v>81</v>
      </c>
      <c r="X667">
        <v>121</v>
      </c>
      <c r="Y667">
        <v>109</v>
      </c>
      <c r="Z667">
        <v>190</v>
      </c>
      <c r="AA667">
        <v>173</v>
      </c>
      <c r="AB667" t="s">
        <v>327</v>
      </c>
      <c r="AC667" t="s">
        <v>243</v>
      </c>
      <c r="AD667" t="s">
        <v>210</v>
      </c>
      <c r="AE667" t="s">
        <v>183</v>
      </c>
      <c r="AF667">
        <v>0</v>
      </c>
    </row>
    <row r="668" spans="1:32">
      <c r="A668">
        <v>219</v>
      </c>
      <c r="B668">
        <v>890</v>
      </c>
      <c r="C668" t="s">
        <v>1785</v>
      </c>
      <c r="D668" t="s">
        <v>747</v>
      </c>
      <c r="E668" t="s">
        <v>2165</v>
      </c>
      <c r="F668" t="s">
        <v>8</v>
      </c>
      <c r="G668" t="s">
        <v>945</v>
      </c>
      <c r="H668" t="s">
        <v>256</v>
      </c>
      <c r="I668" t="s">
        <v>256</v>
      </c>
      <c r="J668" t="s">
        <v>171</v>
      </c>
      <c r="K668" t="s">
        <v>1786</v>
      </c>
      <c r="L668" s="84">
        <v>42448</v>
      </c>
      <c r="M668" t="s">
        <v>381</v>
      </c>
      <c r="N668" t="s">
        <v>1787</v>
      </c>
      <c r="O668">
        <v>3</v>
      </c>
      <c r="P668" t="s">
        <v>580</v>
      </c>
      <c r="Q668" t="s">
        <v>581</v>
      </c>
      <c r="R668" t="s">
        <v>1788</v>
      </c>
      <c r="S668" t="s">
        <v>1789</v>
      </c>
      <c r="T668" t="s">
        <v>31</v>
      </c>
      <c r="U668" t="s">
        <v>80</v>
      </c>
      <c r="V668">
        <v>71</v>
      </c>
      <c r="W668">
        <v>81</v>
      </c>
      <c r="X668">
        <v>121</v>
      </c>
      <c r="Y668">
        <v>109</v>
      </c>
      <c r="Z668">
        <v>190</v>
      </c>
      <c r="AA668">
        <v>173</v>
      </c>
      <c r="AB668" t="s">
        <v>327</v>
      </c>
      <c r="AC668" t="s">
        <v>243</v>
      </c>
      <c r="AD668" t="s">
        <v>210</v>
      </c>
      <c r="AE668" t="s">
        <v>183</v>
      </c>
      <c r="AF668">
        <v>0</v>
      </c>
    </row>
    <row r="669" spans="1:32">
      <c r="A669">
        <v>219</v>
      </c>
      <c r="B669">
        <v>890</v>
      </c>
      <c r="C669" t="s">
        <v>1785</v>
      </c>
      <c r="D669" t="s">
        <v>747</v>
      </c>
      <c r="E669" t="s">
        <v>2165</v>
      </c>
      <c r="F669" t="s">
        <v>7</v>
      </c>
      <c r="G669" t="s">
        <v>938</v>
      </c>
      <c r="H669" t="s">
        <v>191</v>
      </c>
      <c r="I669" t="s">
        <v>275</v>
      </c>
      <c r="J669" t="s">
        <v>216</v>
      </c>
      <c r="K669" t="s">
        <v>1786</v>
      </c>
      <c r="L669" s="84">
        <v>42448</v>
      </c>
      <c r="M669" t="s">
        <v>381</v>
      </c>
      <c r="N669" t="s">
        <v>1787</v>
      </c>
      <c r="O669">
        <v>3</v>
      </c>
      <c r="P669" t="s">
        <v>580</v>
      </c>
      <c r="Q669" t="s">
        <v>581</v>
      </c>
      <c r="R669" t="s">
        <v>1788</v>
      </c>
      <c r="S669" t="s">
        <v>1789</v>
      </c>
      <c r="T669" t="s">
        <v>32</v>
      </c>
      <c r="U669" t="s">
        <v>80</v>
      </c>
      <c r="V669">
        <v>71</v>
      </c>
      <c r="W669">
        <v>81</v>
      </c>
      <c r="X669">
        <v>121</v>
      </c>
      <c r="Y669">
        <v>109</v>
      </c>
      <c r="Z669">
        <v>190</v>
      </c>
      <c r="AA669">
        <v>173</v>
      </c>
      <c r="AB669" t="s">
        <v>327</v>
      </c>
      <c r="AC669" t="s">
        <v>243</v>
      </c>
      <c r="AD669" t="s">
        <v>210</v>
      </c>
      <c r="AE669" t="s">
        <v>183</v>
      </c>
      <c r="AF669">
        <v>0</v>
      </c>
    </row>
    <row r="670" spans="1:32">
      <c r="A670">
        <v>219</v>
      </c>
      <c r="B670">
        <v>890</v>
      </c>
      <c r="C670" t="s">
        <v>1785</v>
      </c>
      <c r="D670" t="s">
        <v>747</v>
      </c>
      <c r="E670" t="s">
        <v>2165</v>
      </c>
      <c r="F670" t="s">
        <v>6</v>
      </c>
      <c r="G670" t="s">
        <v>947</v>
      </c>
      <c r="H670" t="s">
        <v>237</v>
      </c>
      <c r="I670" t="s">
        <v>238</v>
      </c>
      <c r="J670" t="s">
        <v>236</v>
      </c>
      <c r="K670" t="s">
        <v>1786</v>
      </c>
      <c r="L670" s="84">
        <v>42448</v>
      </c>
      <c r="M670" t="s">
        <v>381</v>
      </c>
      <c r="N670" t="s">
        <v>1787</v>
      </c>
      <c r="O670">
        <v>3</v>
      </c>
      <c r="P670" t="s">
        <v>580</v>
      </c>
      <c r="Q670" t="s">
        <v>581</v>
      </c>
      <c r="R670" t="s">
        <v>1788</v>
      </c>
      <c r="S670" t="s">
        <v>1789</v>
      </c>
      <c r="T670" t="s">
        <v>34</v>
      </c>
      <c r="U670" t="s">
        <v>80</v>
      </c>
      <c r="V670">
        <v>71</v>
      </c>
      <c r="W670">
        <v>81</v>
      </c>
      <c r="X670">
        <v>121</v>
      </c>
      <c r="Y670">
        <v>109</v>
      </c>
      <c r="Z670">
        <v>190</v>
      </c>
      <c r="AA670">
        <v>173</v>
      </c>
      <c r="AB670" t="s">
        <v>327</v>
      </c>
      <c r="AC670" t="s">
        <v>243</v>
      </c>
      <c r="AD670" t="s">
        <v>210</v>
      </c>
      <c r="AE670" t="s">
        <v>183</v>
      </c>
      <c r="AF670">
        <v>0</v>
      </c>
    </row>
    <row r="671" spans="1:32">
      <c r="A671">
        <v>219</v>
      </c>
      <c r="B671">
        <v>890</v>
      </c>
      <c r="C671" t="s">
        <v>1785</v>
      </c>
      <c r="D671" t="s">
        <v>747</v>
      </c>
      <c r="E671" t="s">
        <v>2165</v>
      </c>
      <c r="F671" t="s">
        <v>197</v>
      </c>
      <c r="G671" t="s">
        <v>1392</v>
      </c>
      <c r="H671" t="s">
        <v>212</v>
      </c>
      <c r="I671" t="s">
        <v>188</v>
      </c>
      <c r="J671" t="s">
        <v>192</v>
      </c>
      <c r="K671" t="s">
        <v>1786</v>
      </c>
      <c r="L671" s="84">
        <v>42448</v>
      </c>
      <c r="M671" t="s">
        <v>381</v>
      </c>
      <c r="N671" t="s">
        <v>1787</v>
      </c>
      <c r="O671">
        <v>3</v>
      </c>
      <c r="P671" t="s">
        <v>580</v>
      </c>
      <c r="Q671" t="s">
        <v>581</v>
      </c>
      <c r="R671" t="s">
        <v>1788</v>
      </c>
      <c r="S671" t="s">
        <v>1789</v>
      </c>
      <c r="T671" t="s">
        <v>38</v>
      </c>
      <c r="U671" t="s">
        <v>80</v>
      </c>
      <c r="V671">
        <v>71</v>
      </c>
      <c r="W671">
        <v>81</v>
      </c>
      <c r="X671">
        <v>121</v>
      </c>
      <c r="Y671">
        <v>109</v>
      </c>
      <c r="Z671">
        <v>190</v>
      </c>
      <c r="AA671">
        <v>173</v>
      </c>
      <c r="AB671" t="s">
        <v>327</v>
      </c>
      <c r="AC671" t="s">
        <v>243</v>
      </c>
      <c r="AD671" t="s">
        <v>210</v>
      </c>
      <c r="AE671" t="s">
        <v>183</v>
      </c>
      <c r="AF671">
        <v>0</v>
      </c>
    </row>
    <row r="672" spans="1:32">
      <c r="A672">
        <v>219</v>
      </c>
      <c r="B672">
        <v>890</v>
      </c>
      <c r="C672" t="s">
        <v>1785</v>
      </c>
      <c r="D672" t="s">
        <v>747</v>
      </c>
      <c r="E672" t="s">
        <v>2165</v>
      </c>
      <c r="F672" t="s">
        <v>37</v>
      </c>
      <c r="G672" t="s">
        <v>2866</v>
      </c>
      <c r="H672" t="s">
        <v>212</v>
      </c>
      <c r="I672" t="s">
        <v>212</v>
      </c>
      <c r="J672" t="s">
        <v>212</v>
      </c>
      <c r="K672" t="s">
        <v>1786</v>
      </c>
      <c r="L672" s="84">
        <v>42448</v>
      </c>
      <c r="M672" t="s">
        <v>381</v>
      </c>
      <c r="N672" t="s">
        <v>1787</v>
      </c>
      <c r="O672">
        <v>3</v>
      </c>
      <c r="P672" t="s">
        <v>580</v>
      </c>
      <c r="Q672" t="s">
        <v>581</v>
      </c>
      <c r="R672" t="s">
        <v>1788</v>
      </c>
      <c r="S672" t="s">
        <v>1789</v>
      </c>
      <c r="T672" t="s">
        <v>37</v>
      </c>
      <c r="U672" t="s">
        <v>80</v>
      </c>
      <c r="V672">
        <v>71</v>
      </c>
      <c r="W672">
        <v>81</v>
      </c>
      <c r="X672">
        <v>121</v>
      </c>
      <c r="Y672">
        <v>109</v>
      </c>
      <c r="Z672">
        <v>190</v>
      </c>
      <c r="AA672">
        <v>173</v>
      </c>
      <c r="AB672" t="s">
        <v>327</v>
      </c>
      <c r="AC672" t="s">
        <v>243</v>
      </c>
      <c r="AD672" t="s">
        <v>210</v>
      </c>
      <c r="AE672" t="s">
        <v>183</v>
      </c>
      <c r="AF672">
        <v>0</v>
      </c>
    </row>
    <row r="673" spans="1:32">
      <c r="A673">
        <v>219</v>
      </c>
      <c r="B673">
        <v>890</v>
      </c>
      <c r="C673" t="s">
        <v>1785</v>
      </c>
      <c r="D673" t="s">
        <v>747</v>
      </c>
      <c r="E673" t="s">
        <v>2165</v>
      </c>
      <c r="F673" t="s">
        <v>193</v>
      </c>
      <c r="G673" t="s">
        <v>2130</v>
      </c>
      <c r="H673" t="s">
        <v>212</v>
      </c>
      <c r="I673" t="s">
        <v>212</v>
      </c>
      <c r="J673" t="s">
        <v>212</v>
      </c>
      <c r="K673" t="s">
        <v>1786</v>
      </c>
      <c r="L673" s="84">
        <v>42448</v>
      </c>
      <c r="M673" t="s">
        <v>381</v>
      </c>
      <c r="N673" t="s">
        <v>1787</v>
      </c>
      <c r="O673">
        <v>3</v>
      </c>
      <c r="P673" t="s">
        <v>580</v>
      </c>
      <c r="Q673" t="s">
        <v>581</v>
      </c>
      <c r="R673" t="s">
        <v>1788</v>
      </c>
      <c r="S673" t="s">
        <v>1789</v>
      </c>
      <c r="T673" t="s">
        <v>36</v>
      </c>
      <c r="U673" t="s">
        <v>80</v>
      </c>
      <c r="V673">
        <v>71</v>
      </c>
      <c r="W673">
        <v>81</v>
      </c>
      <c r="X673">
        <v>121</v>
      </c>
      <c r="Y673">
        <v>109</v>
      </c>
      <c r="Z673">
        <v>190</v>
      </c>
      <c r="AA673">
        <v>173</v>
      </c>
      <c r="AB673" t="s">
        <v>327</v>
      </c>
      <c r="AC673" t="s">
        <v>243</v>
      </c>
      <c r="AD673" t="s">
        <v>210</v>
      </c>
      <c r="AE673" t="s">
        <v>183</v>
      </c>
      <c r="AF673">
        <v>0</v>
      </c>
    </row>
    <row r="674" spans="1:32">
      <c r="A674">
        <v>220</v>
      </c>
      <c r="B674">
        <v>940</v>
      </c>
      <c r="C674" t="s">
        <v>1790</v>
      </c>
      <c r="D674" t="s">
        <v>747</v>
      </c>
      <c r="E674" t="s">
        <v>2165</v>
      </c>
      <c r="F674" t="s">
        <v>193</v>
      </c>
      <c r="G674" t="s">
        <v>2131</v>
      </c>
      <c r="H674" t="s">
        <v>212</v>
      </c>
      <c r="I674" t="s">
        <v>212</v>
      </c>
      <c r="J674" t="s">
        <v>212</v>
      </c>
      <c r="K674" t="s">
        <v>1791</v>
      </c>
      <c r="L674" s="84">
        <v>42686</v>
      </c>
      <c r="M674" t="s">
        <v>381</v>
      </c>
      <c r="N674" t="s">
        <v>1357</v>
      </c>
      <c r="O674">
        <v>2</v>
      </c>
      <c r="P674" t="s">
        <v>1258</v>
      </c>
      <c r="Q674" t="s">
        <v>1259</v>
      </c>
      <c r="R674" t="s">
        <v>1792</v>
      </c>
      <c r="S674" t="s">
        <v>1793</v>
      </c>
      <c r="T674" t="s">
        <v>36</v>
      </c>
      <c r="U674" t="s">
        <v>79</v>
      </c>
      <c r="V674">
        <v>71</v>
      </c>
      <c r="W674">
        <v>81</v>
      </c>
      <c r="X674">
        <v>121</v>
      </c>
      <c r="Y674">
        <v>109</v>
      </c>
      <c r="Z674">
        <v>190</v>
      </c>
      <c r="AA674">
        <v>174</v>
      </c>
      <c r="AB674" t="s">
        <v>327</v>
      </c>
      <c r="AC674" t="s">
        <v>243</v>
      </c>
      <c r="AD674" t="s">
        <v>210</v>
      </c>
      <c r="AE674" t="s">
        <v>183</v>
      </c>
      <c r="AF674">
        <v>0</v>
      </c>
    </row>
    <row r="675" spans="1:32">
      <c r="A675">
        <v>220</v>
      </c>
      <c r="B675">
        <v>940</v>
      </c>
      <c r="C675" t="s">
        <v>1790</v>
      </c>
      <c r="D675" t="s">
        <v>747</v>
      </c>
      <c r="E675" t="s">
        <v>2165</v>
      </c>
      <c r="F675" t="s">
        <v>37</v>
      </c>
      <c r="G675" t="s">
        <v>2867</v>
      </c>
      <c r="H675" t="s">
        <v>212</v>
      </c>
      <c r="I675" t="s">
        <v>212</v>
      </c>
      <c r="J675" t="s">
        <v>212</v>
      </c>
      <c r="K675" t="s">
        <v>1791</v>
      </c>
      <c r="L675" s="84">
        <v>42686</v>
      </c>
      <c r="M675" t="s">
        <v>381</v>
      </c>
      <c r="N675" t="s">
        <v>1357</v>
      </c>
      <c r="O675">
        <v>2</v>
      </c>
      <c r="P675" t="s">
        <v>1258</v>
      </c>
      <c r="Q675" t="s">
        <v>1259</v>
      </c>
      <c r="R675" t="s">
        <v>1792</v>
      </c>
      <c r="S675" t="s">
        <v>1793</v>
      </c>
      <c r="T675" t="s">
        <v>37</v>
      </c>
      <c r="U675" t="s">
        <v>79</v>
      </c>
      <c r="V675">
        <v>71</v>
      </c>
      <c r="W675">
        <v>81</v>
      </c>
      <c r="X675">
        <v>121</v>
      </c>
      <c r="Y675">
        <v>109</v>
      </c>
      <c r="Z675">
        <v>190</v>
      </c>
      <c r="AA675">
        <v>174</v>
      </c>
      <c r="AB675" t="s">
        <v>327</v>
      </c>
      <c r="AC675" t="s">
        <v>243</v>
      </c>
      <c r="AD675" t="s">
        <v>210</v>
      </c>
      <c r="AE675" t="s">
        <v>183</v>
      </c>
      <c r="AF675">
        <v>0</v>
      </c>
    </row>
    <row r="676" spans="1:32">
      <c r="A676">
        <v>220</v>
      </c>
      <c r="B676">
        <v>940</v>
      </c>
      <c r="C676" t="s">
        <v>1790</v>
      </c>
      <c r="D676" t="s">
        <v>747</v>
      </c>
      <c r="E676" t="s">
        <v>2165</v>
      </c>
      <c r="F676" t="s">
        <v>197</v>
      </c>
      <c r="G676" t="s">
        <v>1393</v>
      </c>
      <c r="H676" t="s">
        <v>212</v>
      </c>
      <c r="I676" t="s">
        <v>181</v>
      </c>
      <c r="J676" t="s">
        <v>192</v>
      </c>
      <c r="K676" t="s">
        <v>1791</v>
      </c>
      <c r="L676" s="84">
        <v>42686</v>
      </c>
      <c r="M676" t="s">
        <v>381</v>
      </c>
      <c r="N676" t="s">
        <v>1357</v>
      </c>
      <c r="O676">
        <v>2</v>
      </c>
      <c r="P676" t="s">
        <v>1258</v>
      </c>
      <c r="Q676" t="s">
        <v>1259</v>
      </c>
      <c r="R676" t="s">
        <v>1792</v>
      </c>
      <c r="S676" t="s">
        <v>1793</v>
      </c>
      <c r="T676" t="s">
        <v>38</v>
      </c>
      <c r="U676" t="s">
        <v>79</v>
      </c>
      <c r="V676">
        <v>71</v>
      </c>
      <c r="W676">
        <v>81</v>
      </c>
      <c r="X676">
        <v>121</v>
      </c>
      <c r="Y676">
        <v>109</v>
      </c>
      <c r="Z676">
        <v>190</v>
      </c>
      <c r="AA676">
        <v>174</v>
      </c>
      <c r="AB676" t="s">
        <v>327</v>
      </c>
      <c r="AC676" t="s">
        <v>243</v>
      </c>
      <c r="AD676" t="s">
        <v>210</v>
      </c>
      <c r="AE676" t="s">
        <v>183</v>
      </c>
      <c r="AF676">
        <v>0</v>
      </c>
    </row>
    <row r="677" spans="1:32">
      <c r="A677">
        <v>220</v>
      </c>
      <c r="B677">
        <v>940</v>
      </c>
      <c r="C677" t="s">
        <v>1790</v>
      </c>
      <c r="D677" t="s">
        <v>747</v>
      </c>
      <c r="E677" t="s">
        <v>2165</v>
      </c>
      <c r="F677" t="s">
        <v>6</v>
      </c>
      <c r="G677" t="s">
        <v>955</v>
      </c>
      <c r="H677" t="s">
        <v>497</v>
      </c>
      <c r="I677" t="s">
        <v>387</v>
      </c>
      <c r="J677" t="s">
        <v>305</v>
      </c>
      <c r="K677" t="s">
        <v>1791</v>
      </c>
      <c r="L677" s="84">
        <v>42686</v>
      </c>
      <c r="M677" t="s">
        <v>381</v>
      </c>
      <c r="N677" t="s">
        <v>1357</v>
      </c>
      <c r="O677">
        <v>2</v>
      </c>
      <c r="P677" t="s">
        <v>1258</v>
      </c>
      <c r="Q677" t="s">
        <v>1259</v>
      </c>
      <c r="R677" t="s">
        <v>1792</v>
      </c>
      <c r="S677" t="s">
        <v>1793</v>
      </c>
      <c r="T677" t="s">
        <v>34</v>
      </c>
      <c r="U677" t="s">
        <v>79</v>
      </c>
      <c r="V677">
        <v>71</v>
      </c>
      <c r="W677">
        <v>81</v>
      </c>
      <c r="X677">
        <v>121</v>
      </c>
      <c r="Y677">
        <v>109</v>
      </c>
      <c r="Z677">
        <v>190</v>
      </c>
      <c r="AA677">
        <v>174</v>
      </c>
      <c r="AB677" t="s">
        <v>327</v>
      </c>
      <c r="AC677" t="s">
        <v>243</v>
      </c>
      <c r="AD677" t="s">
        <v>210</v>
      </c>
      <c r="AE677" t="s">
        <v>183</v>
      </c>
      <c r="AF677">
        <v>0</v>
      </c>
    </row>
    <row r="678" spans="1:32">
      <c r="A678">
        <v>220</v>
      </c>
      <c r="B678">
        <v>940</v>
      </c>
      <c r="C678" t="s">
        <v>1790</v>
      </c>
      <c r="D678" t="s">
        <v>747</v>
      </c>
      <c r="E678" t="s">
        <v>2165</v>
      </c>
      <c r="F678" t="s">
        <v>7</v>
      </c>
      <c r="G678" t="s">
        <v>958</v>
      </c>
      <c r="H678" t="s">
        <v>257</v>
      </c>
      <c r="I678" t="s">
        <v>387</v>
      </c>
      <c r="J678" t="s">
        <v>218</v>
      </c>
      <c r="K678" t="s">
        <v>1791</v>
      </c>
      <c r="L678" s="84">
        <v>42686</v>
      </c>
      <c r="M678" t="s">
        <v>381</v>
      </c>
      <c r="N678" t="s">
        <v>1357</v>
      </c>
      <c r="O678">
        <v>2</v>
      </c>
      <c r="P678" t="s">
        <v>1258</v>
      </c>
      <c r="Q678" t="s">
        <v>1259</v>
      </c>
      <c r="R678" t="s">
        <v>1792</v>
      </c>
      <c r="S678" t="s">
        <v>1793</v>
      </c>
      <c r="T678" t="s">
        <v>32</v>
      </c>
      <c r="U678" t="s">
        <v>79</v>
      </c>
      <c r="V678">
        <v>71</v>
      </c>
      <c r="W678">
        <v>81</v>
      </c>
      <c r="X678">
        <v>121</v>
      </c>
      <c r="Y678">
        <v>109</v>
      </c>
      <c r="Z678">
        <v>190</v>
      </c>
      <c r="AA678">
        <v>174</v>
      </c>
      <c r="AB678" t="s">
        <v>327</v>
      </c>
      <c r="AC678" t="s">
        <v>243</v>
      </c>
      <c r="AD678" t="s">
        <v>210</v>
      </c>
      <c r="AE678" t="s">
        <v>183</v>
      </c>
      <c r="AF678">
        <v>0</v>
      </c>
    </row>
    <row r="679" spans="1:32">
      <c r="A679">
        <v>220</v>
      </c>
      <c r="B679">
        <v>940</v>
      </c>
      <c r="C679" t="s">
        <v>1790</v>
      </c>
      <c r="D679" t="s">
        <v>747</v>
      </c>
      <c r="E679" t="s">
        <v>2165</v>
      </c>
      <c r="F679" t="s">
        <v>8</v>
      </c>
      <c r="G679" t="s">
        <v>957</v>
      </c>
      <c r="H679" t="s">
        <v>262</v>
      </c>
      <c r="I679" t="s">
        <v>387</v>
      </c>
      <c r="J679" t="s">
        <v>387</v>
      </c>
      <c r="K679" t="s">
        <v>1791</v>
      </c>
      <c r="L679" s="84">
        <v>42686</v>
      </c>
      <c r="M679" t="s">
        <v>381</v>
      </c>
      <c r="N679" t="s">
        <v>1357</v>
      </c>
      <c r="O679">
        <v>2</v>
      </c>
      <c r="P679" t="s">
        <v>1258</v>
      </c>
      <c r="Q679" t="s">
        <v>1259</v>
      </c>
      <c r="R679" t="s">
        <v>1792</v>
      </c>
      <c r="S679" t="s">
        <v>1793</v>
      </c>
      <c r="T679" t="s">
        <v>31</v>
      </c>
      <c r="U679" t="s">
        <v>79</v>
      </c>
      <c r="V679">
        <v>71</v>
      </c>
      <c r="W679">
        <v>81</v>
      </c>
      <c r="X679">
        <v>121</v>
      </c>
      <c r="Y679">
        <v>109</v>
      </c>
      <c r="Z679">
        <v>190</v>
      </c>
      <c r="AA679">
        <v>174</v>
      </c>
      <c r="AB679" t="s">
        <v>327</v>
      </c>
      <c r="AC679" t="s">
        <v>243</v>
      </c>
      <c r="AD679" t="s">
        <v>210</v>
      </c>
      <c r="AE679" t="s">
        <v>183</v>
      </c>
      <c r="AF679">
        <v>0</v>
      </c>
    </row>
    <row r="680" spans="1:32">
      <c r="A680">
        <v>220</v>
      </c>
      <c r="B680">
        <v>940</v>
      </c>
      <c r="C680" t="s">
        <v>1790</v>
      </c>
      <c r="D680" t="s">
        <v>747</v>
      </c>
      <c r="E680" t="s">
        <v>2165</v>
      </c>
      <c r="F680" t="s">
        <v>5</v>
      </c>
      <c r="G680" t="s">
        <v>956</v>
      </c>
      <c r="H680" t="s">
        <v>257</v>
      </c>
      <c r="I680" t="s">
        <v>305</v>
      </c>
      <c r="J680" t="s">
        <v>262</v>
      </c>
      <c r="K680" t="s">
        <v>1791</v>
      </c>
      <c r="L680" s="84">
        <v>42686</v>
      </c>
      <c r="M680" t="s">
        <v>381</v>
      </c>
      <c r="N680" t="s">
        <v>1357</v>
      </c>
      <c r="O680">
        <v>2</v>
      </c>
      <c r="P680" t="s">
        <v>1258</v>
      </c>
      <c r="Q680" t="s">
        <v>1259</v>
      </c>
      <c r="R680" t="s">
        <v>1792</v>
      </c>
      <c r="S680" t="s">
        <v>1793</v>
      </c>
      <c r="T680" t="s">
        <v>33</v>
      </c>
      <c r="U680" t="s">
        <v>79</v>
      </c>
      <c r="V680">
        <v>71</v>
      </c>
      <c r="W680">
        <v>81</v>
      </c>
      <c r="X680">
        <v>121</v>
      </c>
      <c r="Y680">
        <v>109</v>
      </c>
      <c r="Z680">
        <v>190</v>
      </c>
      <c r="AA680">
        <v>174</v>
      </c>
      <c r="AB680" t="s">
        <v>327</v>
      </c>
      <c r="AC680" t="s">
        <v>243</v>
      </c>
      <c r="AD680" t="s">
        <v>210</v>
      </c>
      <c r="AE680" t="s">
        <v>183</v>
      </c>
      <c r="AF680">
        <v>0</v>
      </c>
    </row>
    <row r="681" spans="1:32">
      <c r="A681">
        <v>221</v>
      </c>
      <c r="B681">
        <v>1225</v>
      </c>
      <c r="C681" t="s">
        <v>2495</v>
      </c>
      <c r="D681" t="s">
        <v>747</v>
      </c>
      <c r="E681" t="s">
        <v>2165</v>
      </c>
      <c r="F681" t="s">
        <v>5</v>
      </c>
      <c r="G681" t="s">
        <v>965</v>
      </c>
      <c r="H681" t="s">
        <v>226</v>
      </c>
      <c r="I681" t="s">
        <v>228</v>
      </c>
      <c r="J681" t="s">
        <v>239</v>
      </c>
      <c r="K681" t="s">
        <v>2496</v>
      </c>
      <c r="L681" s="84">
        <v>42949</v>
      </c>
      <c r="M681" t="s">
        <v>381</v>
      </c>
      <c r="N681" t="s">
        <v>1471</v>
      </c>
      <c r="O681">
        <v>3</v>
      </c>
      <c r="P681" t="s">
        <v>2497</v>
      </c>
      <c r="Q681" t="s">
        <v>2498</v>
      </c>
      <c r="R681" t="s">
        <v>2499</v>
      </c>
      <c r="S681" t="s">
        <v>2500</v>
      </c>
      <c r="T681" t="s">
        <v>33</v>
      </c>
      <c r="U681" t="s">
        <v>80</v>
      </c>
      <c r="V681">
        <v>44</v>
      </c>
      <c r="W681">
        <v>81</v>
      </c>
      <c r="X681">
        <v>121</v>
      </c>
      <c r="Y681">
        <v>79</v>
      </c>
      <c r="Z681">
        <v>190</v>
      </c>
      <c r="AA681">
        <v>135</v>
      </c>
      <c r="AB681" t="s">
        <v>413</v>
      </c>
      <c r="AC681" t="s">
        <v>243</v>
      </c>
      <c r="AD681" t="s">
        <v>210</v>
      </c>
      <c r="AE681" t="s">
        <v>183</v>
      </c>
      <c r="AF681">
        <v>0</v>
      </c>
    </row>
    <row r="682" spans="1:32">
      <c r="A682">
        <v>221</v>
      </c>
      <c r="B682">
        <v>1225</v>
      </c>
      <c r="C682" t="s">
        <v>2495</v>
      </c>
      <c r="D682" t="s">
        <v>747</v>
      </c>
      <c r="E682" t="s">
        <v>2165</v>
      </c>
      <c r="F682" t="s">
        <v>8</v>
      </c>
      <c r="G682" t="s">
        <v>964</v>
      </c>
      <c r="H682" t="s">
        <v>228</v>
      </c>
      <c r="I682" t="s">
        <v>236</v>
      </c>
      <c r="J682" t="s">
        <v>185</v>
      </c>
      <c r="K682" t="s">
        <v>2496</v>
      </c>
      <c r="L682" s="84">
        <v>42949</v>
      </c>
      <c r="M682" t="s">
        <v>381</v>
      </c>
      <c r="N682" t="s">
        <v>1471</v>
      </c>
      <c r="O682">
        <v>3</v>
      </c>
      <c r="P682" t="s">
        <v>2497</v>
      </c>
      <c r="Q682" t="s">
        <v>2498</v>
      </c>
      <c r="R682" t="s">
        <v>2499</v>
      </c>
      <c r="S682" t="s">
        <v>2500</v>
      </c>
      <c r="T682" t="s">
        <v>31</v>
      </c>
      <c r="U682" t="s">
        <v>80</v>
      </c>
      <c r="V682">
        <v>44</v>
      </c>
      <c r="W682">
        <v>81</v>
      </c>
      <c r="X682">
        <v>121</v>
      </c>
      <c r="Y682">
        <v>79</v>
      </c>
      <c r="Z682">
        <v>190</v>
      </c>
      <c r="AA682">
        <v>135</v>
      </c>
      <c r="AB682" t="s">
        <v>413</v>
      </c>
      <c r="AC682" t="s">
        <v>243</v>
      </c>
      <c r="AD682" t="s">
        <v>210</v>
      </c>
      <c r="AE682" t="s">
        <v>183</v>
      </c>
      <c r="AF682">
        <v>0</v>
      </c>
    </row>
    <row r="683" spans="1:32">
      <c r="A683">
        <v>221</v>
      </c>
      <c r="B683">
        <v>1225</v>
      </c>
      <c r="C683" t="s">
        <v>2495</v>
      </c>
      <c r="D683" t="s">
        <v>747</v>
      </c>
      <c r="E683" t="s">
        <v>2165</v>
      </c>
      <c r="F683" t="s">
        <v>7</v>
      </c>
      <c r="G683" t="s">
        <v>960</v>
      </c>
      <c r="H683" t="s">
        <v>173</v>
      </c>
      <c r="I683" t="s">
        <v>297</v>
      </c>
      <c r="J683" t="s">
        <v>243</v>
      </c>
      <c r="K683" t="s">
        <v>2496</v>
      </c>
      <c r="L683" s="84">
        <v>42949</v>
      </c>
      <c r="M683" t="s">
        <v>381</v>
      </c>
      <c r="N683" t="s">
        <v>1471</v>
      </c>
      <c r="O683">
        <v>3</v>
      </c>
      <c r="P683" t="s">
        <v>2497</v>
      </c>
      <c r="Q683" t="s">
        <v>2498</v>
      </c>
      <c r="R683" t="s">
        <v>2499</v>
      </c>
      <c r="S683" t="s">
        <v>2500</v>
      </c>
      <c r="T683" t="s">
        <v>32</v>
      </c>
      <c r="U683" t="s">
        <v>80</v>
      </c>
      <c r="V683">
        <v>44</v>
      </c>
      <c r="W683">
        <v>81</v>
      </c>
      <c r="X683">
        <v>121</v>
      </c>
      <c r="Y683">
        <v>79</v>
      </c>
      <c r="Z683">
        <v>190</v>
      </c>
      <c r="AA683">
        <v>135</v>
      </c>
      <c r="AB683" t="s">
        <v>413</v>
      </c>
      <c r="AC683" t="s">
        <v>243</v>
      </c>
      <c r="AD683" t="s">
        <v>210</v>
      </c>
      <c r="AE683" t="s">
        <v>183</v>
      </c>
      <c r="AF683">
        <v>0</v>
      </c>
    </row>
    <row r="684" spans="1:32">
      <c r="A684">
        <v>221</v>
      </c>
      <c r="B684">
        <v>1225</v>
      </c>
      <c r="C684" t="s">
        <v>2495</v>
      </c>
      <c r="D684" t="s">
        <v>747</v>
      </c>
      <c r="E684" t="s">
        <v>2165</v>
      </c>
      <c r="F684" t="s">
        <v>6</v>
      </c>
      <c r="G684" t="s">
        <v>966</v>
      </c>
      <c r="H684" t="s">
        <v>226</v>
      </c>
      <c r="I684" t="s">
        <v>239</v>
      </c>
      <c r="J684" t="s">
        <v>237</v>
      </c>
      <c r="K684" t="s">
        <v>2496</v>
      </c>
      <c r="L684" s="84">
        <v>42949</v>
      </c>
      <c r="M684" t="s">
        <v>381</v>
      </c>
      <c r="N684" t="s">
        <v>1471</v>
      </c>
      <c r="O684">
        <v>3</v>
      </c>
      <c r="P684" t="s">
        <v>2497</v>
      </c>
      <c r="Q684" t="s">
        <v>2498</v>
      </c>
      <c r="R684" t="s">
        <v>2499</v>
      </c>
      <c r="S684" t="s">
        <v>2500</v>
      </c>
      <c r="T684" t="s">
        <v>34</v>
      </c>
      <c r="U684" t="s">
        <v>80</v>
      </c>
      <c r="V684">
        <v>44</v>
      </c>
      <c r="W684">
        <v>81</v>
      </c>
      <c r="X684">
        <v>121</v>
      </c>
      <c r="Y684">
        <v>79</v>
      </c>
      <c r="Z684">
        <v>190</v>
      </c>
      <c r="AA684">
        <v>135</v>
      </c>
      <c r="AB684" t="s">
        <v>413</v>
      </c>
      <c r="AC684" t="s">
        <v>243</v>
      </c>
      <c r="AD684" t="s">
        <v>210</v>
      </c>
      <c r="AE684" t="s">
        <v>183</v>
      </c>
      <c r="AF684">
        <v>0</v>
      </c>
    </row>
    <row r="685" spans="1:32">
      <c r="A685">
        <v>221</v>
      </c>
      <c r="B685">
        <v>1225</v>
      </c>
      <c r="C685" t="s">
        <v>2495</v>
      </c>
      <c r="D685" t="s">
        <v>747</v>
      </c>
      <c r="E685" t="s">
        <v>2165</v>
      </c>
      <c r="F685" t="s">
        <v>197</v>
      </c>
      <c r="G685" t="s">
        <v>1395</v>
      </c>
      <c r="H685" t="s">
        <v>212</v>
      </c>
      <c r="I685" t="s">
        <v>212</v>
      </c>
      <c r="J685" t="s">
        <v>192</v>
      </c>
      <c r="K685" t="s">
        <v>2496</v>
      </c>
      <c r="L685" s="84">
        <v>42949</v>
      </c>
      <c r="M685" t="s">
        <v>381</v>
      </c>
      <c r="N685" t="s">
        <v>1471</v>
      </c>
      <c r="O685">
        <v>3</v>
      </c>
      <c r="P685" t="s">
        <v>2497</v>
      </c>
      <c r="Q685" t="s">
        <v>2498</v>
      </c>
      <c r="R685" t="s">
        <v>2499</v>
      </c>
      <c r="S685" t="s">
        <v>2500</v>
      </c>
      <c r="T685" t="s">
        <v>38</v>
      </c>
      <c r="U685" t="s">
        <v>80</v>
      </c>
      <c r="V685">
        <v>44</v>
      </c>
      <c r="W685">
        <v>81</v>
      </c>
      <c r="X685">
        <v>121</v>
      </c>
      <c r="Y685">
        <v>79</v>
      </c>
      <c r="Z685">
        <v>190</v>
      </c>
      <c r="AA685">
        <v>135</v>
      </c>
      <c r="AB685" t="s">
        <v>413</v>
      </c>
      <c r="AC685" t="s">
        <v>243</v>
      </c>
      <c r="AD685" t="s">
        <v>210</v>
      </c>
      <c r="AE685" t="s">
        <v>183</v>
      </c>
      <c r="AF685">
        <v>0</v>
      </c>
    </row>
    <row r="686" spans="1:32">
      <c r="A686">
        <v>221</v>
      </c>
      <c r="B686">
        <v>1225</v>
      </c>
      <c r="C686" t="s">
        <v>2495</v>
      </c>
      <c r="D686" t="s">
        <v>747</v>
      </c>
      <c r="E686" t="s">
        <v>2165</v>
      </c>
      <c r="F686" t="s">
        <v>37</v>
      </c>
      <c r="G686" t="s">
        <v>2868</v>
      </c>
      <c r="H686" t="s">
        <v>212</v>
      </c>
      <c r="I686" t="s">
        <v>212</v>
      </c>
      <c r="J686" t="s">
        <v>212</v>
      </c>
      <c r="K686" t="s">
        <v>2496</v>
      </c>
      <c r="L686" s="84">
        <v>42949</v>
      </c>
      <c r="M686" t="s">
        <v>381</v>
      </c>
      <c r="N686" t="s">
        <v>1471</v>
      </c>
      <c r="O686">
        <v>3</v>
      </c>
      <c r="P686" t="s">
        <v>2497</v>
      </c>
      <c r="Q686" t="s">
        <v>2498</v>
      </c>
      <c r="R686" t="s">
        <v>2499</v>
      </c>
      <c r="S686" t="s">
        <v>2500</v>
      </c>
      <c r="T686" t="s">
        <v>37</v>
      </c>
      <c r="U686" t="s">
        <v>80</v>
      </c>
      <c r="V686">
        <v>44</v>
      </c>
      <c r="W686">
        <v>81</v>
      </c>
      <c r="X686">
        <v>121</v>
      </c>
      <c r="Y686">
        <v>79</v>
      </c>
      <c r="Z686">
        <v>190</v>
      </c>
      <c r="AA686">
        <v>135</v>
      </c>
      <c r="AB686" t="s">
        <v>413</v>
      </c>
      <c r="AC686" t="s">
        <v>243</v>
      </c>
      <c r="AD686" t="s">
        <v>210</v>
      </c>
      <c r="AE686" t="s">
        <v>183</v>
      </c>
      <c r="AF686">
        <v>0</v>
      </c>
    </row>
    <row r="687" spans="1:32">
      <c r="A687">
        <v>221</v>
      </c>
      <c r="B687">
        <v>1225</v>
      </c>
      <c r="C687" t="s">
        <v>2495</v>
      </c>
      <c r="D687" t="s">
        <v>747</v>
      </c>
      <c r="E687" t="s">
        <v>2165</v>
      </c>
      <c r="F687" t="s">
        <v>193</v>
      </c>
      <c r="G687" t="s">
        <v>2132</v>
      </c>
      <c r="H687" t="s">
        <v>212</v>
      </c>
      <c r="I687" t="s">
        <v>212</v>
      </c>
      <c r="J687" t="s">
        <v>212</v>
      </c>
      <c r="K687" t="s">
        <v>2496</v>
      </c>
      <c r="L687" s="84">
        <v>42949</v>
      </c>
      <c r="M687" t="s">
        <v>381</v>
      </c>
      <c r="N687" t="s">
        <v>1471</v>
      </c>
      <c r="O687">
        <v>3</v>
      </c>
      <c r="P687" t="s">
        <v>2497</v>
      </c>
      <c r="Q687" t="s">
        <v>2498</v>
      </c>
      <c r="R687" t="s">
        <v>2499</v>
      </c>
      <c r="S687" t="s">
        <v>2500</v>
      </c>
      <c r="T687" t="s">
        <v>36</v>
      </c>
      <c r="U687" t="s">
        <v>80</v>
      </c>
      <c r="V687">
        <v>44</v>
      </c>
      <c r="W687">
        <v>81</v>
      </c>
      <c r="X687">
        <v>121</v>
      </c>
      <c r="Y687">
        <v>79</v>
      </c>
      <c r="Z687">
        <v>190</v>
      </c>
      <c r="AA687">
        <v>135</v>
      </c>
      <c r="AB687" t="s">
        <v>413</v>
      </c>
      <c r="AC687" t="s">
        <v>243</v>
      </c>
      <c r="AD687" t="s">
        <v>210</v>
      </c>
      <c r="AE687" t="s">
        <v>183</v>
      </c>
      <c r="AF687">
        <v>0</v>
      </c>
    </row>
    <row r="688" spans="1:32">
      <c r="A688">
        <v>222</v>
      </c>
      <c r="B688">
        <v>939</v>
      </c>
      <c r="C688" t="s">
        <v>1794</v>
      </c>
      <c r="D688" t="s">
        <v>747</v>
      </c>
      <c r="E688" t="s">
        <v>2165</v>
      </c>
      <c r="F688" t="s">
        <v>193</v>
      </c>
      <c r="G688" t="s">
        <v>2133</v>
      </c>
      <c r="H688" t="s">
        <v>212</v>
      </c>
      <c r="I688" t="s">
        <v>212</v>
      </c>
      <c r="J688" t="s">
        <v>192</v>
      </c>
      <c r="K688" t="s">
        <v>1795</v>
      </c>
      <c r="L688" s="84">
        <v>42295</v>
      </c>
      <c r="M688" t="s">
        <v>381</v>
      </c>
      <c r="N688" t="s">
        <v>503</v>
      </c>
      <c r="O688">
        <v>9</v>
      </c>
      <c r="P688" t="s">
        <v>1796</v>
      </c>
      <c r="Q688" t="s">
        <v>1797</v>
      </c>
      <c r="R688" t="s">
        <v>1798</v>
      </c>
      <c r="S688" t="s">
        <v>1799</v>
      </c>
      <c r="T688" t="s">
        <v>36</v>
      </c>
      <c r="U688" t="s">
        <v>85</v>
      </c>
      <c r="V688">
        <v>59</v>
      </c>
      <c r="W688">
        <v>81</v>
      </c>
      <c r="X688">
        <v>121</v>
      </c>
      <c r="Y688">
        <v>91</v>
      </c>
      <c r="Z688">
        <v>190</v>
      </c>
      <c r="AA688">
        <v>151</v>
      </c>
      <c r="AB688" t="s">
        <v>479</v>
      </c>
      <c r="AC688" t="s">
        <v>192</v>
      </c>
      <c r="AD688" t="s">
        <v>210</v>
      </c>
      <c r="AE688" t="s">
        <v>183</v>
      </c>
      <c r="AF688">
        <v>0</v>
      </c>
    </row>
    <row r="689" spans="1:32">
      <c r="A689">
        <v>222</v>
      </c>
      <c r="B689">
        <v>939</v>
      </c>
      <c r="C689" t="s">
        <v>1794</v>
      </c>
      <c r="D689" t="s">
        <v>747</v>
      </c>
      <c r="E689" t="s">
        <v>2165</v>
      </c>
      <c r="F689" t="s">
        <v>37</v>
      </c>
      <c r="G689" t="s">
        <v>2869</v>
      </c>
      <c r="H689" t="s">
        <v>212</v>
      </c>
      <c r="I689" t="s">
        <v>212</v>
      </c>
      <c r="J689" t="s">
        <v>212</v>
      </c>
      <c r="K689" t="s">
        <v>1795</v>
      </c>
      <c r="L689" s="84">
        <v>42295</v>
      </c>
      <c r="M689" t="s">
        <v>381</v>
      </c>
      <c r="N689" t="s">
        <v>503</v>
      </c>
      <c r="O689">
        <v>9</v>
      </c>
      <c r="P689" t="s">
        <v>1796</v>
      </c>
      <c r="Q689" t="s">
        <v>1797</v>
      </c>
      <c r="R689" t="s">
        <v>1798</v>
      </c>
      <c r="S689" t="s">
        <v>1799</v>
      </c>
      <c r="T689" t="s">
        <v>37</v>
      </c>
      <c r="U689" t="s">
        <v>85</v>
      </c>
      <c r="V689">
        <v>59</v>
      </c>
      <c r="W689">
        <v>81</v>
      </c>
      <c r="X689">
        <v>121</v>
      </c>
      <c r="Y689">
        <v>91</v>
      </c>
      <c r="Z689">
        <v>190</v>
      </c>
      <c r="AA689">
        <v>151</v>
      </c>
      <c r="AB689" t="s">
        <v>479</v>
      </c>
      <c r="AC689" t="s">
        <v>192</v>
      </c>
      <c r="AD689" t="s">
        <v>210</v>
      </c>
      <c r="AE689" t="s">
        <v>183</v>
      </c>
      <c r="AF689">
        <v>0</v>
      </c>
    </row>
    <row r="690" spans="1:32">
      <c r="A690">
        <v>222</v>
      </c>
      <c r="B690">
        <v>939</v>
      </c>
      <c r="C690" t="s">
        <v>1794</v>
      </c>
      <c r="D690" t="s">
        <v>747</v>
      </c>
      <c r="E690" t="s">
        <v>2165</v>
      </c>
      <c r="F690" t="s">
        <v>197</v>
      </c>
      <c r="G690" t="s">
        <v>1396</v>
      </c>
      <c r="H690" t="s">
        <v>212</v>
      </c>
      <c r="I690" t="s">
        <v>212</v>
      </c>
      <c r="J690" t="s">
        <v>192</v>
      </c>
      <c r="K690" t="s">
        <v>1795</v>
      </c>
      <c r="L690" s="84">
        <v>42295</v>
      </c>
      <c r="M690" t="s">
        <v>381</v>
      </c>
      <c r="N690" t="s">
        <v>503</v>
      </c>
      <c r="O690">
        <v>9</v>
      </c>
      <c r="P690" t="s">
        <v>1796</v>
      </c>
      <c r="Q690" t="s">
        <v>1797</v>
      </c>
      <c r="R690" t="s">
        <v>1798</v>
      </c>
      <c r="S690" t="s">
        <v>1799</v>
      </c>
      <c r="T690" t="s">
        <v>38</v>
      </c>
      <c r="U690" t="s">
        <v>85</v>
      </c>
      <c r="V690">
        <v>59</v>
      </c>
      <c r="W690">
        <v>81</v>
      </c>
      <c r="X690">
        <v>121</v>
      </c>
      <c r="Y690">
        <v>91</v>
      </c>
      <c r="Z690">
        <v>190</v>
      </c>
      <c r="AA690">
        <v>151</v>
      </c>
      <c r="AB690" t="s">
        <v>479</v>
      </c>
      <c r="AC690" t="s">
        <v>192</v>
      </c>
      <c r="AD690" t="s">
        <v>210</v>
      </c>
      <c r="AE690" t="s">
        <v>183</v>
      </c>
      <c r="AF690">
        <v>0</v>
      </c>
    </row>
    <row r="691" spans="1:32">
      <c r="A691">
        <v>222</v>
      </c>
      <c r="B691">
        <v>939</v>
      </c>
      <c r="C691" t="s">
        <v>1794</v>
      </c>
      <c r="D691" t="s">
        <v>747</v>
      </c>
      <c r="E691" t="s">
        <v>2165</v>
      </c>
      <c r="F691" t="s">
        <v>6</v>
      </c>
      <c r="G691" t="s">
        <v>974</v>
      </c>
      <c r="H691" t="s">
        <v>260</v>
      </c>
      <c r="I691" t="s">
        <v>236</v>
      </c>
      <c r="J691" t="s">
        <v>223</v>
      </c>
      <c r="K691" t="s">
        <v>1795</v>
      </c>
      <c r="L691" s="84">
        <v>42295</v>
      </c>
      <c r="M691" t="s">
        <v>381</v>
      </c>
      <c r="N691" t="s">
        <v>503</v>
      </c>
      <c r="O691">
        <v>9</v>
      </c>
      <c r="P691" t="s">
        <v>1796</v>
      </c>
      <c r="Q691" t="s">
        <v>1797</v>
      </c>
      <c r="R691" t="s">
        <v>1798</v>
      </c>
      <c r="S691" t="s">
        <v>1799</v>
      </c>
      <c r="T691" t="s">
        <v>34</v>
      </c>
      <c r="U691" t="s">
        <v>85</v>
      </c>
      <c r="V691">
        <v>59</v>
      </c>
      <c r="W691">
        <v>81</v>
      </c>
      <c r="X691">
        <v>121</v>
      </c>
      <c r="Y691">
        <v>91</v>
      </c>
      <c r="Z691">
        <v>190</v>
      </c>
      <c r="AA691">
        <v>151</v>
      </c>
      <c r="AB691" t="s">
        <v>479</v>
      </c>
      <c r="AC691" t="s">
        <v>192</v>
      </c>
      <c r="AD691" t="s">
        <v>210</v>
      </c>
      <c r="AE691" t="s">
        <v>183</v>
      </c>
      <c r="AF691">
        <v>0</v>
      </c>
    </row>
    <row r="692" spans="1:32">
      <c r="A692">
        <v>222</v>
      </c>
      <c r="B692">
        <v>939</v>
      </c>
      <c r="C692" t="s">
        <v>1794</v>
      </c>
      <c r="D692" t="s">
        <v>747</v>
      </c>
      <c r="E692" t="s">
        <v>2165</v>
      </c>
      <c r="F692" t="s">
        <v>7</v>
      </c>
      <c r="G692" t="s">
        <v>977</v>
      </c>
      <c r="H692" t="s">
        <v>297</v>
      </c>
      <c r="I692" t="s">
        <v>217</v>
      </c>
      <c r="J692" t="s">
        <v>239</v>
      </c>
      <c r="K692" t="s">
        <v>1795</v>
      </c>
      <c r="L692" s="84">
        <v>42295</v>
      </c>
      <c r="M692" t="s">
        <v>381</v>
      </c>
      <c r="N692" t="s">
        <v>503</v>
      </c>
      <c r="O692">
        <v>9</v>
      </c>
      <c r="P692" t="s">
        <v>1796</v>
      </c>
      <c r="Q692" t="s">
        <v>1797</v>
      </c>
      <c r="R692" t="s">
        <v>1798</v>
      </c>
      <c r="S692" t="s">
        <v>1799</v>
      </c>
      <c r="T692" t="s">
        <v>32</v>
      </c>
      <c r="U692" t="s">
        <v>85</v>
      </c>
      <c r="V692">
        <v>59</v>
      </c>
      <c r="W692">
        <v>81</v>
      </c>
      <c r="X692">
        <v>121</v>
      </c>
      <c r="Y692">
        <v>91</v>
      </c>
      <c r="Z692">
        <v>190</v>
      </c>
      <c r="AA692">
        <v>151</v>
      </c>
      <c r="AB692" t="s">
        <v>479</v>
      </c>
      <c r="AC692" t="s">
        <v>192</v>
      </c>
      <c r="AD692" t="s">
        <v>210</v>
      </c>
      <c r="AE692" t="s">
        <v>183</v>
      </c>
      <c r="AF692">
        <v>0</v>
      </c>
    </row>
    <row r="693" spans="1:32">
      <c r="A693">
        <v>222</v>
      </c>
      <c r="B693">
        <v>939</v>
      </c>
      <c r="C693" t="s">
        <v>1794</v>
      </c>
      <c r="D693" t="s">
        <v>747</v>
      </c>
      <c r="E693" t="s">
        <v>2165</v>
      </c>
      <c r="F693" t="s">
        <v>8</v>
      </c>
      <c r="G693" t="s">
        <v>976</v>
      </c>
      <c r="H693" t="s">
        <v>275</v>
      </c>
      <c r="I693" t="s">
        <v>297</v>
      </c>
      <c r="J693" t="s">
        <v>275</v>
      </c>
      <c r="K693" t="s">
        <v>1795</v>
      </c>
      <c r="L693" s="84">
        <v>42295</v>
      </c>
      <c r="M693" t="s">
        <v>381</v>
      </c>
      <c r="N693" t="s">
        <v>503</v>
      </c>
      <c r="O693">
        <v>9</v>
      </c>
      <c r="P693" t="s">
        <v>1796</v>
      </c>
      <c r="Q693" t="s">
        <v>1797</v>
      </c>
      <c r="R693" t="s">
        <v>1798</v>
      </c>
      <c r="S693" t="s">
        <v>1799</v>
      </c>
      <c r="T693" t="s">
        <v>31</v>
      </c>
      <c r="U693" t="s">
        <v>85</v>
      </c>
      <c r="V693">
        <v>59</v>
      </c>
      <c r="W693">
        <v>81</v>
      </c>
      <c r="X693">
        <v>121</v>
      </c>
      <c r="Y693">
        <v>91</v>
      </c>
      <c r="Z693">
        <v>190</v>
      </c>
      <c r="AA693">
        <v>151</v>
      </c>
      <c r="AB693" t="s">
        <v>479</v>
      </c>
      <c r="AC693" t="s">
        <v>192</v>
      </c>
      <c r="AD693" t="s">
        <v>210</v>
      </c>
      <c r="AE693" t="s">
        <v>183</v>
      </c>
      <c r="AF693">
        <v>0</v>
      </c>
    </row>
    <row r="694" spans="1:32">
      <c r="A694">
        <v>222</v>
      </c>
      <c r="B694">
        <v>939</v>
      </c>
      <c r="C694" t="s">
        <v>1794</v>
      </c>
      <c r="D694" t="s">
        <v>747</v>
      </c>
      <c r="E694" t="s">
        <v>2165</v>
      </c>
      <c r="F694" t="s">
        <v>5</v>
      </c>
      <c r="G694" t="s">
        <v>975</v>
      </c>
      <c r="H694" t="s">
        <v>220</v>
      </c>
      <c r="I694" t="s">
        <v>185</v>
      </c>
      <c r="J694" t="s">
        <v>275</v>
      </c>
      <c r="K694" t="s">
        <v>1795</v>
      </c>
      <c r="L694" s="84">
        <v>42295</v>
      </c>
      <c r="M694" t="s">
        <v>381</v>
      </c>
      <c r="N694" t="s">
        <v>503</v>
      </c>
      <c r="O694">
        <v>9</v>
      </c>
      <c r="P694" t="s">
        <v>1796</v>
      </c>
      <c r="Q694" t="s">
        <v>1797</v>
      </c>
      <c r="R694" t="s">
        <v>1798</v>
      </c>
      <c r="S694" t="s">
        <v>1799</v>
      </c>
      <c r="T694" t="s">
        <v>33</v>
      </c>
      <c r="U694" t="s">
        <v>85</v>
      </c>
      <c r="V694">
        <v>59</v>
      </c>
      <c r="W694">
        <v>81</v>
      </c>
      <c r="X694">
        <v>121</v>
      </c>
      <c r="Y694">
        <v>91</v>
      </c>
      <c r="Z694">
        <v>190</v>
      </c>
      <c r="AA694">
        <v>151</v>
      </c>
      <c r="AB694" t="s">
        <v>479</v>
      </c>
      <c r="AC694" t="s">
        <v>192</v>
      </c>
      <c r="AD694" t="s">
        <v>210</v>
      </c>
      <c r="AE694" t="s">
        <v>183</v>
      </c>
      <c r="AF694">
        <v>0</v>
      </c>
    </row>
    <row r="695" spans="1:32">
      <c r="A695">
        <v>223</v>
      </c>
      <c r="B695">
        <v>1186</v>
      </c>
      <c r="C695" t="s">
        <v>2501</v>
      </c>
      <c r="D695" t="s">
        <v>747</v>
      </c>
      <c r="E695" t="s">
        <v>2165</v>
      </c>
      <c r="F695" t="s">
        <v>5</v>
      </c>
      <c r="G695" t="s">
        <v>986</v>
      </c>
      <c r="H695" t="s">
        <v>227</v>
      </c>
      <c r="I695" t="s">
        <v>172</v>
      </c>
      <c r="J695" t="s">
        <v>436</v>
      </c>
      <c r="K695" t="s">
        <v>2502</v>
      </c>
      <c r="L695" s="84">
        <v>42557</v>
      </c>
      <c r="M695" t="s">
        <v>381</v>
      </c>
      <c r="N695" t="s">
        <v>1699</v>
      </c>
      <c r="O695">
        <v>3</v>
      </c>
      <c r="P695" t="s">
        <v>2503</v>
      </c>
      <c r="Q695" t="s">
        <v>2504</v>
      </c>
      <c r="R695" t="s">
        <v>2505</v>
      </c>
      <c r="S695" t="s">
        <v>2506</v>
      </c>
      <c r="T695" t="s">
        <v>33</v>
      </c>
      <c r="U695" t="s">
        <v>80</v>
      </c>
      <c r="V695">
        <v>49</v>
      </c>
      <c r="W695">
        <v>81</v>
      </c>
      <c r="X695">
        <v>121</v>
      </c>
      <c r="Y695">
        <v>81</v>
      </c>
      <c r="Z695">
        <v>190</v>
      </c>
      <c r="AA695">
        <v>144</v>
      </c>
      <c r="AB695" t="s">
        <v>271</v>
      </c>
      <c r="AC695" t="s">
        <v>181</v>
      </c>
      <c r="AD695" t="s">
        <v>182</v>
      </c>
      <c r="AE695" t="s">
        <v>183</v>
      </c>
      <c r="AF695">
        <v>3</v>
      </c>
    </row>
    <row r="696" spans="1:32">
      <c r="A696">
        <v>223</v>
      </c>
      <c r="B696">
        <v>1186</v>
      </c>
      <c r="C696" t="s">
        <v>2501</v>
      </c>
      <c r="D696" t="s">
        <v>747</v>
      </c>
      <c r="E696" t="s">
        <v>2165</v>
      </c>
      <c r="F696" t="s">
        <v>8</v>
      </c>
      <c r="G696" t="s">
        <v>985</v>
      </c>
      <c r="H696" t="s">
        <v>173</v>
      </c>
      <c r="I696" t="s">
        <v>227</v>
      </c>
      <c r="J696" t="s">
        <v>227</v>
      </c>
      <c r="K696" t="s">
        <v>2502</v>
      </c>
      <c r="L696" s="84">
        <v>42557</v>
      </c>
      <c r="M696" t="s">
        <v>381</v>
      </c>
      <c r="N696" t="s">
        <v>1699</v>
      </c>
      <c r="O696">
        <v>3</v>
      </c>
      <c r="P696" t="s">
        <v>2503</v>
      </c>
      <c r="Q696" t="s">
        <v>2504</v>
      </c>
      <c r="R696" t="s">
        <v>2505</v>
      </c>
      <c r="S696" t="s">
        <v>2506</v>
      </c>
      <c r="T696" t="s">
        <v>31</v>
      </c>
      <c r="U696" t="s">
        <v>80</v>
      </c>
      <c r="V696">
        <v>49</v>
      </c>
      <c r="W696">
        <v>81</v>
      </c>
      <c r="X696">
        <v>121</v>
      </c>
      <c r="Y696">
        <v>81</v>
      </c>
      <c r="Z696">
        <v>190</v>
      </c>
      <c r="AA696">
        <v>144</v>
      </c>
      <c r="AB696" t="s">
        <v>271</v>
      </c>
      <c r="AC696" t="s">
        <v>181</v>
      </c>
      <c r="AD696" t="s">
        <v>182</v>
      </c>
      <c r="AE696" t="s">
        <v>183</v>
      </c>
      <c r="AF696">
        <v>3</v>
      </c>
    </row>
    <row r="697" spans="1:32">
      <c r="A697">
        <v>223</v>
      </c>
      <c r="B697">
        <v>1186</v>
      </c>
      <c r="C697" t="s">
        <v>2501</v>
      </c>
      <c r="D697" t="s">
        <v>747</v>
      </c>
      <c r="E697" t="s">
        <v>2165</v>
      </c>
      <c r="F697" t="s">
        <v>7</v>
      </c>
      <c r="G697" t="s">
        <v>978</v>
      </c>
      <c r="H697" t="s">
        <v>329</v>
      </c>
      <c r="I697" t="s">
        <v>436</v>
      </c>
      <c r="J697" t="s">
        <v>187</v>
      </c>
      <c r="K697" t="s">
        <v>2502</v>
      </c>
      <c r="L697" s="84">
        <v>42557</v>
      </c>
      <c r="M697" t="s">
        <v>381</v>
      </c>
      <c r="N697" t="s">
        <v>1699</v>
      </c>
      <c r="O697">
        <v>3</v>
      </c>
      <c r="P697" t="s">
        <v>2503</v>
      </c>
      <c r="Q697" t="s">
        <v>2504</v>
      </c>
      <c r="R697" t="s">
        <v>2505</v>
      </c>
      <c r="S697" t="s">
        <v>2506</v>
      </c>
      <c r="T697" t="s">
        <v>32</v>
      </c>
      <c r="U697" t="s">
        <v>80</v>
      </c>
      <c r="V697">
        <v>49</v>
      </c>
      <c r="W697">
        <v>81</v>
      </c>
      <c r="X697">
        <v>121</v>
      </c>
      <c r="Y697">
        <v>81</v>
      </c>
      <c r="Z697">
        <v>190</v>
      </c>
      <c r="AA697">
        <v>144</v>
      </c>
      <c r="AB697" t="s">
        <v>271</v>
      </c>
      <c r="AC697" t="s">
        <v>181</v>
      </c>
      <c r="AD697" t="s">
        <v>182</v>
      </c>
      <c r="AE697" t="s">
        <v>183</v>
      </c>
      <c r="AF697">
        <v>3</v>
      </c>
    </row>
    <row r="698" spans="1:32">
      <c r="A698">
        <v>223</v>
      </c>
      <c r="B698">
        <v>1186</v>
      </c>
      <c r="C698" t="s">
        <v>2501</v>
      </c>
      <c r="D698" t="s">
        <v>747</v>
      </c>
      <c r="E698" t="s">
        <v>2165</v>
      </c>
      <c r="F698" t="s">
        <v>6</v>
      </c>
      <c r="G698" t="s">
        <v>987</v>
      </c>
      <c r="H698" t="s">
        <v>415</v>
      </c>
      <c r="I698" t="s">
        <v>186</v>
      </c>
      <c r="J698" t="s">
        <v>172</v>
      </c>
      <c r="K698" t="s">
        <v>2502</v>
      </c>
      <c r="L698" s="84">
        <v>42557</v>
      </c>
      <c r="M698" t="s">
        <v>381</v>
      </c>
      <c r="N698" t="s">
        <v>1699</v>
      </c>
      <c r="O698">
        <v>3</v>
      </c>
      <c r="P698" t="s">
        <v>2503</v>
      </c>
      <c r="Q698" t="s">
        <v>2504</v>
      </c>
      <c r="R698" t="s">
        <v>2505</v>
      </c>
      <c r="S698" t="s">
        <v>2506</v>
      </c>
      <c r="T698" t="s">
        <v>34</v>
      </c>
      <c r="U698" t="s">
        <v>80</v>
      </c>
      <c r="V698">
        <v>49</v>
      </c>
      <c r="W698">
        <v>81</v>
      </c>
      <c r="X698">
        <v>121</v>
      </c>
      <c r="Y698">
        <v>81</v>
      </c>
      <c r="Z698">
        <v>190</v>
      </c>
      <c r="AA698">
        <v>144</v>
      </c>
      <c r="AB698" t="s">
        <v>271</v>
      </c>
      <c r="AC698" t="s">
        <v>181</v>
      </c>
      <c r="AD698" t="s">
        <v>182</v>
      </c>
      <c r="AE698" t="s">
        <v>183</v>
      </c>
      <c r="AF698">
        <v>3</v>
      </c>
    </row>
    <row r="699" spans="1:32">
      <c r="A699">
        <v>223</v>
      </c>
      <c r="B699">
        <v>1186</v>
      </c>
      <c r="C699" t="s">
        <v>2501</v>
      </c>
      <c r="D699" t="s">
        <v>747</v>
      </c>
      <c r="E699" t="s">
        <v>2165</v>
      </c>
      <c r="F699" t="s">
        <v>197</v>
      </c>
      <c r="G699" t="s">
        <v>1397</v>
      </c>
      <c r="H699" t="s">
        <v>212</v>
      </c>
      <c r="I699" t="s">
        <v>192</v>
      </c>
      <c r="J699" t="s">
        <v>212</v>
      </c>
      <c r="K699" t="s">
        <v>2502</v>
      </c>
      <c r="L699" s="84">
        <v>42557</v>
      </c>
      <c r="M699" t="s">
        <v>381</v>
      </c>
      <c r="N699" t="s">
        <v>1699</v>
      </c>
      <c r="O699">
        <v>3</v>
      </c>
      <c r="P699" t="s">
        <v>2503</v>
      </c>
      <c r="Q699" t="s">
        <v>2504</v>
      </c>
      <c r="R699" t="s">
        <v>2505</v>
      </c>
      <c r="S699" t="s">
        <v>2506</v>
      </c>
      <c r="T699" t="s">
        <v>38</v>
      </c>
      <c r="U699" t="s">
        <v>80</v>
      </c>
      <c r="V699">
        <v>49</v>
      </c>
      <c r="W699">
        <v>81</v>
      </c>
      <c r="X699">
        <v>121</v>
      </c>
      <c r="Y699">
        <v>81</v>
      </c>
      <c r="Z699">
        <v>190</v>
      </c>
      <c r="AA699">
        <v>144</v>
      </c>
      <c r="AB699" t="s">
        <v>271</v>
      </c>
      <c r="AC699" t="s">
        <v>181</v>
      </c>
      <c r="AD699" t="s">
        <v>182</v>
      </c>
      <c r="AE699" t="s">
        <v>183</v>
      </c>
      <c r="AF699">
        <v>3</v>
      </c>
    </row>
    <row r="700" spans="1:32">
      <c r="A700">
        <v>223</v>
      </c>
      <c r="B700">
        <v>1186</v>
      </c>
      <c r="C700" t="s">
        <v>2501</v>
      </c>
      <c r="D700" t="s">
        <v>747</v>
      </c>
      <c r="E700" t="s">
        <v>2165</v>
      </c>
      <c r="F700" t="s">
        <v>37</v>
      </c>
      <c r="G700" t="s">
        <v>2870</v>
      </c>
      <c r="H700" t="s">
        <v>212</v>
      </c>
      <c r="I700" t="s">
        <v>212</v>
      </c>
      <c r="J700" t="s">
        <v>212</v>
      </c>
      <c r="K700" t="s">
        <v>2502</v>
      </c>
      <c r="L700" s="84">
        <v>42557</v>
      </c>
      <c r="M700" t="s">
        <v>381</v>
      </c>
      <c r="N700" t="s">
        <v>1699</v>
      </c>
      <c r="O700">
        <v>3</v>
      </c>
      <c r="P700" t="s">
        <v>2503</v>
      </c>
      <c r="Q700" t="s">
        <v>2504</v>
      </c>
      <c r="R700" t="s">
        <v>2505</v>
      </c>
      <c r="S700" t="s">
        <v>2506</v>
      </c>
      <c r="T700" t="s">
        <v>37</v>
      </c>
      <c r="U700" t="s">
        <v>80</v>
      </c>
      <c r="V700">
        <v>49</v>
      </c>
      <c r="W700">
        <v>81</v>
      </c>
      <c r="X700">
        <v>121</v>
      </c>
      <c r="Y700">
        <v>81</v>
      </c>
      <c r="Z700">
        <v>190</v>
      </c>
      <c r="AA700">
        <v>144</v>
      </c>
      <c r="AB700" t="s">
        <v>271</v>
      </c>
      <c r="AC700" t="s">
        <v>181</v>
      </c>
      <c r="AD700" t="s">
        <v>182</v>
      </c>
      <c r="AE700" t="s">
        <v>183</v>
      </c>
      <c r="AF700">
        <v>3</v>
      </c>
    </row>
    <row r="701" spans="1:32">
      <c r="A701">
        <v>223</v>
      </c>
      <c r="B701">
        <v>1186</v>
      </c>
      <c r="C701" t="s">
        <v>2501</v>
      </c>
      <c r="D701" t="s">
        <v>747</v>
      </c>
      <c r="E701" t="s">
        <v>2165</v>
      </c>
      <c r="F701" t="s">
        <v>193</v>
      </c>
      <c r="G701" t="s">
        <v>2134</v>
      </c>
      <c r="H701" t="s">
        <v>212</v>
      </c>
      <c r="I701" t="s">
        <v>212</v>
      </c>
      <c r="J701" t="s">
        <v>192</v>
      </c>
      <c r="K701" t="s">
        <v>2502</v>
      </c>
      <c r="L701" s="84">
        <v>42557</v>
      </c>
      <c r="M701" t="s">
        <v>381</v>
      </c>
      <c r="N701" t="s">
        <v>1699</v>
      </c>
      <c r="O701">
        <v>3</v>
      </c>
      <c r="P701" t="s">
        <v>2503</v>
      </c>
      <c r="Q701" t="s">
        <v>2504</v>
      </c>
      <c r="R701" t="s">
        <v>2505</v>
      </c>
      <c r="S701" t="s">
        <v>2506</v>
      </c>
      <c r="T701" t="s">
        <v>36</v>
      </c>
      <c r="U701" t="s">
        <v>80</v>
      </c>
      <c r="V701">
        <v>49</v>
      </c>
      <c r="W701">
        <v>81</v>
      </c>
      <c r="X701">
        <v>121</v>
      </c>
      <c r="Y701">
        <v>81</v>
      </c>
      <c r="Z701">
        <v>190</v>
      </c>
      <c r="AA701">
        <v>144</v>
      </c>
      <c r="AB701" t="s">
        <v>271</v>
      </c>
      <c r="AC701" t="s">
        <v>181</v>
      </c>
      <c r="AD701" t="s">
        <v>182</v>
      </c>
      <c r="AE701" t="s">
        <v>183</v>
      </c>
      <c r="AF701">
        <v>3</v>
      </c>
    </row>
    <row r="702" spans="1:32">
      <c r="A702">
        <v>224</v>
      </c>
      <c r="B702">
        <v>1083</v>
      </c>
      <c r="C702" t="s">
        <v>1800</v>
      </c>
      <c r="D702" t="s">
        <v>747</v>
      </c>
      <c r="E702" t="s">
        <v>2165</v>
      </c>
      <c r="F702" t="s">
        <v>193</v>
      </c>
      <c r="G702" t="s">
        <v>2135</v>
      </c>
      <c r="H702" t="s">
        <v>212</v>
      </c>
      <c r="I702" t="s">
        <v>212</v>
      </c>
      <c r="J702" t="s">
        <v>212</v>
      </c>
      <c r="K702" t="s">
        <v>1801</v>
      </c>
      <c r="L702" s="84">
        <v>42908</v>
      </c>
      <c r="M702" t="s">
        <v>381</v>
      </c>
      <c r="N702" t="s">
        <v>326</v>
      </c>
      <c r="O702">
        <v>3</v>
      </c>
      <c r="P702" t="s">
        <v>1802</v>
      </c>
      <c r="Q702" t="s">
        <v>1803</v>
      </c>
      <c r="R702" t="s">
        <v>2091</v>
      </c>
      <c r="S702" t="s">
        <v>2092</v>
      </c>
      <c r="T702" t="s">
        <v>36</v>
      </c>
      <c r="U702" t="s">
        <v>80</v>
      </c>
      <c r="V702">
        <v>62</v>
      </c>
      <c r="W702">
        <v>81</v>
      </c>
      <c r="X702">
        <v>121</v>
      </c>
      <c r="Y702">
        <v>96</v>
      </c>
      <c r="Z702">
        <v>190</v>
      </c>
      <c r="AA702">
        <v>161</v>
      </c>
      <c r="AB702" t="s">
        <v>327</v>
      </c>
      <c r="AC702" t="s">
        <v>212</v>
      </c>
      <c r="AD702" t="s">
        <v>609</v>
      </c>
      <c r="AE702" t="s">
        <v>183</v>
      </c>
      <c r="AF702">
        <v>1</v>
      </c>
    </row>
    <row r="703" spans="1:32">
      <c r="A703">
        <v>224</v>
      </c>
      <c r="B703">
        <v>1083</v>
      </c>
      <c r="C703" t="s">
        <v>1800</v>
      </c>
      <c r="D703" t="s">
        <v>747</v>
      </c>
      <c r="E703" t="s">
        <v>2165</v>
      </c>
      <c r="F703" t="s">
        <v>37</v>
      </c>
      <c r="G703" t="s">
        <v>2871</v>
      </c>
      <c r="H703" t="s">
        <v>212</v>
      </c>
      <c r="I703" t="s">
        <v>212</v>
      </c>
      <c r="J703" t="s">
        <v>212</v>
      </c>
      <c r="K703" t="s">
        <v>1801</v>
      </c>
      <c r="L703" s="84">
        <v>42908</v>
      </c>
      <c r="M703" t="s">
        <v>381</v>
      </c>
      <c r="N703" t="s">
        <v>326</v>
      </c>
      <c r="O703">
        <v>3</v>
      </c>
      <c r="P703" t="s">
        <v>1802</v>
      </c>
      <c r="Q703" t="s">
        <v>1803</v>
      </c>
      <c r="R703" t="s">
        <v>2091</v>
      </c>
      <c r="S703" t="s">
        <v>2092</v>
      </c>
      <c r="T703" t="s">
        <v>37</v>
      </c>
      <c r="U703" t="s">
        <v>80</v>
      </c>
      <c r="V703">
        <v>62</v>
      </c>
      <c r="W703">
        <v>81</v>
      </c>
      <c r="X703">
        <v>121</v>
      </c>
      <c r="Y703">
        <v>96</v>
      </c>
      <c r="Z703">
        <v>190</v>
      </c>
      <c r="AA703">
        <v>161</v>
      </c>
      <c r="AB703" t="s">
        <v>327</v>
      </c>
      <c r="AC703" t="s">
        <v>212</v>
      </c>
      <c r="AD703" t="s">
        <v>609</v>
      </c>
      <c r="AE703" t="s">
        <v>183</v>
      </c>
      <c r="AF703">
        <v>1</v>
      </c>
    </row>
    <row r="704" spans="1:32">
      <c r="A704">
        <v>224</v>
      </c>
      <c r="B704">
        <v>1083</v>
      </c>
      <c r="C704" t="s">
        <v>1800</v>
      </c>
      <c r="D704" t="s">
        <v>747</v>
      </c>
      <c r="E704" t="s">
        <v>2165</v>
      </c>
      <c r="F704" t="s">
        <v>197</v>
      </c>
      <c r="G704" t="s">
        <v>1398</v>
      </c>
      <c r="H704" t="s">
        <v>212</v>
      </c>
      <c r="I704" t="s">
        <v>212</v>
      </c>
      <c r="J704" t="s">
        <v>212</v>
      </c>
      <c r="K704" t="s">
        <v>1801</v>
      </c>
      <c r="L704" s="84">
        <v>42908</v>
      </c>
      <c r="M704" t="s">
        <v>381</v>
      </c>
      <c r="N704" t="s">
        <v>326</v>
      </c>
      <c r="O704">
        <v>3</v>
      </c>
      <c r="P704" t="s">
        <v>1802</v>
      </c>
      <c r="Q704" t="s">
        <v>1803</v>
      </c>
      <c r="R704" t="s">
        <v>2091</v>
      </c>
      <c r="S704" t="s">
        <v>2092</v>
      </c>
      <c r="T704" t="s">
        <v>38</v>
      </c>
      <c r="U704" t="s">
        <v>80</v>
      </c>
      <c r="V704">
        <v>62</v>
      </c>
      <c r="W704">
        <v>81</v>
      </c>
      <c r="X704">
        <v>121</v>
      </c>
      <c r="Y704">
        <v>96</v>
      </c>
      <c r="Z704">
        <v>190</v>
      </c>
      <c r="AA704">
        <v>161</v>
      </c>
      <c r="AB704" t="s">
        <v>327</v>
      </c>
      <c r="AC704" t="s">
        <v>212</v>
      </c>
      <c r="AD704" t="s">
        <v>609</v>
      </c>
      <c r="AE704" t="s">
        <v>183</v>
      </c>
      <c r="AF704">
        <v>1</v>
      </c>
    </row>
    <row r="705" spans="1:32">
      <c r="A705">
        <v>224</v>
      </c>
      <c r="B705">
        <v>1083</v>
      </c>
      <c r="C705" t="s">
        <v>1800</v>
      </c>
      <c r="D705" t="s">
        <v>747</v>
      </c>
      <c r="E705" t="s">
        <v>2165</v>
      </c>
      <c r="F705" t="s">
        <v>6</v>
      </c>
      <c r="G705" t="s">
        <v>994</v>
      </c>
      <c r="H705" t="s">
        <v>2049</v>
      </c>
      <c r="I705" t="s">
        <v>243</v>
      </c>
      <c r="J705" t="s">
        <v>192</v>
      </c>
      <c r="K705" t="s">
        <v>1801</v>
      </c>
      <c r="L705" s="84">
        <v>42908</v>
      </c>
      <c r="M705" t="s">
        <v>381</v>
      </c>
      <c r="N705" t="s">
        <v>326</v>
      </c>
      <c r="O705">
        <v>3</v>
      </c>
      <c r="P705" t="s">
        <v>1802</v>
      </c>
      <c r="Q705" t="s">
        <v>1803</v>
      </c>
      <c r="R705" t="s">
        <v>2091</v>
      </c>
      <c r="S705" t="s">
        <v>2092</v>
      </c>
      <c r="T705" t="s">
        <v>34</v>
      </c>
      <c r="U705" t="s">
        <v>80</v>
      </c>
      <c r="V705">
        <v>62</v>
      </c>
      <c r="W705">
        <v>81</v>
      </c>
      <c r="X705">
        <v>121</v>
      </c>
      <c r="Y705">
        <v>96</v>
      </c>
      <c r="Z705">
        <v>190</v>
      </c>
      <c r="AA705">
        <v>161</v>
      </c>
      <c r="AB705" t="s">
        <v>327</v>
      </c>
      <c r="AC705" t="s">
        <v>212</v>
      </c>
      <c r="AD705" t="s">
        <v>609</v>
      </c>
      <c r="AE705" t="s">
        <v>2050</v>
      </c>
      <c r="AF705">
        <v>1</v>
      </c>
    </row>
    <row r="706" spans="1:32">
      <c r="A706">
        <v>224</v>
      </c>
      <c r="B706">
        <v>1083</v>
      </c>
      <c r="C706" t="s">
        <v>1800</v>
      </c>
      <c r="D706" t="s">
        <v>747</v>
      </c>
      <c r="E706" t="s">
        <v>2165</v>
      </c>
      <c r="F706" t="s">
        <v>7</v>
      </c>
      <c r="G706" t="s">
        <v>997</v>
      </c>
      <c r="H706" t="s">
        <v>181</v>
      </c>
      <c r="I706" t="s">
        <v>256</v>
      </c>
      <c r="J706" t="s">
        <v>238</v>
      </c>
      <c r="K706" t="s">
        <v>1801</v>
      </c>
      <c r="L706" s="84">
        <v>42908</v>
      </c>
      <c r="M706" t="s">
        <v>381</v>
      </c>
      <c r="N706" t="s">
        <v>326</v>
      </c>
      <c r="O706">
        <v>3</v>
      </c>
      <c r="P706" t="s">
        <v>1802</v>
      </c>
      <c r="Q706" t="s">
        <v>1803</v>
      </c>
      <c r="R706" t="s">
        <v>2091</v>
      </c>
      <c r="S706" t="s">
        <v>2092</v>
      </c>
      <c r="T706" t="s">
        <v>32</v>
      </c>
      <c r="U706" t="s">
        <v>80</v>
      </c>
      <c r="V706">
        <v>62</v>
      </c>
      <c r="W706">
        <v>81</v>
      </c>
      <c r="X706">
        <v>121</v>
      </c>
      <c r="Y706">
        <v>96</v>
      </c>
      <c r="Z706">
        <v>190</v>
      </c>
      <c r="AA706">
        <v>161</v>
      </c>
      <c r="AB706" t="s">
        <v>327</v>
      </c>
      <c r="AC706" t="s">
        <v>212</v>
      </c>
      <c r="AD706" t="s">
        <v>609</v>
      </c>
      <c r="AE706" t="s">
        <v>183</v>
      </c>
      <c r="AF706">
        <v>1</v>
      </c>
    </row>
    <row r="707" spans="1:32">
      <c r="A707">
        <v>224</v>
      </c>
      <c r="B707">
        <v>1083</v>
      </c>
      <c r="C707" t="s">
        <v>1800</v>
      </c>
      <c r="D707" t="s">
        <v>747</v>
      </c>
      <c r="E707" t="s">
        <v>2165</v>
      </c>
      <c r="F707" t="s">
        <v>8</v>
      </c>
      <c r="G707" t="s">
        <v>996</v>
      </c>
      <c r="H707" t="s">
        <v>185</v>
      </c>
      <c r="I707" t="s">
        <v>274</v>
      </c>
      <c r="J707" t="s">
        <v>436</v>
      </c>
      <c r="K707" t="s">
        <v>1801</v>
      </c>
      <c r="L707" s="84">
        <v>42908</v>
      </c>
      <c r="M707" t="s">
        <v>381</v>
      </c>
      <c r="N707" t="s">
        <v>326</v>
      </c>
      <c r="O707">
        <v>3</v>
      </c>
      <c r="P707" t="s">
        <v>1802</v>
      </c>
      <c r="Q707" t="s">
        <v>1803</v>
      </c>
      <c r="R707" t="s">
        <v>2091</v>
      </c>
      <c r="S707" t="s">
        <v>2092</v>
      </c>
      <c r="T707" t="s">
        <v>31</v>
      </c>
      <c r="U707" t="s">
        <v>80</v>
      </c>
      <c r="V707">
        <v>62</v>
      </c>
      <c r="W707">
        <v>81</v>
      </c>
      <c r="X707">
        <v>121</v>
      </c>
      <c r="Y707">
        <v>96</v>
      </c>
      <c r="Z707">
        <v>190</v>
      </c>
      <c r="AA707">
        <v>161</v>
      </c>
      <c r="AB707" t="s">
        <v>327</v>
      </c>
      <c r="AC707" t="s">
        <v>212</v>
      </c>
      <c r="AD707" t="s">
        <v>609</v>
      </c>
      <c r="AE707" t="s">
        <v>183</v>
      </c>
      <c r="AF707">
        <v>1</v>
      </c>
    </row>
    <row r="708" spans="1:32">
      <c r="A708">
        <v>224</v>
      </c>
      <c r="B708">
        <v>1083</v>
      </c>
      <c r="C708" t="s">
        <v>1800</v>
      </c>
      <c r="D708" t="s">
        <v>747</v>
      </c>
      <c r="E708" t="s">
        <v>2165</v>
      </c>
      <c r="F708" t="s">
        <v>5</v>
      </c>
      <c r="G708" t="s">
        <v>995</v>
      </c>
      <c r="H708" t="s">
        <v>185</v>
      </c>
      <c r="I708" t="s">
        <v>191</v>
      </c>
      <c r="J708" t="s">
        <v>228</v>
      </c>
      <c r="K708" t="s">
        <v>1801</v>
      </c>
      <c r="L708" s="84">
        <v>42908</v>
      </c>
      <c r="M708" t="s">
        <v>381</v>
      </c>
      <c r="N708" t="s">
        <v>326</v>
      </c>
      <c r="O708">
        <v>3</v>
      </c>
      <c r="P708" t="s">
        <v>1802</v>
      </c>
      <c r="Q708" t="s">
        <v>1803</v>
      </c>
      <c r="R708" t="s">
        <v>2091</v>
      </c>
      <c r="S708" t="s">
        <v>2092</v>
      </c>
      <c r="T708" t="s">
        <v>33</v>
      </c>
      <c r="U708" t="s">
        <v>80</v>
      </c>
      <c r="V708">
        <v>62</v>
      </c>
      <c r="W708">
        <v>81</v>
      </c>
      <c r="X708">
        <v>121</v>
      </c>
      <c r="Y708">
        <v>96</v>
      </c>
      <c r="Z708">
        <v>190</v>
      </c>
      <c r="AA708">
        <v>161</v>
      </c>
      <c r="AB708" t="s">
        <v>327</v>
      </c>
      <c r="AC708" t="s">
        <v>212</v>
      </c>
      <c r="AD708" t="s">
        <v>609</v>
      </c>
      <c r="AE708" t="s">
        <v>183</v>
      </c>
      <c r="AF708">
        <v>1</v>
      </c>
    </row>
    <row r="709" spans="1:32">
      <c r="A709">
        <v>225</v>
      </c>
      <c r="B709">
        <v>926</v>
      </c>
      <c r="C709" t="s">
        <v>1804</v>
      </c>
      <c r="D709" t="s">
        <v>747</v>
      </c>
      <c r="E709" t="s">
        <v>2165</v>
      </c>
      <c r="F709" t="s">
        <v>5</v>
      </c>
      <c r="G709" t="s">
        <v>1007</v>
      </c>
      <c r="H709" t="s">
        <v>260</v>
      </c>
      <c r="I709" t="s">
        <v>238</v>
      </c>
      <c r="J709" t="s">
        <v>215</v>
      </c>
      <c r="K709" t="s">
        <v>1805</v>
      </c>
      <c r="L709" s="84">
        <v>43356</v>
      </c>
      <c r="M709" t="s">
        <v>381</v>
      </c>
      <c r="N709" t="s">
        <v>950</v>
      </c>
      <c r="O709">
        <v>1</v>
      </c>
      <c r="P709" t="s">
        <v>1806</v>
      </c>
      <c r="Q709" t="s">
        <v>1807</v>
      </c>
      <c r="R709" t="s">
        <v>1808</v>
      </c>
      <c r="S709" t="s">
        <v>1809</v>
      </c>
      <c r="T709" t="s">
        <v>33</v>
      </c>
      <c r="U709" t="s">
        <v>78</v>
      </c>
      <c r="V709">
        <v>70</v>
      </c>
      <c r="W709">
        <v>81</v>
      </c>
      <c r="X709">
        <v>121</v>
      </c>
      <c r="Y709">
        <v>107</v>
      </c>
      <c r="Z709">
        <v>190</v>
      </c>
      <c r="AA709">
        <v>169</v>
      </c>
      <c r="AB709" t="s">
        <v>343</v>
      </c>
      <c r="AC709" t="s">
        <v>181</v>
      </c>
      <c r="AD709" t="s">
        <v>2507</v>
      </c>
      <c r="AE709" t="s">
        <v>183</v>
      </c>
      <c r="AF709">
        <v>0</v>
      </c>
    </row>
    <row r="710" spans="1:32">
      <c r="A710">
        <v>225</v>
      </c>
      <c r="B710">
        <v>926</v>
      </c>
      <c r="C710" t="s">
        <v>1804</v>
      </c>
      <c r="D710" t="s">
        <v>747</v>
      </c>
      <c r="E710" t="s">
        <v>2165</v>
      </c>
      <c r="F710" t="s">
        <v>8</v>
      </c>
      <c r="G710" t="s">
        <v>1006</v>
      </c>
      <c r="H710" t="s">
        <v>215</v>
      </c>
      <c r="I710" t="s">
        <v>220</v>
      </c>
      <c r="J710" t="s">
        <v>216</v>
      </c>
      <c r="K710" t="s">
        <v>1805</v>
      </c>
      <c r="L710" s="84">
        <v>43356</v>
      </c>
      <c r="M710" t="s">
        <v>381</v>
      </c>
      <c r="N710" t="s">
        <v>950</v>
      </c>
      <c r="O710">
        <v>1</v>
      </c>
      <c r="P710" t="s">
        <v>1806</v>
      </c>
      <c r="Q710" t="s">
        <v>1807</v>
      </c>
      <c r="R710" t="s">
        <v>1808</v>
      </c>
      <c r="S710" t="s">
        <v>1809</v>
      </c>
      <c r="T710" t="s">
        <v>31</v>
      </c>
      <c r="U710" t="s">
        <v>78</v>
      </c>
      <c r="V710">
        <v>70</v>
      </c>
      <c r="W710">
        <v>81</v>
      </c>
      <c r="X710">
        <v>121</v>
      </c>
      <c r="Y710">
        <v>107</v>
      </c>
      <c r="Z710">
        <v>190</v>
      </c>
      <c r="AA710">
        <v>169</v>
      </c>
      <c r="AB710" t="s">
        <v>343</v>
      </c>
      <c r="AC710" t="s">
        <v>181</v>
      </c>
      <c r="AD710" t="s">
        <v>2507</v>
      </c>
      <c r="AE710" t="s">
        <v>183</v>
      </c>
      <c r="AF710">
        <v>0</v>
      </c>
    </row>
    <row r="711" spans="1:32">
      <c r="A711">
        <v>225</v>
      </c>
      <c r="B711">
        <v>926</v>
      </c>
      <c r="C711" t="s">
        <v>1804</v>
      </c>
      <c r="D711" t="s">
        <v>747</v>
      </c>
      <c r="E711" t="s">
        <v>2165</v>
      </c>
      <c r="F711" t="s">
        <v>7</v>
      </c>
      <c r="G711" t="s">
        <v>999</v>
      </c>
      <c r="H711" t="s">
        <v>216</v>
      </c>
      <c r="I711" t="s">
        <v>217</v>
      </c>
      <c r="J711" t="s">
        <v>239</v>
      </c>
      <c r="K711" t="s">
        <v>1805</v>
      </c>
      <c r="L711" s="84">
        <v>43356</v>
      </c>
      <c r="M711" t="s">
        <v>381</v>
      </c>
      <c r="N711" t="s">
        <v>950</v>
      </c>
      <c r="O711">
        <v>1</v>
      </c>
      <c r="P711" t="s">
        <v>1806</v>
      </c>
      <c r="Q711" t="s">
        <v>1807</v>
      </c>
      <c r="R711" t="s">
        <v>1808</v>
      </c>
      <c r="S711" t="s">
        <v>1809</v>
      </c>
      <c r="T711" t="s">
        <v>32</v>
      </c>
      <c r="U711" t="s">
        <v>78</v>
      </c>
      <c r="V711">
        <v>70</v>
      </c>
      <c r="W711">
        <v>81</v>
      </c>
      <c r="X711">
        <v>121</v>
      </c>
      <c r="Y711">
        <v>107</v>
      </c>
      <c r="Z711">
        <v>190</v>
      </c>
      <c r="AA711">
        <v>169</v>
      </c>
      <c r="AB711" t="s">
        <v>343</v>
      </c>
      <c r="AC711" t="s">
        <v>181</v>
      </c>
      <c r="AD711" t="s">
        <v>2507</v>
      </c>
      <c r="AE711" t="s">
        <v>183</v>
      </c>
      <c r="AF711">
        <v>0</v>
      </c>
    </row>
    <row r="712" spans="1:32">
      <c r="A712">
        <v>225</v>
      </c>
      <c r="B712">
        <v>926</v>
      </c>
      <c r="C712" t="s">
        <v>1804</v>
      </c>
      <c r="D712" t="s">
        <v>747</v>
      </c>
      <c r="E712" t="s">
        <v>2165</v>
      </c>
      <c r="F712" t="s">
        <v>6</v>
      </c>
      <c r="G712" t="s">
        <v>1008</v>
      </c>
      <c r="H712" t="s">
        <v>236</v>
      </c>
      <c r="I712" t="s">
        <v>297</v>
      </c>
      <c r="J712" t="s">
        <v>236</v>
      </c>
      <c r="K712" t="s">
        <v>1805</v>
      </c>
      <c r="L712" s="84">
        <v>43356</v>
      </c>
      <c r="M712" t="s">
        <v>381</v>
      </c>
      <c r="N712" t="s">
        <v>950</v>
      </c>
      <c r="O712">
        <v>1</v>
      </c>
      <c r="P712" t="s">
        <v>1806</v>
      </c>
      <c r="Q712" t="s">
        <v>1807</v>
      </c>
      <c r="R712" t="s">
        <v>1808</v>
      </c>
      <c r="S712" t="s">
        <v>1809</v>
      </c>
      <c r="T712" t="s">
        <v>34</v>
      </c>
      <c r="U712" t="s">
        <v>78</v>
      </c>
      <c r="V712">
        <v>70</v>
      </c>
      <c r="W712">
        <v>81</v>
      </c>
      <c r="X712">
        <v>121</v>
      </c>
      <c r="Y712">
        <v>107</v>
      </c>
      <c r="Z712">
        <v>190</v>
      </c>
      <c r="AA712">
        <v>169</v>
      </c>
      <c r="AB712" t="s">
        <v>343</v>
      </c>
      <c r="AC712" t="s">
        <v>181</v>
      </c>
      <c r="AD712" t="s">
        <v>2507</v>
      </c>
      <c r="AE712" t="s">
        <v>183</v>
      </c>
      <c r="AF712">
        <v>0</v>
      </c>
    </row>
    <row r="713" spans="1:32">
      <c r="A713">
        <v>225</v>
      </c>
      <c r="B713">
        <v>926</v>
      </c>
      <c r="C713" t="s">
        <v>1804</v>
      </c>
      <c r="D713" t="s">
        <v>747</v>
      </c>
      <c r="E713" t="s">
        <v>2165</v>
      </c>
      <c r="F713" t="s">
        <v>197</v>
      </c>
      <c r="G713" t="s">
        <v>1399</v>
      </c>
      <c r="H713" t="s">
        <v>212</v>
      </c>
      <c r="I713" t="s">
        <v>212</v>
      </c>
      <c r="J713" t="s">
        <v>212</v>
      </c>
      <c r="K713" t="s">
        <v>1805</v>
      </c>
      <c r="L713" s="84">
        <v>43356</v>
      </c>
      <c r="M713" t="s">
        <v>381</v>
      </c>
      <c r="N713" t="s">
        <v>950</v>
      </c>
      <c r="O713">
        <v>1</v>
      </c>
      <c r="P713" t="s">
        <v>1806</v>
      </c>
      <c r="Q713" t="s">
        <v>1807</v>
      </c>
      <c r="R713" t="s">
        <v>1808</v>
      </c>
      <c r="S713" t="s">
        <v>1809</v>
      </c>
      <c r="T713" t="s">
        <v>38</v>
      </c>
      <c r="U713" t="s">
        <v>78</v>
      </c>
      <c r="V713">
        <v>70</v>
      </c>
      <c r="W713">
        <v>81</v>
      </c>
      <c r="X713">
        <v>121</v>
      </c>
      <c r="Y713">
        <v>107</v>
      </c>
      <c r="Z713">
        <v>190</v>
      </c>
      <c r="AA713">
        <v>169</v>
      </c>
      <c r="AB713" t="s">
        <v>343</v>
      </c>
      <c r="AC713" t="s">
        <v>181</v>
      </c>
      <c r="AD713" t="s">
        <v>2507</v>
      </c>
      <c r="AE713" t="s">
        <v>183</v>
      </c>
      <c r="AF713">
        <v>0</v>
      </c>
    </row>
    <row r="714" spans="1:32">
      <c r="A714">
        <v>225</v>
      </c>
      <c r="B714">
        <v>926</v>
      </c>
      <c r="C714" t="s">
        <v>1804</v>
      </c>
      <c r="D714" t="s">
        <v>747</v>
      </c>
      <c r="E714" t="s">
        <v>2165</v>
      </c>
      <c r="F714" t="s">
        <v>37</v>
      </c>
      <c r="G714" t="s">
        <v>2872</v>
      </c>
      <c r="H714" t="s">
        <v>212</v>
      </c>
      <c r="I714" t="s">
        <v>212</v>
      </c>
      <c r="J714" t="s">
        <v>212</v>
      </c>
      <c r="K714" t="s">
        <v>1805</v>
      </c>
      <c r="L714" s="84">
        <v>43356</v>
      </c>
      <c r="M714" t="s">
        <v>381</v>
      </c>
      <c r="N714" t="s">
        <v>950</v>
      </c>
      <c r="O714">
        <v>1</v>
      </c>
      <c r="P714" t="s">
        <v>1806</v>
      </c>
      <c r="Q714" t="s">
        <v>1807</v>
      </c>
      <c r="R714" t="s">
        <v>1808</v>
      </c>
      <c r="S714" t="s">
        <v>1809</v>
      </c>
      <c r="T714" t="s">
        <v>37</v>
      </c>
      <c r="U714" t="s">
        <v>78</v>
      </c>
      <c r="V714">
        <v>70</v>
      </c>
      <c r="W714">
        <v>81</v>
      </c>
      <c r="X714">
        <v>121</v>
      </c>
      <c r="Y714">
        <v>107</v>
      </c>
      <c r="Z714">
        <v>190</v>
      </c>
      <c r="AA714">
        <v>169</v>
      </c>
      <c r="AB714" t="s">
        <v>343</v>
      </c>
      <c r="AC714" t="s">
        <v>181</v>
      </c>
      <c r="AD714" t="s">
        <v>2507</v>
      </c>
      <c r="AE714" t="s">
        <v>183</v>
      </c>
      <c r="AF714">
        <v>0</v>
      </c>
    </row>
    <row r="715" spans="1:32">
      <c r="A715">
        <v>225</v>
      </c>
      <c r="B715">
        <v>926</v>
      </c>
      <c r="C715" t="s">
        <v>1804</v>
      </c>
      <c r="D715" t="s">
        <v>747</v>
      </c>
      <c r="E715" t="s">
        <v>2165</v>
      </c>
      <c r="F715" t="s">
        <v>193</v>
      </c>
      <c r="G715" t="s">
        <v>2136</v>
      </c>
      <c r="H715" t="s">
        <v>212</v>
      </c>
      <c r="I715" t="s">
        <v>212</v>
      </c>
      <c r="J715" t="s">
        <v>212</v>
      </c>
      <c r="K715" t="s">
        <v>1805</v>
      </c>
      <c r="L715" s="84">
        <v>43356</v>
      </c>
      <c r="M715" t="s">
        <v>381</v>
      </c>
      <c r="N715" t="s">
        <v>950</v>
      </c>
      <c r="O715">
        <v>1</v>
      </c>
      <c r="P715" t="s">
        <v>1806</v>
      </c>
      <c r="Q715" t="s">
        <v>1807</v>
      </c>
      <c r="R715" t="s">
        <v>1808</v>
      </c>
      <c r="S715" t="s">
        <v>1809</v>
      </c>
      <c r="T715" t="s">
        <v>36</v>
      </c>
      <c r="U715" t="s">
        <v>78</v>
      </c>
      <c r="V715">
        <v>70</v>
      </c>
      <c r="W715">
        <v>81</v>
      </c>
      <c r="X715">
        <v>121</v>
      </c>
      <c r="Y715">
        <v>107</v>
      </c>
      <c r="Z715">
        <v>190</v>
      </c>
      <c r="AA715">
        <v>169</v>
      </c>
      <c r="AB715" t="s">
        <v>343</v>
      </c>
      <c r="AC715" t="s">
        <v>181</v>
      </c>
      <c r="AD715" t="s">
        <v>2507</v>
      </c>
      <c r="AE715" t="s">
        <v>183</v>
      </c>
      <c r="AF715">
        <v>0</v>
      </c>
    </row>
    <row r="716" spans="1:32">
      <c r="A716">
        <v>226</v>
      </c>
      <c r="B716">
        <v>1119</v>
      </c>
      <c r="C716" t="s">
        <v>2508</v>
      </c>
      <c r="D716" t="s">
        <v>747</v>
      </c>
      <c r="E716" t="s">
        <v>2165</v>
      </c>
      <c r="F716" t="s">
        <v>193</v>
      </c>
      <c r="G716" t="s">
        <v>2137</v>
      </c>
      <c r="H716" t="s">
        <v>212</v>
      </c>
      <c r="I716" t="s">
        <v>212</v>
      </c>
      <c r="J716" t="s">
        <v>192</v>
      </c>
      <c r="K716" t="s">
        <v>2509</v>
      </c>
      <c r="L716" s="84">
        <v>41732</v>
      </c>
      <c r="M716" t="s">
        <v>381</v>
      </c>
      <c r="N716" t="s">
        <v>2288</v>
      </c>
      <c r="O716">
        <v>3</v>
      </c>
      <c r="P716" t="s">
        <v>2510</v>
      </c>
      <c r="Q716" t="s">
        <v>2511</v>
      </c>
      <c r="R716" t="s">
        <v>2512</v>
      </c>
      <c r="S716" t="s">
        <v>2513</v>
      </c>
      <c r="T716" t="s">
        <v>36</v>
      </c>
      <c r="U716" t="s">
        <v>80</v>
      </c>
      <c r="V716">
        <v>51</v>
      </c>
      <c r="W716">
        <v>81</v>
      </c>
      <c r="X716">
        <v>121</v>
      </c>
      <c r="Y716">
        <v>85</v>
      </c>
      <c r="Z716">
        <v>190</v>
      </c>
      <c r="AA716">
        <v>140</v>
      </c>
      <c r="AB716" t="s">
        <v>398</v>
      </c>
      <c r="AC716" t="s">
        <v>192</v>
      </c>
      <c r="AD716" t="s">
        <v>210</v>
      </c>
      <c r="AE716" t="s">
        <v>183</v>
      </c>
      <c r="AF716">
        <v>0</v>
      </c>
    </row>
    <row r="717" spans="1:32">
      <c r="A717">
        <v>226</v>
      </c>
      <c r="B717">
        <v>1119</v>
      </c>
      <c r="C717" t="s">
        <v>2508</v>
      </c>
      <c r="D717" t="s">
        <v>747</v>
      </c>
      <c r="E717" t="s">
        <v>2165</v>
      </c>
      <c r="F717" t="s">
        <v>37</v>
      </c>
      <c r="G717" t="s">
        <v>2873</v>
      </c>
      <c r="H717" t="s">
        <v>212</v>
      </c>
      <c r="I717" t="s">
        <v>212</v>
      </c>
      <c r="J717" t="s">
        <v>212</v>
      </c>
      <c r="K717" t="s">
        <v>2509</v>
      </c>
      <c r="L717" s="84">
        <v>41732</v>
      </c>
      <c r="M717" t="s">
        <v>381</v>
      </c>
      <c r="N717" t="s">
        <v>2288</v>
      </c>
      <c r="O717">
        <v>3</v>
      </c>
      <c r="P717" t="s">
        <v>2510</v>
      </c>
      <c r="Q717" t="s">
        <v>2511</v>
      </c>
      <c r="R717" t="s">
        <v>2512</v>
      </c>
      <c r="S717" t="s">
        <v>2513</v>
      </c>
      <c r="T717" t="s">
        <v>37</v>
      </c>
      <c r="U717" t="s">
        <v>80</v>
      </c>
      <c r="V717">
        <v>51</v>
      </c>
      <c r="W717">
        <v>81</v>
      </c>
      <c r="X717">
        <v>121</v>
      </c>
      <c r="Y717">
        <v>85</v>
      </c>
      <c r="Z717">
        <v>190</v>
      </c>
      <c r="AA717">
        <v>140</v>
      </c>
      <c r="AB717" t="s">
        <v>398</v>
      </c>
      <c r="AC717" t="s">
        <v>192</v>
      </c>
      <c r="AD717" t="s">
        <v>210</v>
      </c>
      <c r="AE717" t="s">
        <v>183</v>
      </c>
      <c r="AF717">
        <v>0</v>
      </c>
    </row>
    <row r="718" spans="1:32">
      <c r="A718">
        <v>226</v>
      </c>
      <c r="B718">
        <v>1119</v>
      </c>
      <c r="C718" t="s">
        <v>2508</v>
      </c>
      <c r="D718" t="s">
        <v>747</v>
      </c>
      <c r="E718" t="s">
        <v>2165</v>
      </c>
      <c r="F718" t="s">
        <v>197</v>
      </c>
      <c r="G718" t="s">
        <v>1401</v>
      </c>
      <c r="H718" t="s">
        <v>212</v>
      </c>
      <c r="I718" t="s">
        <v>212</v>
      </c>
      <c r="J718" t="s">
        <v>192</v>
      </c>
      <c r="K718" t="s">
        <v>2509</v>
      </c>
      <c r="L718" s="84">
        <v>41732</v>
      </c>
      <c r="M718" t="s">
        <v>381</v>
      </c>
      <c r="N718" t="s">
        <v>2288</v>
      </c>
      <c r="O718">
        <v>3</v>
      </c>
      <c r="P718" t="s">
        <v>2510</v>
      </c>
      <c r="Q718" t="s">
        <v>2511</v>
      </c>
      <c r="R718" t="s">
        <v>2512</v>
      </c>
      <c r="S718" t="s">
        <v>2513</v>
      </c>
      <c r="T718" t="s">
        <v>38</v>
      </c>
      <c r="U718" t="s">
        <v>80</v>
      </c>
      <c r="V718">
        <v>51</v>
      </c>
      <c r="W718">
        <v>81</v>
      </c>
      <c r="X718">
        <v>121</v>
      </c>
      <c r="Y718">
        <v>85</v>
      </c>
      <c r="Z718">
        <v>190</v>
      </c>
      <c r="AA718">
        <v>140</v>
      </c>
      <c r="AB718" t="s">
        <v>398</v>
      </c>
      <c r="AC718" t="s">
        <v>192</v>
      </c>
      <c r="AD718" t="s">
        <v>210</v>
      </c>
      <c r="AE718" t="s">
        <v>183</v>
      </c>
      <c r="AF718">
        <v>0</v>
      </c>
    </row>
    <row r="719" spans="1:32">
      <c r="A719">
        <v>226</v>
      </c>
      <c r="B719">
        <v>1119</v>
      </c>
      <c r="C719" t="s">
        <v>2508</v>
      </c>
      <c r="D719" t="s">
        <v>747</v>
      </c>
      <c r="E719" t="s">
        <v>2165</v>
      </c>
      <c r="F719" t="s">
        <v>6</v>
      </c>
      <c r="G719" t="s">
        <v>1014</v>
      </c>
      <c r="H719" t="s">
        <v>181</v>
      </c>
      <c r="I719" t="s">
        <v>436</v>
      </c>
      <c r="J719" t="s">
        <v>186</v>
      </c>
      <c r="K719" t="s">
        <v>2509</v>
      </c>
      <c r="L719" s="84">
        <v>41732</v>
      </c>
      <c r="M719" t="s">
        <v>381</v>
      </c>
      <c r="N719" t="s">
        <v>2288</v>
      </c>
      <c r="O719">
        <v>3</v>
      </c>
      <c r="P719" t="s">
        <v>2510</v>
      </c>
      <c r="Q719" t="s">
        <v>2511</v>
      </c>
      <c r="R719" t="s">
        <v>2512</v>
      </c>
      <c r="S719" t="s">
        <v>2513</v>
      </c>
      <c r="T719" t="s">
        <v>34</v>
      </c>
      <c r="U719" t="s">
        <v>80</v>
      </c>
      <c r="V719">
        <v>51</v>
      </c>
      <c r="W719">
        <v>81</v>
      </c>
      <c r="X719">
        <v>121</v>
      </c>
      <c r="Y719">
        <v>85</v>
      </c>
      <c r="Z719">
        <v>190</v>
      </c>
      <c r="AA719">
        <v>140</v>
      </c>
      <c r="AB719" t="s">
        <v>398</v>
      </c>
      <c r="AC719" t="s">
        <v>192</v>
      </c>
      <c r="AD719" t="s">
        <v>210</v>
      </c>
      <c r="AE719" t="s">
        <v>183</v>
      </c>
      <c r="AF719">
        <v>0</v>
      </c>
    </row>
    <row r="720" spans="1:32">
      <c r="A720">
        <v>226</v>
      </c>
      <c r="B720">
        <v>1119</v>
      </c>
      <c r="C720" t="s">
        <v>2508</v>
      </c>
      <c r="D720" t="s">
        <v>747</v>
      </c>
      <c r="E720" t="s">
        <v>2165</v>
      </c>
      <c r="F720" t="s">
        <v>7</v>
      </c>
      <c r="G720" t="s">
        <v>1017</v>
      </c>
      <c r="H720" t="s">
        <v>237</v>
      </c>
      <c r="I720" t="s">
        <v>243</v>
      </c>
      <c r="J720" t="s">
        <v>417</v>
      </c>
      <c r="K720" t="s">
        <v>2509</v>
      </c>
      <c r="L720" s="84">
        <v>41732</v>
      </c>
      <c r="M720" t="s">
        <v>381</v>
      </c>
      <c r="N720" t="s">
        <v>2288</v>
      </c>
      <c r="O720">
        <v>3</v>
      </c>
      <c r="P720" t="s">
        <v>2510</v>
      </c>
      <c r="Q720" t="s">
        <v>2511</v>
      </c>
      <c r="R720" t="s">
        <v>2512</v>
      </c>
      <c r="S720" t="s">
        <v>2513</v>
      </c>
      <c r="T720" t="s">
        <v>32</v>
      </c>
      <c r="U720" t="s">
        <v>80</v>
      </c>
      <c r="V720">
        <v>51</v>
      </c>
      <c r="W720">
        <v>81</v>
      </c>
      <c r="X720">
        <v>121</v>
      </c>
      <c r="Y720">
        <v>85</v>
      </c>
      <c r="Z720">
        <v>190</v>
      </c>
      <c r="AA720">
        <v>140</v>
      </c>
      <c r="AB720" t="s">
        <v>398</v>
      </c>
      <c r="AC720" t="s">
        <v>192</v>
      </c>
      <c r="AD720" t="s">
        <v>210</v>
      </c>
      <c r="AE720" t="s">
        <v>183</v>
      </c>
      <c r="AF720">
        <v>0</v>
      </c>
    </row>
    <row r="721" spans="1:32">
      <c r="A721">
        <v>226</v>
      </c>
      <c r="B721">
        <v>1119</v>
      </c>
      <c r="C721" t="s">
        <v>2508</v>
      </c>
      <c r="D721" t="s">
        <v>747</v>
      </c>
      <c r="E721" t="s">
        <v>2165</v>
      </c>
      <c r="F721" t="s">
        <v>8</v>
      </c>
      <c r="G721" t="s">
        <v>1016</v>
      </c>
      <c r="H721" t="s">
        <v>221</v>
      </c>
      <c r="I721" t="s">
        <v>186</v>
      </c>
      <c r="J721" t="s">
        <v>1054</v>
      </c>
      <c r="K721" t="s">
        <v>2509</v>
      </c>
      <c r="L721" s="84">
        <v>41732</v>
      </c>
      <c r="M721" t="s">
        <v>381</v>
      </c>
      <c r="N721" t="s">
        <v>2288</v>
      </c>
      <c r="O721">
        <v>3</v>
      </c>
      <c r="P721" t="s">
        <v>2510</v>
      </c>
      <c r="Q721" t="s">
        <v>2511</v>
      </c>
      <c r="R721" t="s">
        <v>2512</v>
      </c>
      <c r="S721" t="s">
        <v>2513</v>
      </c>
      <c r="T721" t="s">
        <v>31</v>
      </c>
      <c r="U721" t="s">
        <v>80</v>
      </c>
      <c r="V721">
        <v>51</v>
      </c>
      <c r="W721">
        <v>81</v>
      </c>
      <c r="X721">
        <v>121</v>
      </c>
      <c r="Y721">
        <v>85</v>
      </c>
      <c r="Z721">
        <v>190</v>
      </c>
      <c r="AA721">
        <v>140</v>
      </c>
      <c r="AB721" t="s">
        <v>398</v>
      </c>
      <c r="AC721" t="s">
        <v>192</v>
      </c>
      <c r="AD721" t="s">
        <v>210</v>
      </c>
      <c r="AE721" t="s">
        <v>183</v>
      </c>
      <c r="AF721">
        <v>0</v>
      </c>
    </row>
    <row r="722" spans="1:32">
      <c r="A722">
        <v>226</v>
      </c>
      <c r="B722">
        <v>1119</v>
      </c>
      <c r="C722" t="s">
        <v>2508</v>
      </c>
      <c r="D722" t="s">
        <v>747</v>
      </c>
      <c r="E722" t="s">
        <v>2165</v>
      </c>
      <c r="F722" t="s">
        <v>5</v>
      </c>
      <c r="G722" t="s">
        <v>1015</v>
      </c>
      <c r="H722" t="s">
        <v>185</v>
      </c>
      <c r="I722" t="s">
        <v>223</v>
      </c>
      <c r="J722" t="s">
        <v>436</v>
      </c>
      <c r="K722" t="s">
        <v>2509</v>
      </c>
      <c r="L722" s="84">
        <v>41732</v>
      </c>
      <c r="M722" t="s">
        <v>381</v>
      </c>
      <c r="N722" t="s">
        <v>2288</v>
      </c>
      <c r="O722">
        <v>3</v>
      </c>
      <c r="P722" t="s">
        <v>2510</v>
      </c>
      <c r="Q722" t="s">
        <v>2511</v>
      </c>
      <c r="R722" t="s">
        <v>2512</v>
      </c>
      <c r="S722" t="s">
        <v>2513</v>
      </c>
      <c r="T722" t="s">
        <v>33</v>
      </c>
      <c r="U722" t="s">
        <v>80</v>
      </c>
      <c r="V722">
        <v>51</v>
      </c>
      <c r="W722">
        <v>81</v>
      </c>
      <c r="X722">
        <v>121</v>
      </c>
      <c r="Y722">
        <v>85</v>
      </c>
      <c r="Z722">
        <v>190</v>
      </c>
      <c r="AA722">
        <v>140</v>
      </c>
      <c r="AB722" t="s">
        <v>398</v>
      </c>
      <c r="AC722" t="s">
        <v>192</v>
      </c>
      <c r="AD722" t="s">
        <v>210</v>
      </c>
      <c r="AE722" t="s">
        <v>183</v>
      </c>
      <c r="AF722">
        <v>0</v>
      </c>
    </row>
    <row r="723" spans="1:32">
      <c r="A723">
        <v>227</v>
      </c>
      <c r="B723">
        <v>868</v>
      </c>
      <c r="C723" t="s">
        <v>1810</v>
      </c>
      <c r="D723" t="s">
        <v>747</v>
      </c>
      <c r="E723" t="s">
        <v>2165</v>
      </c>
      <c r="F723" t="s">
        <v>5</v>
      </c>
      <c r="G723" t="s">
        <v>1025</v>
      </c>
      <c r="H723" t="s">
        <v>260</v>
      </c>
      <c r="I723" t="s">
        <v>217</v>
      </c>
      <c r="J723" t="s">
        <v>216</v>
      </c>
      <c r="K723" t="s">
        <v>1811</v>
      </c>
      <c r="L723" s="84">
        <v>41978</v>
      </c>
      <c r="M723" t="s">
        <v>381</v>
      </c>
      <c r="N723" t="s">
        <v>1812</v>
      </c>
      <c r="O723">
        <v>9</v>
      </c>
      <c r="P723" t="s">
        <v>1813</v>
      </c>
      <c r="Q723" t="s">
        <v>1814</v>
      </c>
      <c r="R723" t="s">
        <v>1815</v>
      </c>
      <c r="S723" t="s">
        <v>1816</v>
      </c>
      <c r="T723" t="s">
        <v>33</v>
      </c>
      <c r="U723" t="s">
        <v>85</v>
      </c>
      <c r="V723">
        <v>40</v>
      </c>
      <c r="W723">
        <v>81</v>
      </c>
      <c r="X723">
        <v>121</v>
      </c>
      <c r="Y723">
        <v>68</v>
      </c>
      <c r="Z723">
        <v>190</v>
      </c>
      <c r="AA723">
        <v>108</v>
      </c>
      <c r="AB723" t="s">
        <v>2514</v>
      </c>
      <c r="AC723" t="s">
        <v>228</v>
      </c>
      <c r="AD723" t="s">
        <v>609</v>
      </c>
      <c r="AE723" t="s">
        <v>183</v>
      </c>
      <c r="AF723">
        <v>0</v>
      </c>
    </row>
    <row r="724" spans="1:32">
      <c r="A724">
        <v>227</v>
      </c>
      <c r="B724">
        <v>868</v>
      </c>
      <c r="C724" t="s">
        <v>1810</v>
      </c>
      <c r="D724" t="s">
        <v>747</v>
      </c>
      <c r="E724" t="s">
        <v>2165</v>
      </c>
      <c r="F724" t="s">
        <v>8</v>
      </c>
      <c r="G724" t="s">
        <v>1024</v>
      </c>
      <c r="H724" t="s">
        <v>239</v>
      </c>
      <c r="I724" t="s">
        <v>216</v>
      </c>
      <c r="J724" t="s">
        <v>236</v>
      </c>
      <c r="K724" t="s">
        <v>1811</v>
      </c>
      <c r="L724" s="84">
        <v>41978</v>
      </c>
      <c r="M724" t="s">
        <v>381</v>
      </c>
      <c r="N724" t="s">
        <v>1812</v>
      </c>
      <c r="O724">
        <v>9</v>
      </c>
      <c r="P724" t="s">
        <v>1813</v>
      </c>
      <c r="Q724" t="s">
        <v>1814</v>
      </c>
      <c r="R724" t="s">
        <v>1815</v>
      </c>
      <c r="S724" t="s">
        <v>1816</v>
      </c>
      <c r="T724" t="s">
        <v>31</v>
      </c>
      <c r="U724" t="s">
        <v>85</v>
      </c>
      <c r="V724">
        <v>40</v>
      </c>
      <c r="W724">
        <v>81</v>
      </c>
      <c r="X724">
        <v>121</v>
      </c>
      <c r="Y724">
        <v>68</v>
      </c>
      <c r="Z724">
        <v>190</v>
      </c>
      <c r="AA724">
        <v>108</v>
      </c>
      <c r="AB724" t="s">
        <v>2514</v>
      </c>
      <c r="AC724" t="s">
        <v>228</v>
      </c>
      <c r="AD724" t="s">
        <v>609</v>
      </c>
      <c r="AE724" t="s">
        <v>183</v>
      </c>
      <c r="AF724">
        <v>0</v>
      </c>
    </row>
    <row r="725" spans="1:32">
      <c r="A725">
        <v>227</v>
      </c>
      <c r="B725">
        <v>868</v>
      </c>
      <c r="C725" t="s">
        <v>1810</v>
      </c>
      <c r="D725" t="s">
        <v>747</v>
      </c>
      <c r="E725" t="s">
        <v>2165</v>
      </c>
      <c r="F725" t="s">
        <v>7</v>
      </c>
      <c r="G725" t="s">
        <v>1018</v>
      </c>
      <c r="H725" t="s">
        <v>215</v>
      </c>
      <c r="I725" t="s">
        <v>387</v>
      </c>
      <c r="J725" t="s">
        <v>260</v>
      </c>
      <c r="K725" t="s">
        <v>1811</v>
      </c>
      <c r="L725" s="84">
        <v>41978</v>
      </c>
      <c r="M725" t="s">
        <v>381</v>
      </c>
      <c r="N725" t="s">
        <v>1812</v>
      </c>
      <c r="O725">
        <v>9</v>
      </c>
      <c r="P725" t="s">
        <v>1813</v>
      </c>
      <c r="Q725" t="s">
        <v>1814</v>
      </c>
      <c r="R725" t="s">
        <v>1815</v>
      </c>
      <c r="S725" t="s">
        <v>1816</v>
      </c>
      <c r="T725" t="s">
        <v>32</v>
      </c>
      <c r="U725" t="s">
        <v>85</v>
      </c>
      <c r="V725">
        <v>40</v>
      </c>
      <c r="W725">
        <v>81</v>
      </c>
      <c r="X725">
        <v>121</v>
      </c>
      <c r="Y725">
        <v>68</v>
      </c>
      <c r="Z725">
        <v>190</v>
      </c>
      <c r="AA725">
        <v>108</v>
      </c>
      <c r="AB725" t="s">
        <v>2514</v>
      </c>
      <c r="AC725" t="s">
        <v>228</v>
      </c>
      <c r="AD725" t="s">
        <v>609</v>
      </c>
      <c r="AE725" t="s">
        <v>183</v>
      </c>
      <c r="AF725">
        <v>0</v>
      </c>
    </row>
    <row r="726" spans="1:32">
      <c r="A726">
        <v>227</v>
      </c>
      <c r="B726">
        <v>868</v>
      </c>
      <c r="C726" t="s">
        <v>1810</v>
      </c>
      <c r="D726" t="s">
        <v>747</v>
      </c>
      <c r="E726" t="s">
        <v>2165</v>
      </c>
      <c r="F726" t="s">
        <v>6</v>
      </c>
      <c r="G726" t="s">
        <v>1026</v>
      </c>
      <c r="H726" t="s">
        <v>274</v>
      </c>
      <c r="I726" t="s">
        <v>218</v>
      </c>
      <c r="J726" t="s">
        <v>274</v>
      </c>
      <c r="K726" t="s">
        <v>1811</v>
      </c>
      <c r="L726" s="84">
        <v>41978</v>
      </c>
      <c r="M726" t="s">
        <v>381</v>
      </c>
      <c r="N726" t="s">
        <v>1812</v>
      </c>
      <c r="O726">
        <v>9</v>
      </c>
      <c r="P726" t="s">
        <v>1813</v>
      </c>
      <c r="Q726" t="s">
        <v>1814</v>
      </c>
      <c r="R726" t="s">
        <v>1815</v>
      </c>
      <c r="S726" t="s">
        <v>1816</v>
      </c>
      <c r="T726" t="s">
        <v>34</v>
      </c>
      <c r="U726" t="s">
        <v>85</v>
      </c>
      <c r="V726">
        <v>40</v>
      </c>
      <c r="W726">
        <v>81</v>
      </c>
      <c r="X726">
        <v>121</v>
      </c>
      <c r="Y726">
        <v>68</v>
      </c>
      <c r="Z726">
        <v>190</v>
      </c>
      <c r="AA726">
        <v>108</v>
      </c>
      <c r="AB726" t="s">
        <v>2514</v>
      </c>
      <c r="AC726" t="s">
        <v>228</v>
      </c>
      <c r="AD726" t="s">
        <v>609</v>
      </c>
      <c r="AE726" t="s">
        <v>183</v>
      </c>
      <c r="AF726">
        <v>0</v>
      </c>
    </row>
    <row r="727" spans="1:32">
      <c r="A727">
        <v>227</v>
      </c>
      <c r="B727">
        <v>868</v>
      </c>
      <c r="C727" t="s">
        <v>1810</v>
      </c>
      <c r="D727" t="s">
        <v>747</v>
      </c>
      <c r="E727" t="s">
        <v>2165</v>
      </c>
      <c r="F727" t="s">
        <v>197</v>
      </c>
      <c r="G727" t="s">
        <v>1404</v>
      </c>
      <c r="H727" t="s">
        <v>212</v>
      </c>
      <c r="I727" t="s">
        <v>192</v>
      </c>
      <c r="J727" t="s">
        <v>192</v>
      </c>
      <c r="K727" t="s">
        <v>1811</v>
      </c>
      <c r="L727" s="84">
        <v>41978</v>
      </c>
      <c r="M727" t="s">
        <v>381</v>
      </c>
      <c r="N727" t="s">
        <v>1812</v>
      </c>
      <c r="O727">
        <v>9</v>
      </c>
      <c r="P727" t="s">
        <v>1813</v>
      </c>
      <c r="Q727" t="s">
        <v>1814</v>
      </c>
      <c r="R727" t="s">
        <v>1815</v>
      </c>
      <c r="S727" t="s">
        <v>1816</v>
      </c>
      <c r="T727" t="s">
        <v>38</v>
      </c>
      <c r="U727" t="s">
        <v>85</v>
      </c>
      <c r="V727">
        <v>40</v>
      </c>
      <c r="W727">
        <v>81</v>
      </c>
      <c r="X727">
        <v>121</v>
      </c>
      <c r="Y727">
        <v>68</v>
      </c>
      <c r="Z727">
        <v>190</v>
      </c>
      <c r="AA727">
        <v>108</v>
      </c>
      <c r="AB727" t="s">
        <v>2514</v>
      </c>
      <c r="AC727" t="s">
        <v>228</v>
      </c>
      <c r="AD727" t="s">
        <v>609</v>
      </c>
      <c r="AE727" t="s">
        <v>183</v>
      </c>
      <c r="AF727">
        <v>0</v>
      </c>
    </row>
    <row r="728" spans="1:32">
      <c r="A728">
        <v>227</v>
      </c>
      <c r="B728">
        <v>868</v>
      </c>
      <c r="C728" t="s">
        <v>1810</v>
      </c>
      <c r="D728" t="s">
        <v>747</v>
      </c>
      <c r="E728" t="s">
        <v>2165</v>
      </c>
      <c r="F728" t="s">
        <v>37</v>
      </c>
      <c r="G728" t="s">
        <v>2874</v>
      </c>
      <c r="H728" t="s">
        <v>212</v>
      </c>
      <c r="I728" t="s">
        <v>212</v>
      </c>
      <c r="J728" t="s">
        <v>212</v>
      </c>
      <c r="K728" t="s">
        <v>1811</v>
      </c>
      <c r="L728" s="84">
        <v>41978</v>
      </c>
      <c r="M728" t="s">
        <v>381</v>
      </c>
      <c r="N728" t="s">
        <v>1812</v>
      </c>
      <c r="O728">
        <v>9</v>
      </c>
      <c r="P728" t="s">
        <v>1813</v>
      </c>
      <c r="Q728" t="s">
        <v>1814</v>
      </c>
      <c r="R728" t="s">
        <v>1815</v>
      </c>
      <c r="S728" t="s">
        <v>1816</v>
      </c>
      <c r="T728" t="s">
        <v>37</v>
      </c>
      <c r="U728" t="s">
        <v>85</v>
      </c>
      <c r="V728">
        <v>40</v>
      </c>
      <c r="W728">
        <v>81</v>
      </c>
      <c r="X728">
        <v>121</v>
      </c>
      <c r="Y728">
        <v>68</v>
      </c>
      <c r="Z728">
        <v>190</v>
      </c>
      <c r="AA728">
        <v>108</v>
      </c>
      <c r="AB728" t="s">
        <v>2514</v>
      </c>
      <c r="AC728" t="s">
        <v>228</v>
      </c>
      <c r="AD728" t="s">
        <v>609</v>
      </c>
      <c r="AE728" t="s">
        <v>183</v>
      </c>
      <c r="AF728">
        <v>0</v>
      </c>
    </row>
    <row r="729" spans="1:32">
      <c r="A729">
        <v>227</v>
      </c>
      <c r="B729">
        <v>868</v>
      </c>
      <c r="C729" t="s">
        <v>1810</v>
      </c>
      <c r="D729" t="s">
        <v>747</v>
      </c>
      <c r="E729" t="s">
        <v>2165</v>
      </c>
      <c r="F729" t="s">
        <v>193</v>
      </c>
      <c r="G729" t="s">
        <v>2138</v>
      </c>
      <c r="H729" t="s">
        <v>212</v>
      </c>
      <c r="I729" t="s">
        <v>212</v>
      </c>
      <c r="J729" t="s">
        <v>192</v>
      </c>
      <c r="K729" t="s">
        <v>1811</v>
      </c>
      <c r="L729" s="84">
        <v>41978</v>
      </c>
      <c r="M729" t="s">
        <v>381</v>
      </c>
      <c r="N729" t="s">
        <v>1812</v>
      </c>
      <c r="O729">
        <v>9</v>
      </c>
      <c r="P729" t="s">
        <v>1813</v>
      </c>
      <c r="Q729" t="s">
        <v>1814</v>
      </c>
      <c r="R729" t="s">
        <v>1815</v>
      </c>
      <c r="S729" t="s">
        <v>1816</v>
      </c>
      <c r="T729" t="s">
        <v>36</v>
      </c>
      <c r="U729" t="s">
        <v>85</v>
      </c>
      <c r="V729">
        <v>40</v>
      </c>
      <c r="W729">
        <v>81</v>
      </c>
      <c r="X729">
        <v>121</v>
      </c>
      <c r="Y729">
        <v>68</v>
      </c>
      <c r="Z729">
        <v>190</v>
      </c>
      <c r="AA729">
        <v>108</v>
      </c>
      <c r="AB729" t="s">
        <v>2514</v>
      </c>
      <c r="AC729" t="s">
        <v>228</v>
      </c>
      <c r="AD729" t="s">
        <v>609</v>
      </c>
      <c r="AE729" t="s">
        <v>183</v>
      </c>
      <c r="AF729">
        <v>0</v>
      </c>
    </row>
    <row r="730" spans="1:32">
      <c r="A730">
        <v>228</v>
      </c>
      <c r="B730">
        <v>1202</v>
      </c>
      <c r="C730" t="s">
        <v>2901</v>
      </c>
      <c r="D730" t="s">
        <v>747</v>
      </c>
      <c r="E730" t="s">
        <v>2165</v>
      </c>
      <c r="F730" t="s">
        <v>193</v>
      </c>
      <c r="G730" t="s">
        <v>2139</v>
      </c>
      <c r="H730" t="s">
        <v>212</v>
      </c>
      <c r="I730" t="s">
        <v>212</v>
      </c>
      <c r="J730" t="s">
        <v>212</v>
      </c>
      <c r="K730" t="s">
        <v>2515</v>
      </c>
      <c r="L730" s="84">
        <v>43498</v>
      </c>
      <c r="M730" t="s">
        <v>381</v>
      </c>
      <c r="N730" t="s">
        <v>2516</v>
      </c>
      <c r="O730">
        <v>1</v>
      </c>
      <c r="P730" t="s">
        <v>2517</v>
      </c>
      <c r="Q730" t="s">
        <v>2518</v>
      </c>
      <c r="R730" t="s">
        <v>2519</v>
      </c>
      <c r="S730" t="s">
        <v>2520</v>
      </c>
      <c r="T730" t="s">
        <v>36</v>
      </c>
      <c r="U730" t="s">
        <v>78</v>
      </c>
      <c r="V730">
        <v>49</v>
      </c>
      <c r="W730">
        <v>81</v>
      </c>
      <c r="X730">
        <v>121</v>
      </c>
      <c r="Y730">
        <v>72</v>
      </c>
      <c r="Z730">
        <v>190</v>
      </c>
      <c r="AA730">
        <v>130</v>
      </c>
      <c r="AB730" t="s">
        <v>520</v>
      </c>
      <c r="AC730" t="s">
        <v>188</v>
      </c>
      <c r="AD730" t="s">
        <v>210</v>
      </c>
      <c r="AE730" t="s">
        <v>183</v>
      </c>
      <c r="AF730">
        <v>4</v>
      </c>
    </row>
    <row r="731" spans="1:32">
      <c r="A731">
        <v>228</v>
      </c>
      <c r="B731">
        <v>1202</v>
      </c>
      <c r="C731" t="s">
        <v>2901</v>
      </c>
      <c r="D731" t="s">
        <v>747</v>
      </c>
      <c r="E731" t="s">
        <v>2165</v>
      </c>
      <c r="F731" t="s">
        <v>37</v>
      </c>
      <c r="G731" t="s">
        <v>2875</v>
      </c>
      <c r="H731" t="s">
        <v>212</v>
      </c>
      <c r="I731" t="s">
        <v>212</v>
      </c>
      <c r="J731" t="s">
        <v>212</v>
      </c>
      <c r="K731" t="s">
        <v>2515</v>
      </c>
      <c r="L731" s="84">
        <v>43498</v>
      </c>
      <c r="M731" t="s">
        <v>381</v>
      </c>
      <c r="N731" t="s">
        <v>2516</v>
      </c>
      <c r="O731">
        <v>1</v>
      </c>
      <c r="P731" t="s">
        <v>2517</v>
      </c>
      <c r="Q731" t="s">
        <v>2518</v>
      </c>
      <c r="R731" t="s">
        <v>2519</v>
      </c>
      <c r="S731" t="s">
        <v>2520</v>
      </c>
      <c r="T731" t="s">
        <v>37</v>
      </c>
      <c r="U731" t="s">
        <v>78</v>
      </c>
      <c r="V731">
        <v>49</v>
      </c>
      <c r="W731">
        <v>81</v>
      </c>
      <c r="X731">
        <v>121</v>
      </c>
      <c r="Y731">
        <v>72</v>
      </c>
      <c r="Z731">
        <v>190</v>
      </c>
      <c r="AA731">
        <v>130</v>
      </c>
      <c r="AB731" t="s">
        <v>520</v>
      </c>
      <c r="AC731" t="s">
        <v>188</v>
      </c>
      <c r="AD731" t="s">
        <v>210</v>
      </c>
      <c r="AE731" t="s">
        <v>183</v>
      </c>
      <c r="AF731">
        <v>4</v>
      </c>
    </row>
    <row r="732" spans="1:32">
      <c r="A732">
        <v>228</v>
      </c>
      <c r="B732">
        <v>1202</v>
      </c>
      <c r="C732" t="s">
        <v>2901</v>
      </c>
      <c r="D732" t="s">
        <v>747</v>
      </c>
      <c r="E732" t="s">
        <v>2165</v>
      </c>
      <c r="F732" t="s">
        <v>197</v>
      </c>
      <c r="G732" t="s">
        <v>1405</v>
      </c>
      <c r="H732" t="s">
        <v>212</v>
      </c>
      <c r="I732" t="s">
        <v>212</v>
      </c>
      <c r="J732" t="s">
        <v>192</v>
      </c>
      <c r="K732" t="s">
        <v>2515</v>
      </c>
      <c r="L732" s="84">
        <v>43498</v>
      </c>
      <c r="M732" t="s">
        <v>381</v>
      </c>
      <c r="N732" t="s">
        <v>2516</v>
      </c>
      <c r="O732">
        <v>1</v>
      </c>
      <c r="P732" t="s">
        <v>2517</v>
      </c>
      <c r="Q732" t="s">
        <v>2518</v>
      </c>
      <c r="R732" t="s">
        <v>2519</v>
      </c>
      <c r="S732" t="s">
        <v>2520</v>
      </c>
      <c r="T732" t="s">
        <v>38</v>
      </c>
      <c r="U732" t="s">
        <v>78</v>
      </c>
      <c r="V732">
        <v>49</v>
      </c>
      <c r="W732">
        <v>81</v>
      </c>
      <c r="X732">
        <v>121</v>
      </c>
      <c r="Y732">
        <v>72</v>
      </c>
      <c r="Z732">
        <v>190</v>
      </c>
      <c r="AA732">
        <v>130</v>
      </c>
      <c r="AB732" t="s">
        <v>520</v>
      </c>
      <c r="AC732" t="s">
        <v>188</v>
      </c>
      <c r="AD732" t="s">
        <v>210</v>
      </c>
      <c r="AE732" t="s">
        <v>183</v>
      </c>
      <c r="AF732">
        <v>4</v>
      </c>
    </row>
    <row r="733" spans="1:32">
      <c r="A733">
        <v>228</v>
      </c>
      <c r="B733">
        <v>1202</v>
      </c>
      <c r="C733" t="s">
        <v>2901</v>
      </c>
      <c r="D733" t="s">
        <v>747</v>
      </c>
      <c r="E733" t="s">
        <v>2165</v>
      </c>
      <c r="F733" t="s">
        <v>6</v>
      </c>
      <c r="G733" t="s">
        <v>1027</v>
      </c>
      <c r="H733" t="s">
        <v>374</v>
      </c>
      <c r="I733" t="s">
        <v>330</v>
      </c>
      <c r="J733" t="s">
        <v>914</v>
      </c>
      <c r="K733" t="s">
        <v>2515</v>
      </c>
      <c r="L733" s="84">
        <v>43498</v>
      </c>
      <c r="M733" t="s">
        <v>381</v>
      </c>
      <c r="N733" t="s">
        <v>2516</v>
      </c>
      <c r="O733">
        <v>1</v>
      </c>
      <c r="P733" t="s">
        <v>2517</v>
      </c>
      <c r="Q733" t="s">
        <v>2518</v>
      </c>
      <c r="R733" t="s">
        <v>2519</v>
      </c>
      <c r="S733" t="s">
        <v>2520</v>
      </c>
      <c r="T733" t="s">
        <v>34</v>
      </c>
      <c r="U733" t="s">
        <v>78</v>
      </c>
      <c r="V733">
        <v>49</v>
      </c>
      <c r="W733">
        <v>81</v>
      </c>
      <c r="X733">
        <v>121</v>
      </c>
      <c r="Y733">
        <v>72</v>
      </c>
      <c r="Z733">
        <v>190</v>
      </c>
      <c r="AA733">
        <v>130</v>
      </c>
      <c r="AB733" t="s">
        <v>520</v>
      </c>
      <c r="AC733" t="s">
        <v>188</v>
      </c>
      <c r="AD733" t="s">
        <v>210</v>
      </c>
      <c r="AE733" t="s">
        <v>183</v>
      </c>
      <c r="AF733">
        <v>4</v>
      </c>
    </row>
    <row r="734" spans="1:32">
      <c r="A734">
        <v>228</v>
      </c>
      <c r="B734">
        <v>1202</v>
      </c>
      <c r="C734" t="s">
        <v>2901</v>
      </c>
      <c r="D734" t="s">
        <v>747</v>
      </c>
      <c r="E734" t="s">
        <v>2165</v>
      </c>
      <c r="F734" t="s">
        <v>7</v>
      </c>
      <c r="G734" t="s">
        <v>1030</v>
      </c>
      <c r="H734" t="s">
        <v>417</v>
      </c>
      <c r="I734" t="s">
        <v>330</v>
      </c>
      <c r="J734" t="s">
        <v>417</v>
      </c>
      <c r="K734" t="s">
        <v>2515</v>
      </c>
      <c r="L734" s="84">
        <v>43498</v>
      </c>
      <c r="M734" t="s">
        <v>381</v>
      </c>
      <c r="N734" t="s">
        <v>2516</v>
      </c>
      <c r="O734">
        <v>1</v>
      </c>
      <c r="P734" t="s">
        <v>2517</v>
      </c>
      <c r="Q734" t="s">
        <v>2518</v>
      </c>
      <c r="R734" t="s">
        <v>2519</v>
      </c>
      <c r="S734" t="s">
        <v>2520</v>
      </c>
      <c r="T734" t="s">
        <v>32</v>
      </c>
      <c r="U734" t="s">
        <v>78</v>
      </c>
      <c r="V734">
        <v>49</v>
      </c>
      <c r="W734">
        <v>81</v>
      </c>
      <c r="X734">
        <v>121</v>
      </c>
      <c r="Y734">
        <v>72</v>
      </c>
      <c r="Z734">
        <v>190</v>
      </c>
      <c r="AA734">
        <v>130</v>
      </c>
      <c r="AB734" t="s">
        <v>520</v>
      </c>
      <c r="AC734" t="s">
        <v>188</v>
      </c>
      <c r="AD734" t="s">
        <v>210</v>
      </c>
      <c r="AE734" t="s">
        <v>183</v>
      </c>
      <c r="AF734">
        <v>4</v>
      </c>
    </row>
    <row r="735" spans="1:32">
      <c r="A735">
        <v>228</v>
      </c>
      <c r="B735">
        <v>1202</v>
      </c>
      <c r="C735" t="s">
        <v>2901</v>
      </c>
      <c r="D735" t="s">
        <v>747</v>
      </c>
      <c r="E735" t="s">
        <v>2165</v>
      </c>
      <c r="F735" t="s">
        <v>8</v>
      </c>
      <c r="G735" t="s">
        <v>1029</v>
      </c>
      <c r="H735" t="s">
        <v>734</v>
      </c>
      <c r="I735" t="s">
        <v>417</v>
      </c>
      <c r="J735" t="s">
        <v>417</v>
      </c>
      <c r="K735" t="s">
        <v>2515</v>
      </c>
      <c r="L735" s="84">
        <v>43498</v>
      </c>
      <c r="M735" t="s">
        <v>381</v>
      </c>
      <c r="N735" t="s">
        <v>2516</v>
      </c>
      <c r="O735">
        <v>1</v>
      </c>
      <c r="P735" t="s">
        <v>2517</v>
      </c>
      <c r="Q735" t="s">
        <v>2518</v>
      </c>
      <c r="R735" t="s">
        <v>2519</v>
      </c>
      <c r="S735" t="s">
        <v>2520</v>
      </c>
      <c r="T735" t="s">
        <v>31</v>
      </c>
      <c r="U735" t="s">
        <v>78</v>
      </c>
      <c r="V735">
        <v>49</v>
      </c>
      <c r="W735">
        <v>81</v>
      </c>
      <c r="X735">
        <v>121</v>
      </c>
      <c r="Y735">
        <v>72</v>
      </c>
      <c r="Z735">
        <v>190</v>
      </c>
      <c r="AA735">
        <v>130</v>
      </c>
      <c r="AB735" t="s">
        <v>520</v>
      </c>
      <c r="AC735" t="s">
        <v>188</v>
      </c>
      <c r="AD735" t="s">
        <v>210</v>
      </c>
      <c r="AE735" t="s">
        <v>183</v>
      </c>
      <c r="AF735">
        <v>4</v>
      </c>
    </row>
    <row r="736" spans="1:32">
      <c r="A736">
        <v>228</v>
      </c>
      <c r="B736">
        <v>1202</v>
      </c>
      <c r="C736" t="s">
        <v>2901</v>
      </c>
      <c r="D736" t="s">
        <v>747</v>
      </c>
      <c r="E736" t="s">
        <v>2165</v>
      </c>
      <c r="F736" t="s">
        <v>5</v>
      </c>
      <c r="G736" t="s">
        <v>1028</v>
      </c>
      <c r="H736" t="s">
        <v>462</v>
      </c>
      <c r="I736" t="s">
        <v>172</v>
      </c>
      <c r="J736" t="s">
        <v>417</v>
      </c>
      <c r="K736" t="s">
        <v>2515</v>
      </c>
      <c r="L736" s="84">
        <v>43498</v>
      </c>
      <c r="M736" t="s">
        <v>381</v>
      </c>
      <c r="N736" t="s">
        <v>2516</v>
      </c>
      <c r="O736">
        <v>1</v>
      </c>
      <c r="P736" t="s">
        <v>2517</v>
      </c>
      <c r="Q736" t="s">
        <v>2518</v>
      </c>
      <c r="R736" t="s">
        <v>2519</v>
      </c>
      <c r="S736" t="s">
        <v>2520</v>
      </c>
      <c r="T736" t="s">
        <v>33</v>
      </c>
      <c r="U736" t="s">
        <v>78</v>
      </c>
      <c r="V736">
        <v>49</v>
      </c>
      <c r="W736">
        <v>81</v>
      </c>
      <c r="X736">
        <v>121</v>
      </c>
      <c r="Y736">
        <v>72</v>
      </c>
      <c r="Z736">
        <v>190</v>
      </c>
      <c r="AA736">
        <v>130</v>
      </c>
      <c r="AB736" t="s">
        <v>520</v>
      </c>
      <c r="AC736" t="s">
        <v>188</v>
      </c>
      <c r="AD736" t="s">
        <v>210</v>
      </c>
      <c r="AE736" t="s">
        <v>183</v>
      </c>
      <c r="AF736">
        <v>4</v>
      </c>
    </row>
    <row r="737" spans="1:32">
      <c r="A737">
        <v>229</v>
      </c>
      <c r="B737">
        <v>925</v>
      </c>
      <c r="C737" t="s">
        <v>1817</v>
      </c>
      <c r="D737" t="s">
        <v>747</v>
      </c>
      <c r="E737" t="s">
        <v>2165</v>
      </c>
      <c r="F737" t="s">
        <v>5</v>
      </c>
      <c r="G737" t="s">
        <v>1040</v>
      </c>
      <c r="H737" t="s">
        <v>497</v>
      </c>
      <c r="I737" t="s">
        <v>259</v>
      </c>
      <c r="J737" t="s">
        <v>305</v>
      </c>
      <c r="K737" t="s">
        <v>1818</v>
      </c>
      <c r="L737" s="84">
        <v>42972</v>
      </c>
      <c r="M737" t="s">
        <v>381</v>
      </c>
      <c r="N737" t="s">
        <v>365</v>
      </c>
      <c r="O737">
        <v>3</v>
      </c>
      <c r="P737" t="s">
        <v>1156</v>
      </c>
      <c r="Q737" t="s">
        <v>1157</v>
      </c>
      <c r="R737" t="s">
        <v>1819</v>
      </c>
      <c r="S737" t="s">
        <v>1820</v>
      </c>
      <c r="T737" t="s">
        <v>33</v>
      </c>
      <c r="U737" t="s">
        <v>80</v>
      </c>
      <c r="V737">
        <v>72</v>
      </c>
      <c r="W737">
        <v>81</v>
      </c>
      <c r="X737">
        <v>121</v>
      </c>
      <c r="Y737">
        <v>107</v>
      </c>
      <c r="Z737">
        <v>190</v>
      </c>
      <c r="AA737">
        <v>176</v>
      </c>
      <c r="AB737" t="s">
        <v>520</v>
      </c>
      <c r="AC737" t="s">
        <v>192</v>
      </c>
      <c r="AD737" t="s">
        <v>210</v>
      </c>
      <c r="AE737" t="s">
        <v>183</v>
      </c>
      <c r="AF737">
        <v>0</v>
      </c>
    </row>
    <row r="738" spans="1:32">
      <c r="A738">
        <v>229</v>
      </c>
      <c r="B738">
        <v>925</v>
      </c>
      <c r="C738" t="s">
        <v>1817</v>
      </c>
      <c r="D738" t="s">
        <v>747</v>
      </c>
      <c r="E738" t="s">
        <v>2165</v>
      </c>
      <c r="F738" t="s">
        <v>8</v>
      </c>
      <c r="G738" t="s">
        <v>1039</v>
      </c>
      <c r="H738" t="s">
        <v>497</v>
      </c>
      <c r="I738" t="s">
        <v>257</v>
      </c>
      <c r="J738" t="s">
        <v>257</v>
      </c>
      <c r="K738" t="s">
        <v>1818</v>
      </c>
      <c r="L738" s="84">
        <v>42972</v>
      </c>
      <c r="M738" t="s">
        <v>381</v>
      </c>
      <c r="N738" t="s">
        <v>365</v>
      </c>
      <c r="O738">
        <v>3</v>
      </c>
      <c r="P738" t="s">
        <v>1156</v>
      </c>
      <c r="Q738" t="s">
        <v>1157</v>
      </c>
      <c r="R738" t="s">
        <v>1819</v>
      </c>
      <c r="S738" t="s">
        <v>1820</v>
      </c>
      <c r="T738" t="s">
        <v>31</v>
      </c>
      <c r="U738" t="s">
        <v>80</v>
      </c>
      <c r="V738">
        <v>72</v>
      </c>
      <c r="W738">
        <v>81</v>
      </c>
      <c r="X738">
        <v>121</v>
      </c>
      <c r="Y738">
        <v>107</v>
      </c>
      <c r="Z738">
        <v>190</v>
      </c>
      <c r="AA738">
        <v>176</v>
      </c>
      <c r="AB738" t="s">
        <v>520</v>
      </c>
      <c r="AC738" t="s">
        <v>192</v>
      </c>
      <c r="AD738" t="s">
        <v>210</v>
      </c>
      <c r="AE738" t="s">
        <v>183</v>
      </c>
      <c r="AF738">
        <v>0</v>
      </c>
    </row>
    <row r="739" spans="1:32">
      <c r="A739">
        <v>229</v>
      </c>
      <c r="B739">
        <v>925</v>
      </c>
      <c r="C739" t="s">
        <v>1817</v>
      </c>
      <c r="D739" t="s">
        <v>747</v>
      </c>
      <c r="E739" t="s">
        <v>2165</v>
      </c>
      <c r="F739" t="s">
        <v>7</v>
      </c>
      <c r="G739" t="s">
        <v>1032</v>
      </c>
      <c r="H739" t="s">
        <v>297</v>
      </c>
      <c r="I739" t="s">
        <v>262</v>
      </c>
      <c r="J739" t="s">
        <v>305</v>
      </c>
      <c r="K739" t="s">
        <v>1818</v>
      </c>
      <c r="L739" s="84">
        <v>42972</v>
      </c>
      <c r="M739" t="s">
        <v>381</v>
      </c>
      <c r="N739" t="s">
        <v>365</v>
      </c>
      <c r="O739">
        <v>3</v>
      </c>
      <c r="P739" t="s">
        <v>1156</v>
      </c>
      <c r="Q739" t="s">
        <v>1157</v>
      </c>
      <c r="R739" t="s">
        <v>1819</v>
      </c>
      <c r="S739" t="s">
        <v>1820</v>
      </c>
      <c r="T739" t="s">
        <v>32</v>
      </c>
      <c r="U739" t="s">
        <v>80</v>
      </c>
      <c r="V739">
        <v>72</v>
      </c>
      <c r="W739">
        <v>81</v>
      </c>
      <c r="X739">
        <v>121</v>
      </c>
      <c r="Y739">
        <v>107</v>
      </c>
      <c r="Z739">
        <v>190</v>
      </c>
      <c r="AA739">
        <v>176</v>
      </c>
      <c r="AB739" t="s">
        <v>520</v>
      </c>
      <c r="AC739" t="s">
        <v>192</v>
      </c>
      <c r="AD739" t="s">
        <v>210</v>
      </c>
      <c r="AE739" t="s">
        <v>183</v>
      </c>
      <c r="AF739">
        <v>0</v>
      </c>
    </row>
    <row r="740" spans="1:32">
      <c r="A740">
        <v>229</v>
      </c>
      <c r="B740">
        <v>925</v>
      </c>
      <c r="C740" t="s">
        <v>1817</v>
      </c>
      <c r="D740" t="s">
        <v>747</v>
      </c>
      <c r="E740" t="s">
        <v>2165</v>
      </c>
      <c r="F740" t="s">
        <v>6</v>
      </c>
      <c r="G740" t="s">
        <v>1041</v>
      </c>
      <c r="H740" t="s">
        <v>239</v>
      </c>
      <c r="I740" t="s">
        <v>217</v>
      </c>
      <c r="J740" t="s">
        <v>262</v>
      </c>
      <c r="K740" t="s">
        <v>1818</v>
      </c>
      <c r="L740" s="84">
        <v>42972</v>
      </c>
      <c r="M740" t="s">
        <v>381</v>
      </c>
      <c r="N740" t="s">
        <v>365</v>
      </c>
      <c r="O740">
        <v>3</v>
      </c>
      <c r="P740" t="s">
        <v>1156</v>
      </c>
      <c r="Q740" t="s">
        <v>1157</v>
      </c>
      <c r="R740" t="s">
        <v>1819</v>
      </c>
      <c r="S740" t="s">
        <v>1820</v>
      </c>
      <c r="T740" t="s">
        <v>34</v>
      </c>
      <c r="U740" t="s">
        <v>80</v>
      </c>
      <c r="V740">
        <v>72</v>
      </c>
      <c r="W740">
        <v>81</v>
      </c>
      <c r="X740">
        <v>121</v>
      </c>
      <c r="Y740">
        <v>107</v>
      </c>
      <c r="Z740">
        <v>190</v>
      </c>
      <c r="AA740">
        <v>176</v>
      </c>
      <c r="AB740" t="s">
        <v>520</v>
      </c>
      <c r="AC740" t="s">
        <v>192</v>
      </c>
      <c r="AD740" t="s">
        <v>210</v>
      </c>
      <c r="AE740" t="s">
        <v>183</v>
      </c>
      <c r="AF740">
        <v>0</v>
      </c>
    </row>
    <row r="741" spans="1:32">
      <c r="A741">
        <v>229</v>
      </c>
      <c r="B741">
        <v>925</v>
      </c>
      <c r="C741" t="s">
        <v>1817</v>
      </c>
      <c r="D741" t="s">
        <v>747</v>
      </c>
      <c r="E741" t="s">
        <v>2165</v>
      </c>
      <c r="F741" t="s">
        <v>197</v>
      </c>
      <c r="G741" t="s">
        <v>1406</v>
      </c>
      <c r="H741" t="s">
        <v>212</v>
      </c>
      <c r="I741" t="s">
        <v>192</v>
      </c>
      <c r="J741" t="s">
        <v>212</v>
      </c>
      <c r="K741" t="s">
        <v>1818</v>
      </c>
      <c r="L741" s="84">
        <v>42972</v>
      </c>
      <c r="M741" t="s">
        <v>381</v>
      </c>
      <c r="N741" t="s">
        <v>365</v>
      </c>
      <c r="O741">
        <v>3</v>
      </c>
      <c r="P741" t="s">
        <v>1156</v>
      </c>
      <c r="Q741" t="s">
        <v>1157</v>
      </c>
      <c r="R741" t="s">
        <v>1819</v>
      </c>
      <c r="S741" t="s">
        <v>1820</v>
      </c>
      <c r="T741" t="s">
        <v>38</v>
      </c>
      <c r="U741" t="s">
        <v>80</v>
      </c>
      <c r="V741">
        <v>72</v>
      </c>
      <c r="W741">
        <v>81</v>
      </c>
      <c r="X741">
        <v>121</v>
      </c>
      <c r="Y741">
        <v>107</v>
      </c>
      <c r="Z741">
        <v>190</v>
      </c>
      <c r="AA741">
        <v>176</v>
      </c>
      <c r="AB741" t="s">
        <v>520</v>
      </c>
      <c r="AC741" t="s">
        <v>192</v>
      </c>
      <c r="AD741" t="s">
        <v>210</v>
      </c>
      <c r="AE741" t="s">
        <v>183</v>
      </c>
      <c r="AF741">
        <v>0</v>
      </c>
    </row>
    <row r="742" spans="1:32">
      <c r="A742">
        <v>229</v>
      </c>
      <c r="B742">
        <v>925</v>
      </c>
      <c r="C742" t="s">
        <v>1817</v>
      </c>
      <c r="D742" t="s">
        <v>747</v>
      </c>
      <c r="E742" t="s">
        <v>2165</v>
      </c>
      <c r="F742" t="s">
        <v>37</v>
      </c>
      <c r="G742" t="s">
        <v>2876</v>
      </c>
      <c r="H742" t="s">
        <v>212</v>
      </c>
      <c r="I742" t="s">
        <v>212</v>
      </c>
      <c r="J742" t="s">
        <v>212</v>
      </c>
      <c r="K742" t="s">
        <v>1818</v>
      </c>
      <c r="L742" s="84">
        <v>42972</v>
      </c>
      <c r="M742" t="s">
        <v>381</v>
      </c>
      <c r="N742" t="s">
        <v>365</v>
      </c>
      <c r="O742">
        <v>3</v>
      </c>
      <c r="P742" t="s">
        <v>1156</v>
      </c>
      <c r="Q742" t="s">
        <v>1157</v>
      </c>
      <c r="R742" t="s">
        <v>1819</v>
      </c>
      <c r="S742" t="s">
        <v>1820</v>
      </c>
      <c r="T742" t="s">
        <v>37</v>
      </c>
      <c r="U742" t="s">
        <v>80</v>
      </c>
      <c r="V742">
        <v>72</v>
      </c>
      <c r="W742">
        <v>81</v>
      </c>
      <c r="X742">
        <v>121</v>
      </c>
      <c r="Y742">
        <v>107</v>
      </c>
      <c r="Z742">
        <v>190</v>
      </c>
      <c r="AA742">
        <v>176</v>
      </c>
      <c r="AB742" t="s">
        <v>520</v>
      </c>
      <c r="AC742" t="s">
        <v>192</v>
      </c>
      <c r="AD742" t="s">
        <v>210</v>
      </c>
      <c r="AE742" t="s">
        <v>183</v>
      </c>
      <c r="AF742">
        <v>0</v>
      </c>
    </row>
    <row r="743" spans="1:32">
      <c r="A743">
        <v>229</v>
      </c>
      <c r="B743">
        <v>925</v>
      </c>
      <c r="C743" t="s">
        <v>1817</v>
      </c>
      <c r="D743" t="s">
        <v>747</v>
      </c>
      <c r="E743" t="s">
        <v>2165</v>
      </c>
      <c r="F743" t="s">
        <v>193</v>
      </c>
      <c r="G743" t="s">
        <v>2140</v>
      </c>
      <c r="H743" t="s">
        <v>212</v>
      </c>
      <c r="I743" t="s">
        <v>212</v>
      </c>
      <c r="J743" t="s">
        <v>212</v>
      </c>
      <c r="K743" t="s">
        <v>1818</v>
      </c>
      <c r="L743" s="84">
        <v>42972</v>
      </c>
      <c r="M743" t="s">
        <v>381</v>
      </c>
      <c r="N743" t="s">
        <v>365</v>
      </c>
      <c r="O743">
        <v>3</v>
      </c>
      <c r="P743" t="s">
        <v>1156</v>
      </c>
      <c r="Q743" t="s">
        <v>1157</v>
      </c>
      <c r="R743" t="s">
        <v>1819</v>
      </c>
      <c r="S743" t="s">
        <v>1820</v>
      </c>
      <c r="T743" t="s">
        <v>36</v>
      </c>
      <c r="U743" t="s">
        <v>80</v>
      </c>
      <c r="V743">
        <v>72</v>
      </c>
      <c r="W743">
        <v>81</v>
      </c>
      <c r="X743">
        <v>121</v>
      </c>
      <c r="Y743">
        <v>107</v>
      </c>
      <c r="Z743">
        <v>190</v>
      </c>
      <c r="AA743">
        <v>176</v>
      </c>
      <c r="AB743" t="s">
        <v>520</v>
      </c>
      <c r="AC743" t="s">
        <v>192</v>
      </c>
      <c r="AD743" t="s">
        <v>210</v>
      </c>
      <c r="AE743" t="s">
        <v>183</v>
      </c>
      <c r="AF743">
        <v>0</v>
      </c>
    </row>
    <row r="744" spans="1:32">
      <c r="A744">
        <v>230</v>
      </c>
      <c r="B744">
        <v>1127</v>
      </c>
      <c r="C744" t="s">
        <v>2521</v>
      </c>
      <c r="D744" t="s">
        <v>747</v>
      </c>
      <c r="E744" t="s">
        <v>2165</v>
      </c>
      <c r="F744" t="s">
        <v>193</v>
      </c>
      <c r="G744" t="s">
        <v>2141</v>
      </c>
      <c r="H744" t="s">
        <v>212</v>
      </c>
      <c r="I744" t="s">
        <v>212</v>
      </c>
      <c r="J744" t="s">
        <v>192</v>
      </c>
      <c r="K744" t="s">
        <v>2522</v>
      </c>
      <c r="L744" s="84">
        <v>42922</v>
      </c>
      <c r="M744" t="s">
        <v>381</v>
      </c>
      <c r="N744" t="s">
        <v>2308</v>
      </c>
      <c r="O744">
        <v>2</v>
      </c>
      <c r="P744" t="s">
        <v>431</v>
      </c>
      <c r="Q744" t="s">
        <v>2523</v>
      </c>
      <c r="R744" t="s">
        <v>2524</v>
      </c>
      <c r="S744" t="s">
        <v>2525</v>
      </c>
      <c r="T744" t="s">
        <v>36</v>
      </c>
      <c r="U744" t="s">
        <v>79</v>
      </c>
      <c r="V744">
        <v>56</v>
      </c>
      <c r="W744">
        <v>81</v>
      </c>
      <c r="X744">
        <v>121</v>
      </c>
      <c r="Y744">
        <v>89</v>
      </c>
      <c r="Z744">
        <v>190</v>
      </c>
      <c r="AA744">
        <v>148</v>
      </c>
      <c r="AB744" t="s">
        <v>343</v>
      </c>
      <c r="AC744" t="s">
        <v>212</v>
      </c>
      <c r="AD744" t="s">
        <v>210</v>
      </c>
      <c r="AE744" t="s">
        <v>183</v>
      </c>
      <c r="AF744">
        <v>1</v>
      </c>
    </row>
    <row r="745" spans="1:32">
      <c r="A745">
        <v>230</v>
      </c>
      <c r="B745">
        <v>1127</v>
      </c>
      <c r="C745" t="s">
        <v>2521</v>
      </c>
      <c r="D745" t="s">
        <v>747</v>
      </c>
      <c r="E745" t="s">
        <v>2165</v>
      </c>
      <c r="F745" t="s">
        <v>37</v>
      </c>
      <c r="G745" t="s">
        <v>2877</v>
      </c>
      <c r="H745" t="s">
        <v>212</v>
      </c>
      <c r="I745" t="s">
        <v>212</v>
      </c>
      <c r="J745" t="s">
        <v>212</v>
      </c>
      <c r="K745" t="s">
        <v>2522</v>
      </c>
      <c r="L745" s="84">
        <v>42922</v>
      </c>
      <c r="M745" t="s">
        <v>381</v>
      </c>
      <c r="N745" t="s">
        <v>2308</v>
      </c>
      <c r="O745">
        <v>2</v>
      </c>
      <c r="P745" t="s">
        <v>431</v>
      </c>
      <c r="Q745" t="s">
        <v>2523</v>
      </c>
      <c r="R745" t="s">
        <v>2524</v>
      </c>
      <c r="S745" t="s">
        <v>2525</v>
      </c>
      <c r="T745" t="s">
        <v>37</v>
      </c>
      <c r="U745" t="s">
        <v>79</v>
      </c>
      <c r="V745">
        <v>56</v>
      </c>
      <c r="W745">
        <v>81</v>
      </c>
      <c r="X745">
        <v>121</v>
      </c>
      <c r="Y745">
        <v>89</v>
      </c>
      <c r="Z745">
        <v>190</v>
      </c>
      <c r="AA745">
        <v>148</v>
      </c>
      <c r="AB745" t="s">
        <v>343</v>
      </c>
      <c r="AC745" t="s">
        <v>212</v>
      </c>
      <c r="AD745" t="s">
        <v>210</v>
      </c>
      <c r="AE745" t="s">
        <v>183</v>
      </c>
      <c r="AF745">
        <v>1</v>
      </c>
    </row>
    <row r="746" spans="1:32">
      <c r="A746">
        <v>230</v>
      </c>
      <c r="B746">
        <v>1127</v>
      </c>
      <c r="C746" t="s">
        <v>2521</v>
      </c>
      <c r="D746" t="s">
        <v>747</v>
      </c>
      <c r="E746" t="s">
        <v>2165</v>
      </c>
      <c r="F746" t="s">
        <v>197</v>
      </c>
      <c r="G746" t="s">
        <v>1407</v>
      </c>
      <c r="H746" t="s">
        <v>212</v>
      </c>
      <c r="I746" t="s">
        <v>212</v>
      </c>
      <c r="J746" t="s">
        <v>212</v>
      </c>
      <c r="K746" t="s">
        <v>2522</v>
      </c>
      <c r="L746" s="84">
        <v>42922</v>
      </c>
      <c r="M746" t="s">
        <v>381</v>
      </c>
      <c r="N746" t="s">
        <v>2308</v>
      </c>
      <c r="O746">
        <v>2</v>
      </c>
      <c r="P746" t="s">
        <v>431</v>
      </c>
      <c r="Q746" t="s">
        <v>2523</v>
      </c>
      <c r="R746" t="s">
        <v>2524</v>
      </c>
      <c r="S746" t="s">
        <v>2525</v>
      </c>
      <c r="T746" t="s">
        <v>38</v>
      </c>
      <c r="U746" t="s">
        <v>79</v>
      </c>
      <c r="V746">
        <v>56</v>
      </c>
      <c r="W746">
        <v>81</v>
      </c>
      <c r="X746">
        <v>121</v>
      </c>
      <c r="Y746">
        <v>89</v>
      </c>
      <c r="Z746">
        <v>190</v>
      </c>
      <c r="AA746">
        <v>148</v>
      </c>
      <c r="AB746" t="s">
        <v>343</v>
      </c>
      <c r="AC746" t="s">
        <v>212</v>
      </c>
      <c r="AD746" t="s">
        <v>210</v>
      </c>
      <c r="AE746" t="s">
        <v>183</v>
      </c>
      <c r="AF746">
        <v>1</v>
      </c>
    </row>
    <row r="747" spans="1:32">
      <c r="A747">
        <v>230</v>
      </c>
      <c r="B747">
        <v>1127</v>
      </c>
      <c r="C747" t="s">
        <v>2521</v>
      </c>
      <c r="D747" t="s">
        <v>747</v>
      </c>
      <c r="E747" t="s">
        <v>2165</v>
      </c>
      <c r="F747" t="s">
        <v>6</v>
      </c>
      <c r="G747" t="s">
        <v>1050</v>
      </c>
      <c r="H747" t="s">
        <v>192</v>
      </c>
      <c r="I747" t="s">
        <v>171</v>
      </c>
      <c r="J747" t="s">
        <v>226</v>
      </c>
      <c r="K747" t="s">
        <v>2522</v>
      </c>
      <c r="L747" s="84">
        <v>42922</v>
      </c>
      <c r="M747" t="s">
        <v>381</v>
      </c>
      <c r="N747" t="s">
        <v>2308</v>
      </c>
      <c r="O747">
        <v>2</v>
      </c>
      <c r="P747" t="s">
        <v>431</v>
      </c>
      <c r="Q747" t="s">
        <v>2523</v>
      </c>
      <c r="R747" t="s">
        <v>2524</v>
      </c>
      <c r="S747" t="s">
        <v>2525</v>
      </c>
      <c r="T747" t="s">
        <v>34</v>
      </c>
      <c r="U747" t="s">
        <v>79</v>
      </c>
      <c r="V747">
        <v>56</v>
      </c>
      <c r="W747">
        <v>81</v>
      </c>
      <c r="X747">
        <v>121</v>
      </c>
      <c r="Y747">
        <v>89</v>
      </c>
      <c r="Z747">
        <v>190</v>
      </c>
      <c r="AA747">
        <v>148</v>
      </c>
      <c r="AB747" t="s">
        <v>343</v>
      </c>
      <c r="AC747" t="s">
        <v>212</v>
      </c>
      <c r="AD747" t="s">
        <v>210</v>
      </c>
      <c r="AE747" t="s">
        <v>183</v>
      </c>
      <c r="AF747">
        <v>1</v>
      </c>
    </row>
    <row r="748" spans="1:32">
      <c r="A748">
        <v>230</v>
      </c>
      <c r="B748">
        <v>1127</v>
      </c>
      <c r="C748" t="s">
        <v>2521</v>
      </c>
      <c r="D748" t="s">
        <v>747</v>
      </c>
      <c r="E748" t="s">
        <v>2165</v>
      </c>
      <c r="F748" t="s">
        <v>7</v>
      </c>
      <c r="G748" t="s">
        <v>1053</v>
      </c>
      <c r="H748" t="s">
        <v>2045</v>
      </c>
      <c r="I748" t="s">
        <v>173</v>
      </c>
      <c r="J748" t="s">
        <v>243</v>
      </c>
      <c r="K748" t="s">
        <v>2522</v>
      </c>
      <c r="L748" s="84">
        <v>42922</v>
      </c>
      <c r="M748" t="s">
        <v>381</v>
      </c>
      <c r="N748" t="s">
        <v>2308</v>
      </c>
      <c r="O748">
        <v>2</v>
      </c>
      <c r="P748" t="s">
        <v>431</v>
      </c>
      <c r="Q748" t="s">
        <v>2523</v>
      </c>
      <c r="R748" t="s">
        <v>2524</v>
      </c>
      <c r="S748" t="s">
        <v>2525</v>
      </c>
      <c r="T748" t="s">
        <v>32</v>
      </c>
      <c r="U748" t="s">
        <v>79</v>
      </c>
      <c r="V748">
        <v>56</v>
      </c>
      <c r="W748">
        <v>81</v>
      </c>
      <c r="X748">
        <v>121</v>
      </c>
      <c r="Y748">
        <v>89</v>
      </c>
      <c r="Z748">
        <v>190</v>
      </c>
      <c r="AA748">
        <v>148</v>
      </c>
      <c r="AB748" t="s">
        <v>343</v>
      </c>
      <c r="AC748" t="s">
        <v>212</v>
      </c>
      <c r="AD748" t="s">
        <v>210</v>
      </c>
      <c r="AE748" t="s">
        <v>2046</v>
      </c>
      <c r="AF748">
        <v>1</v>
      </c>
    </row>
    <row r="749" spans="1:32">
      <c r="A749">
        <v>230</v>
      </c>
      <c r="B749">
        <v>1127</v>
      </c>
      <c r="C749" t="s">
        <v>2521</v>
      </c>
      <c r="D749" t="s">
        <v>747</v>
      </c>
      <c r="E749" t="s">
        <v>2165</v>
      </c>
      <c r="F749" t="s">
        <v>8</v>
      </c>
      <c r="G749" t="s">
        <v>1052</v>
      </c>
      <c r="H749" t="s">
        <v>185</v>
      </c>
      <c r="I749" t="s">
        <v>171</v>
      </c>
      <c r="J749" t="s">
        <v>237</v>
      </c>
      <c r="K749" t="s">
        <v>2522</v>
      </c>
      <c r="L749" s="84">
        <v>42922</v>
      </c>
      <c r="M749" t="s">
        <v>381</v>
      </c>
      <c r="N749" t="s">
        <v>2308</v>
      </c>
      <c r="O749">
        <v>2</v>
      </c>
      <c r="P749" t="s">
        <v>431</v>
      </c>
      <c r="Q749" t="s">
        <v>2523</v>
      </c>
      <c r="R749" t="s">
        <v>2524</v>
      </c>
      <c r="S749" t="s">
        <v>2525</v>
      </c>
      <c r="T749" t="s">
        <v>31</v>
      </c>
      <c r="U749" t="s">
        <v>79</v>
      </c>
      <c r="V749">
        <v>56</v>
      </c>
      <c r="W749">
        <v>81</v>
      </c>
      <c r="X749">
        <v>121</v>
      </c>
      <c r="Y749">
        <v>89</v>
      </c>
      <c r="Z749">
        <v>190</v>
      </c>
      <c r="AA749">
        <v>148</v>
      </c>
      <c r="AB749" t="s">
        <v>343</v>
      </c>
      <c r="AC749" t="s">
        <v>212</v>
      </c>
      <c r="AD749" t="s">
        <v>210</v>
      </c>
      <c r="AE749" t="s">
        <v>183</v>
      </c>
      <c r="AF749">
        <v>1</v>
      </c>
    </row>
    <row r="750" spans="1:32">
      <c r="A750">
        <v>230</v>
      </c>
      <c r="B750">
        <v>1127</v>
      </c>
      <c r="C750" t="s">
        <v>2521</v>
      </c>
      <c r="D750" t="s">
        <v>747</v>
      </c>
      <c r="E750" t="s">
        <v>2165</v>
      </c>
      <c r="F750" t="s">
        <v>5</v>
      </c>
      <c r="G750" t="s">
        <v>1051</v>
      </c>
      <c r="H750" t="s">
        <v>236</v>
      </c>
      <c r="I750" t="s">
        <v>221</v>
      </c>
      <c r="J750" t="s">
        <v>216</v>
      </c>
      <c r="K750" t="s">
        <v>2522</v>
      </c>
      <c r="L750" s="84">
        <v>42922</v>
      </c>
      <c r="M750" t="s">
        <v>381</v>
      </c>
      <c r="N750" t="s">
        <v>2308</v>
      </c>
      <c r="O750">
        <v>2</v>
      </c>
      <c r="P750" t="s">
        <v>431</v>
      </c>
      <c r="Q750" t="s">
        <v>2523</v>
      </c>
      <c r="R750" t="s">
        <v>2524</v>
      </c>
      <c r="S750" t="s">
        <v>2525</v>
      </c>
      <c r="T750" t="s">
        <v>33</v>
      </c>
      <c r="U750" t="s">
        <v>79</v>
      </c>
      <c r="V750">
        <v>56</v>
      </c>
      <c r="W750">
        <v>81</v>
      </c>
      <c r="X750">
        <v>121</v>
      </c>
      <c r="Y750">
        <v>89</v>
      </c>
      <c r="Z750">
        <v>190</v>
      </c>
      <c r="AA750">
        <v>148</v>
      </c>
      <c r="AB750" t="s">
        <v>343</v>
      </c>
      <c r="AC750" t="s">
        <v>212</v>
      </c>
      <c r="AD750" t="s">
        <v>210</v>
      </c>
      <c r="AE750" t="s">
        <v>183</v>
      </c>
      <c r="AF750">
        <v>1</v>
      </c>
    </row>
    <row r="751" spans="1:32">
      <c r="A751">
        <v>231</v>
      </c>
      <c r="B751">
        <v>1143</v>
      </c>
      <c r="C751" t="s">
        <v>2526</v>
      </c>
      <c r="D751" t="s">
        <v>747</v>
      </c>
      <c r="E751" t="s">
        <v>2165</v>
      </c>
      <c r="F751" t="s">
        <v>5</v>
      </c>
      <c r="G751" t="s">
        <v>1057</v>
      </c>
      <c r="H751" t="s">
        <v>216</v>
      </c>
      <c r="I751" t="s">
        <v>236</v>
      </c>
      <c r="J751" t="s">
        <v>189</v>
      </c>
      <c r="K751" t="s">
        <v>2527</v>
      </c>
      <c r="L751" s="84">
        <v>43001</v>
      </c>
      <c r="M751" t="s">
        <v>381</v>
      </c>
      <c r="N751" t="s">
        <v>365</v>
      </c>
      <c r="O751">
        <v>3</v>
      </c>
      <c r="P751" t="s">
        <v>2528</v>
      </c>
      <c r="Q751" t="s">
        <v>2529</v>
      </c>
      <c r="R751" t="s">
        <v>2530</v>
      </c>
      <c r="S751" t="s">
        <v>2531</v>
      </c>
      <c r="T751" t="s">
        <v>33</v>
      </c>
      <c r="U751" t="s">
        <v>80</v>
      </c>
      <c r="V751">
        <v>53</v>
      </c>
      <c r="W751">
        <v>81</v>
      </c>
      <c r="X751">
        <v>121</v>
      </c>
      <c r="Y751">
        <v>86</v>
      </c>
      <c r="Z751">
        <v>190</v>
      </c>
      <c r="AA751">
        <v>135</v>
      </c>
      <c r="AB751" t="s">
        <v>520</v>
      </c>
      <c r="AC751" t="s">
        <v>188</v>
      </c>
      <c r="AD751" t="s">
        <v>210</v>
      </c>
      <c r="AE751" t="s">
        <v>183</v>
      </c>
      <c r="AF751">
        <v>1</v>
      </c>
    </row>
    <row r="752" spans="1:32">
      <c r="A752">
        <v>231</v>
      </c>
      <c r="B752">
        <v>1143</v>
      </c>
      <c r="C752" t="s">
        <v>2526</v>
      </c>
      <c r="D752" t="s">
        <v>747</v>
      </c>
      <c r="E752" t="s">
        <v>2165</v>
      </c>
      <c r="F752" t="s">
        <v>8</v>
      </c>
      <c r="G752" t="s">
        <v>1056</v>
      </c>
      <c r="H752" t="s">
        <v>223</v>
      </c>
      <c r="I752" t="s">
        <v>228</v>
      </c>
      <c r="J752" t="s">
        <v>187</v>
      </c>
      <c r="K752" t="s">
        <v>2527</v>
      </c>
      <c r="L752" s="84">
        <v>43001</v>
      </c>
      <c r="M752" t="s">
        <v>381</v>
      </c>
      <c r="N752" t="s">
        <v>365</v>
      </c>
      <c r="O752">
        <v>3</v>
      </c>
      <c r="P752" t="s">
        <v>2528</v>
      </c>
      <c r="Q752" t="s">
        <v>2529</v>
      </c>
      <c r="R752" t="s">
        <v>2530</v>
      </c>
      <c r="S752" t="s">
        <v>2531</v>
      </c>
      <c r="T752" t="s">
        <v>31</v>
      </c>
      <c r="U752" t="s">
        <v>80</v>
      </c>
      <c r="V752">
        <v>53</v>
      </c>
      <c r="W752">
        <v>81</v>
      </c>
      <c r="X752">
        <v>121</v>
      </c>
      <c r="Y752">
        <v>86</v>
      </c>
      <c r="Z752">
        <v>190</v>
      </c>
      <c r="AA752">
        <v>135</v>
      </c>
      <c r="AB752" t="s">
        <v>520</v>
      </c>
      <c r="AC752" t="s">
        <v>188</v>
      </c>
      <c r="AD752" t="s">
        <v>210</v>
      </c>
      <c r="AE752" t="s">
        <v>183</v>
      </c>
      <c r="AF752">
        <v>1</v>
      </c>
    </row>
    <row r="753" spans="1:32">
      <c r="A753">
        <v>231</v>
      </c>
      <c r="B753">
        <v>1143</v>
      </c>
      <c r="C753" t="s">
        <v>2526</v>
      </c>
      <c r="D753" t="s">
        <v>747</v>
      </c>
      <c r="E753" t="s">
        <v>2165</v>
      </c>
      <c r="F753" t="s">
        <v>7</v>
      </c>
      <c r="G753" t="s">
        <v>1055</v>
      </c>
      <c r="H753" t="s">
        <v>181</v>
      </c>
      <c r="I753" t="s">
        <v>185</v>
      </c>
      <c r="J753" t="s">
        <v>191</v>
      </c>
      <c r="K753" t="s">
        <v>2527</v>
      </c>
      <c r="L753" s="84">
        <v>43001</v>
      </c>
      <c r="M753" t="s">
        <v>381</v>
      </c>
      <c r="N753" t="s">
        <v>365</v>
      </c>
      <c r="O753">
        <v>3</v>
      </c>
      <c r="P753" t="s">
        <v>2528</v>
      </c>
      <c r="Q753" t="s">
        <v>2529</v>
      </c>
      <c r="R753" t="s">
        <v>2530</v>
      </c>
      <c r="S753" t="s">
        <v>2531</v>
      </c>
      <c r="T753" t="s">
        <v>32</v>
      </c>
      <c r="U753" t="s">
        <v>80</v>
      </c>
      <c r="V753">
        <v>53</v>
      </c>
      <c r="W753">
        <v>81</v>
      </c>
      <c r="X753">
        <v>121</v>
      </c>
      <c r="Y753">
        <v>86</v>
      </c>
      <c r="Z753">
        <v>190</v>
      </c>
      <c r="AA753">
        <v>135</v>
      </c>
      <c r="AB753" t="s">
        <v>520</v>
      </c>
      <c r="AC753" t="s">
        <v>188</v>
      </c>
      <c r="AD753" t="s">
        <v>210</v>
      </c>
      <c r="AE753" t="s">
        <v>183</v>
      </c>
      <c r="AF753">
        <v>1</v>
      </c>
    </row>
    <row r="754" spans="1:32">
      <c r="A754">
        <v>231</v>
      </c>
      <c r="B754">
        <v>1143</v>
      </c>
      <c r="C754" t="s">
        <v>2526</v>
      </c>
      <c r="D754" t="s">
        <v>747</v>
      </c>
      <c r="E754" t="s">
        <v>2165</v>
      </c>
      <c r="F754" t="s">
        <v>6</v>
      </c>
      <c r="G754" t="s">
        <v>1058</v>
      </c>
      <c r="H754" t="s">
        <v>186</v>
      </c>
      <c r="I754" t="s">
        <v>192</v>
      </c>
      <c r="J754" t="s">
        <v>228</v>
      </c>
      <c r="K754" t="s">
        <v>2527</v>
      </c>
      <c r="L754" s="84">
        <v>43001</v>
      </c>
      <c r="M754" t="s">
        <v>381</v>
      </c>
      <c r="N754" t="s">
        <v>365</v>
      </c>
      <c r="O754">
        <v>3</v>
      </c>
      <c r="P754" t="s">
        <v>2528</v>
      </c>
      <c r="Q754" t="s">
        <v>2529</v>
      </c>
      <c r="R754" t="s">
        <v>2530</v>
      </c>
      <c r="S754" t="s">
        <v>2531</v>
      </c>
      <c r="T754" t="s">
        <v>34</v>
      </c>
      <c r="U754" t="s">
        <v>80</v>
      </c>
      <c r="V754">
        <v>53</v>
      </c>
      <c r="W754">
        <v>81</v>
      </c>
      <c r="X754">
        <v>121</v>
      </c>
      <c r="Y754">
        <v>86</v>
      </c>
      <c r="Z754">
        <v>190</v>
      </c>
      <c r="AA754">
        <v>135</v>
      </c>
      <c r="AB754" t="s">
        <v>520</v>
      </c>
      <c r="AC754" t="s">
        <v>188</v>
      </c>
      <c r="AD754" t="s">
        <v>210</v>
      </c>
      <c r="AE754" t="s">
        <v>183</v>
      </c>
      <c r="AF754">
        <v>1</v>
      </c>
    </row>
    <row r="755" spans="1:32">
      <c r="A755">
        <v>231</v>
      </c>
      <c r="B755">
        <v>1143</v>
      </c>
      <c r="C755" t="s">
        <v>2526</v>
      </c>
      <c r="D755" t="s">
        <v>747</v>
      </c>
      <c r="E755" t="s">
        <v>2165</v>
      </c>
      <c r="F755" t="s">
        <v>197</v>
      </c>
      <c r="G755" t="s">
        <v>1408</v>
      </c>
      <c r="H755" t="s">
        <v>212</v>
      </c>
      <c r="I755" t="s">
        <v>192</v>
      </c>
      <c r="J755" t="s">
        <v>212</v>
      </c>
      <c r="K755" t="s">
        <v>2527</v>
      </c>
      <c r="L755" s="84">
        <v>43001</v>
      </c>
      <c r="M755" t="s">
        <v>381</v>
      </c>
      <c r="N755" t="s">
        <v>365</v>
      </c>
      <c r="O755">
        <v>3</v>
      </c>
      <c r="P755" t="s">
        <v>2528</v>
      </c>
      <c r="Q755" t="s">
        <v>2529</v>
      </c>
      <c r="R755" t="s">
        <v>2530</v>
      </c>
      <c r="S755" t="s">
        <v>2531</v>
      </c>
      <c r="T755" t="s">
        <v>38</v>
      </c>
      <c r="U755" t="s">
        <v>80</v>
      </c>
      <c r="V755">
        <v>53</v>
      </c>
      <c r="W755">
        <v>81</v>
      </c>
      <c r="X755">
        <v>121</v>
      </c>
      <c r="Y755">
        <v>86</v>
      </c>
      <c r="Z755">
        <v>190</v>
      </c>
      <c r="AA755">
        <v>135</v>
      </c>
      <c r="AB755" t="s">
        <v>520</v>
      </c>
      <c r="AC755" t="s">
        <v>188</v>
      </c>
      <c r="AD755" t="s">
        <v>210</v>
      </c>
      <c r="AE755" t="s">
        <v>183</v>
      </c>
      <c r="AF755">
        <v>1</v>
      </c>
    </row>
    <row r="756" spans="1:32">
      <c r="A756">
        <v>231</v>
      </c>
      <c r="B756">
        <v>1143</v>
      </c>
      <c r="C756" t="s">
        <v>2526</v>
      </c>
      <c r="D756" t="s">
        <v>747</v>
      </c>
      <c r="E756" t="s">
        <v>2165</v>
      </c>
      <c r="F756" t="s">
        <v>37</v>
      </c>
      <c r="G756" t="s">
        <v>2878</v>
      </c>
      <c r="H756" t="s">
        <v>212</v>
      </c>
      <c r="I756" t="s">
        <v>212</v>
      </c>
      <c r="J756" t="s">
        <v>212</v>
      </c>
      <c r="K756" t="s">
        <v>2527</v>
      </c>
      <c r="L756" s="84">
        <v>43001</v>
      </c>
      <c r="M756" t="s">
        <v>381</v>
      </c>
      <c r="N756" t="s">
        <v>365</v>
      </c>
      <c r="O756">
        <v>3</v>
      </c>
      <c r="P756" t="s">
        <v>2528</v>
      </c>
      <c r="Q756" t="s">
        <v>2529</v>
      </c>
      <c r="R756" t="s">
        <v>2530</v>
      </c>
      <c r="S756" t="s">
        <v>2531</v>
      </c>
      <c r="T756" t="s">
        <v>37</v>
      </c>
      <c r="U756" t="s">
        <v>80</v>
      </c>
      <c r="V756">
        <v>53</v>
      </c>
      <c r="W756">
        <v>81</v>
      </c>
      <c r="X756">
        <v>121</v>
      </c>
      <c r="Y756">
        <v>86</v>
      </c>
      <c r="Z756">
        <v>190</v>
      </c>
      <c r="AA756">
        <v>135</v>
      </c>
      <c r="AB756" t="s">
        <v>520</v>
      </c>
      <c r="AC756" t="s">
        <v>188</v>
      </c>
      <c r="AD756" t="s">
        <v>210</v>
      </c>
      <c r="AE756" t="s">
        <v>183</v>
      </c>
      <c r="AF756">
        <v>1</v>
      </c>
    </row>
    <row r="757" spans="1:32">
      <c r="A757">
        <v>231</v>
      </c>
      <c r="B757">
        <v>1143</v>
      </c>
      <c r="C757" t="s">
        <v>2526</v>
      </c>
      <c r="D757" t="s">
        <v>747</v>
      </c>
      <c r="E757" t="s">
        <v>2165</v>
      </c>
      <c r="F757" t="s">
        <v>193</v>
      </c>
      <c r="G757" t="s">
        <v>2142</v>
      </c>
      <c r="H757" t="s">
        <v>212</v>
      </c>
      <c r="I757" t="s">
        <v>212</v>
      </c>
      <c r="J757" t="s">
        <v>212</v>
      </c>
      <c r="K757" t="s">
        <v>2527</v>
      </c>
      <c r="L757" s="84">
        <v>43001</v>
      </c>
      <c r="M757" t="s">
        <v>381</v>
      </c>
      <c r="N757" t="s">
        <v>365</v>
      </c>
      <c r="O757">
        <v>3</v>
      </c>
      <c r="P757" t="s">
        <v>2528</v>
      </c>
      <c r="Q757" t="s">
        <v>2529</v>
      </c>
      <c r="R757" t="s">
        <v>2530</v>
      </c>
      <c r="S757" t="s">
        <v>2531</v>
      </c>
      <c r="T757" t="s">
        <v>36</v>
      </c>
      <c r="U757" t="s">
        <v>80</v>
      </c>
      <c r="V757">
        <v>53</v>
      </c>
      <c r="W757">
        <v>81</v>
      </c>
      <c r="X757">
        <v>121</v>
      </c>
      <c r="Y757">
        <v>86</v>
      </c>
      <c r="Z757">
        <v>190</v>
      </c>
      <c r="AA757">
        <v>135</v>
      </c>
      <c r="AB757" t="s">
        <v>520</v>
      </c>
      <c r="AC757" t="s">
        <v>188</v>
      </c>
      <c r="AD757" t="s">
        <v>210</v>
      </c>
      <c r="AE757" t="s">
        <v>183</v>
      </c>
      <c r="AF757">
        <v>1</v>
      </c>
    </row>
    <row r="758" spans="1:32">
      <c r="A758">
        <v>232</v>
      </c>
      <c r="B758">
        <v>869</v>
      </c>
      <c r="C758" t="s">
        <v>1821</v>
      </c>
      <c r="D758" t="s">
        <v>747</v>
      </c>
      <c r="E758" t="s">
        <v>2165</v>
      </c>
      <c r="F758" t="s">
        <v>193</v>
      </c>
      <c r="G758" t="s">
        <v>2143</v>
      </c>
      <c r="H758" t="s">
        <v>212</v>
      </c>
      <c r="I758" t="s">
        <v>212</v>
      </c>
      <c r="J758" t="s">
        <v>212</v>
      </c>
      <c r="K758" t="s">
        <v>1822</v>
      </c>
      <c r="L758" s="84">
        <v>42335</v>
      </c>
      <c r="M758" t="s">
        <v>381</v>
      </c>
      <c r="N758" t="s">
        <v>1823</v>
      </c>
      <c r="O758">
        <v>3</v>
      </c>
      <c r="P758" t="s">
        <v>1312</v>
      </c>
      <c r="Q758" t="s">
        <v>1824</v>
      </c>
      <c r="R758" t="s">
        <v>1825</v>
      </c>
      <c r="S758" t="s">
        <v>1826</v>
      </c>
      <c r="T758" t="s">
        <v>36</v>
      </c>
      <c r="U758" t="s">
        <v>80</v>
      </c>
      <c r="V758">
        <v>62</v>
      </c>
      <c r="W758">
        <v>81</v>
      </c>
      <c r="X758">
        <v>121</v>
      </c>
      <c r="Y758">
        <v>97</v>
      </c>
      <c r="Z758">
        <v>190</v>
      </c>
      <c r="AA758">
        <v>162</v>
      </c>
      <c r="AB758" t="s">
        <v>1084</v>
      </c>
      <c r="AC758" t="s">
        <v>223</v>
      </c>
      <c r="AD758" t="s">
        <v>609</v>
      </c>
      <c r="AE758" t="s">
        <v>183</v>
      </c>
      <c r="AF758">
        <v>0</v>
      </c>
    </row>
    <row r="759" spans="1:32">
      <c r="A759">
        <v>232</v>
      </c>
      <c r="B759">
        <v>869</v>
      </c>
      <c r="C759" t="s">
        <v>1821</v>
      </c>
      <c r="D759" t="s">
        <v>747</v>
      </c>
      <c r="E759" t="s">
        <v>2165</v>
      </c>
      <c r="F759" t="s">
        <v>37</v>
      </c>
      <c r="G759" t="s">
        <v>2879</v>
      </c>
      <c r="H759" t="s">
        <v>212</v>
      </c>
      <c r="I759" t="s">
        <v>212</v>
      </c>
      <c r="J759" t="s">
        <v>212</v>
      </c>
      <c r="K759" t="s">
        <v>1822</v>
      </c>
      <c r="L759" s="84">
        <v>42335</v>
      </c>
      <c r="M759" t="s">
        <v>381</v>
      </c>
      <c r="N759" t="s">
        <v>1823</v>
      </c>
      <c r="O759">
        <v>3</v>
      </c>
      <c r="P759" t="s">
        <v>1312</v>
      </c>
      <c r="Q759" t="s">
        <v>1824</v>
      </c>
      <c r="R759" t="s">
        <v>1825</v>
      </c>
      <c r="S759" t="s">
        <v>1826</v>
      </c>
      <c r="T759" t="s">
        <v>37</v>
      </c>
      <c r="U759" t="s">
        <v>80</v>
      </c>
      <c r="V759">
        <v>62</v>
      </c>
      <c r="W759">
        <v>81</v>
      </c>
      <c r="X759">
        <v>121</v>
      </c>
      <c r="Y759">
        <v>97</v>
      </c>
      <c r="Z759">
        <v>190</v>
      </c>
      <c r="AA759">
        <v>162</v>
      </c>
      <c r="AB759" t="s">
        <v>1084</v>
      </c>
      <c r="AC759" t="s">
        <v>223</v>
      </c>
      <c r="AD759" t="s">
        <v>609</v>
      </c>
      <c r="AE759" t="s">
        <v>183</v>
      </c>
      <c r="AF759">
        <v>0</v>
      </c>
    </row>
    <row r="760" spans="1:32">
      <c r="A760">
        <v>232</v>
      </c>
      <c r="B760">
        <v>869</v>
      </c>
      <c r="C760" t="s">
        <v>1821</v>
      </c>
      <c r="D760" t="s">
        <v>747</v>
      </c>
      <c r="E760" t="s">
        <v>2165</v>
      </c>
      <c r="F760" t="s">
        <v>197</v>
      </c>
      <c r="G760" t="s">
        <v>1915</v>
      </c>
      <c r="H760" t="s">
        <v>212</v>
      </c>
      <c r="I760" t="s">
        <v>192</v>
      </c>
      <c r="J760" t="s">
        <v>192</v>
      </c>
      <c r="K760" t="s">
        <v>1822</v>
      </c>
      <c r="L760" s="84">
        <v>42335</v>
      </c>
      <c r="M760" t="s">
        <v>381</v>
      </c>
      <c r="N760" t="s">
        <v>1823</v>
      </c>
      <c r="O760">
        <v>3</v>
      </c>
      <c r="P760" t="s">
        <v>1312</v>
      </c>
      <c r="Q760" t="s">
        <v>1824</v>
      </c>
      <c r="R760" t="s">
        <v>1825</v>
      </c>
      <c r="S760" t="s">
        <v>1826</v>
      </c>
      <c r="T760" t="s">
        <v>38</v>
      </c>
      <c r="U760" t="s">
        <v>80</v>
      </c>
      <c r="V760">
        <v>62</v>
      </c>
      <c r="W760">
        <v>81</v>
      </c>
      <c r="X760">
        <v>121</v>
      </c>
      <c r="Y760">
        <v>97</v>
      </c>
      <c r="Z760">
        <v>190</v>
      </c>
      <c r="AA760">
        <v>162</v>
      </c>
      <c r="AB760" t="s">
        <v>1084</v>
      </c>
      <c r="AC760" t="s">
        <v>223</v>
      </c>
      <c r="AD760" t="s">
        <v>609</v>
      </c>
      <c r="AE760" t="s">
        <v>183</v>
      </c>
      <c r="AF760">
        <v>0</v>
      </c>
    </row>
    <row r="761" spans="1:32">
      <c r="A761">
        <v>232</v>
      </c>
      <c r="B761">
        <v>869</v>
      </c>
      <c r="C761" t="s">
        <v>1821</v>
      </c>
      <c r="D761" t="s">
        <v>747</v>
      </c>
      <c r="E761" t="s">
        <v>2165</v>
      </c>
      <c r="F761" t="s">
        <v>6</v>
      </c>
      <c r="G761" t="s">
        <v>1914</v>
      </c>
      <c r="H761" t="s">
        <v>297</v>
      </c>
      <c r="I761" t="s">
        <v>257</v>
      </c>
      <c r="J761" t="s">
        <v>185</v>
      </c>
      <c r="K761" t="s">
        <v>1822</v>
      </c>
      <c r="L761" s="84">
        <v>42335</v>
      </c>
      <c r="M761" t="s">
        <v>381</v>
      </c>
      <c r="N761" t="s">
        <v>1823</v>
      </c>
      <c r="O761">
        <v>3</v>
      </c>
      <c r="P761" t="s">
        <v>1312</v>
      </c>
      <c r="Q761" t="s">
        <v>1824</v>
      </c>
      <c r="R761" t="s">
        <v>1825</v>
      </c>
      <c r="S761" t="s">
        <v>1826</v>
      </c>
      <c r="T761" t="s">
        <v>34</v>
      </c>
      <c r="U761" t="s">
        <v>80</v>
      </c>
      <c r="V761">
        <v>62</v>
      </c>
      <c r="W761">
        <v>81</v>
      </c>
      <c r="X761">
        <v>121</v>
      </c>
      <c r="Y761">
        <v>97</v>
      </c>
      <c r="Z761">
        <v>190</v>
      </c>
      <c r="AA761">
        <v>162</v>
      </c>
      <c r="AB761" t="s">
        <v>1084</v>
      </c>
      <c r="AC761" t="s">
        <v>223</v>
      </c>
      <c r="AD761" t="s">
        <v>609</v>
      </c>
      <c r="AE761" t="s">
        <v>183</v>
      </c>
      <c r="AF761">
        <v>0</v>
      </c>
    </row>
    <row r="762" spans="1:32">
      <c r="A762">
        <v>232</v>
      </c>
      <c r="B762">
        <v>869</v>
      </c>
      <c r="C762" t="s">
        <v>1821</v>
      </c>
      <c r="D762" t="s">
        <v>747</v>
      </c>
      <c r="E762" t="s">
        <v>2165</v>
      </c>
      <c r="F762" t="s">
        <v>7</v>
      </c>
      <c r="G762" t="s">
        <v>1918</v>
      </c>
      <c r="H762" t="s">
        <v>275</v>
      </c>
      <c r="I762" t="s">
        <v>305</v>
      </c>
      <c r="J762" t="s">
        <v>220</v>
      </c>
      <c r="K762" t="s">
        <v>1822</v>
      </c>
      <c r="L762" s="84">
        <v>42335</v>
      </c>
      <c r="M762" t="s">
        <v>381</v>
      </c>
      <c r="N762" t="s">
        <v>1823</v>
      </c>
      <c r="O762">
        <v>3</v>
      </c>
      <c r="P762" t="s">
        <v>1312</v>
      </c>
      <c r="Q762" t="s">
        <v>1824</v>
      </c>
      <c r="R762" t="s">
        <v>1825</v>
      </c>
      <c r="S762" t="s">
        <v>1826</v>
      </c>
      <c r="T762" t="s">
        <v>32</v>
      </c>
      <c r="U762" t="s">
        <v>80</v>
      </c>
      <c r="V762">
        <v>62</v>
      </c>
      <c r="W762">
        <v>81</v>
      </c>
      <c r="X762">
        <v>121</v>
      </c>
      <c r="Y762">
        <v>97</v>
      </c>
      <c r="Z762">
        <v>190</v>
      </c>
      <c r="AA762">
        <v>162</v>
      </c>
      <c r="AB762" t="s">
        <v>1084</v>
      </c>
      <c r="AC762" t="s">
        <v>223</v>
      </c>
      <c r="AD762" t="s">
        <v>609</v>
      </c>
      <c r="AE762" t="s">
        <v>183</v>
      </c>
      <c r="AF762">
        <v>0</v>
      </c>
    </row>
    <row r="763" spans="1:32">
      <c r="A763">
        <v>232</v>
      </c>
      <c r="B763">
        <v>869</v>
      </c>
      <c r="C763" t="s">
        <v>1821</v>
      </c>
      <c r="D763" t="s">
        <v>747</v>
      </c>
      <c r="E763" t="s">
        <v>2165</v>
      </c>
      <c r="F763" t="s">
        <v>8</v>
      </c>
      <c r="G763" t="s">
        <v>1917</v>
      </c>
      <c r="H763" t="s">
        <v>218</v>
      </c>
      <c r="I763" t="s">
        <v>257</v>
      </c>
      <c r="J763" t="s">
        <v>220</v>
      </c>
      <c r="K763" t="s">
        <v>1822</v>
      </c>
      <c r="L763" s="84">
        <v>42335</v>
      </c>
      <c r="M763" t="s">
        <v>381</v>
      </c>
      <c r="N763" t="s">
        <v>1823</v>
      </c>
      <c r="O763">
        <v>3</v>
      </c>
      <c r="P763" t="s">
        <v>1312</v>
      </c>
      <c r="Q763" t="s">
        <v>1824</v>
      </c>
      <c r="R763" t="s">
        <v>1825</v>
      </c>
      <c r="S763" t="s">
        <v>1826</v>
      </c>
      <c r="T763" t="s">
        <v>31</v>
      </c>
      <c r="U763" t="s">
        <v>80</v>
      </c>
      <c r="V763">
        <v>62</v>
      </c>
      <c r="W763">
        <v>81</v>
      </c>
      <c r="X763">
        <v>121</v>
      </c>
      <c r="Y763">
        <v>97</v>
      </c>
      <c r="Z763">
        <v>190</v>
      </c>
      <c r="AA763">
        <v>162</v>
      </c>
      <c r="AB763" t="s">
        <v>1084</v>
      </c>
      <c r="AC763" t="s">
        <v>223</v>
      </c>
      <c r="AD763" t="s">
        <v>609</v>
      </c>
      <c r="AE763" t="s">
        <v>183</v>
      </c>
      <c r="AF763">
        <v>0</v>
      </c>
    </row>
    <row r="764" spans="1:32">
      <c r="A764">
        <v>232</v>
      </c>
      <c r="B764">
        <v>869</v>
      </c>
      <c r="C764" t="s">
        <v>1821</v>
      </c>
      <c r="D764" t="s">
        <v>747</v>
      </c>
      <c r="E764" t="s">
        <v>2165</v>
      </c>
      <c r="F764" t="s">
        <v>5</v>
      </c>
      <c r="G764" t="s">
        <v>1916</v>
      </c>
      <c r="H764" t="s">
        <v>305</v>
      </c>
      <c r="I764" t="s">
        <v>262</v>
      </c>
      <c r="J764" t="s">
        <v>275</v>
      </c>
      <c r="K764" t="s">
        <v>1822</v>
      </c>
      <c r="L764" s="84">
        <v>42335</v>
      </c>
      <c r="M764" t="s">
        <v>381</v>
      </c>
      <c r="N764" t="s">
        <v>1823</v>
      </c>
      <c r="O764">
        <v>3</v>
      </c>
      <c r="P764" t="s">
        <v>1312</v>
      </c>
      <c r="Q764" t="s">
        <v>1824</v>
      </c>
      <c r="R764" t="s">
        <v>1825</v>
      </c>
      <c r="S764" t="s">
        <v>1826</v>
      </c>
      <c r="T764" t="s">
        <v>33</v>
      </c>
      <c r="U764" t="s">
        <v>80</v>
      </c>
      <c r="V764">
        <v>62</v>
      </c>
      <c r="W764">
        <v>81</v>
      </c>
      <c r="X764">
        <v>121</v>
      </c>
      <c r="Y764">
        <v>97</v>
      </c>
      <c r="Z764">
        <v>190</v>
      </c>
      <c r="AA764">
        <v>162</v>
      </c>
      <c r="AB764" t="s">
        <v>1084</v>
      </c>
      <c r="AC764" t="s">
        <v>223</v>
      </c>
      <c r="AD764" t="s">
        <v>609</v>
      </c>
      <c r="AE764" t="s">
        <v>183</v>
      </c>
      <c r="AF764">
        <v>0</v>
      </c>
    </row>
    <row r="765" spans="1:32">
      <c r="A765">
        <v>233</v>
      </c>
      <c r="B765">
        <v>1120</v>
      </c>
      <c r="C765" t="s">
        <v>2532</v>
      </c>
      <c r="D765" t="s">
        <v>747</v>
      </c>
      <c r="E765" t="s">
        <v>2165</v>
      </c>
      <c r="F765" t="s">
        <v>5</v>
      </c>
      <c r="G765" t="s">
        <v>1921</v>
      </c>
      <c r="H765" t="s">
        <v>216</v>
      </c>
      <c r="I765" t="s">
        <v>212</v>
      </c>
      <c r="J765" t="s">
        <v>189</v>
      </c>
      <c r="K765" t="s">
        <v>2533</v>
      </c>
      <c r="L765" s="84">
        <v>43080</v>
      </c>
      <c r="M765" t="s">
        <v>381</v>
      </c>
      <c r="N765" t="s">
        <v>2534</v>
      </c>
      <c r="O765">
        <v>9</v>
      </c>
      <c r="P765" t="s">
        <v>2535</v>
      </c>
      <c r="Q765" t="s">
        <v>2536</v>
      </c>
      <c r="R765" t="s">
        <v>2537</v>
      </c>
      <c r="S765" t="s">
        <v>2538</v>
      </c>
      <c r="T765" t="s">
        <v>33</v>
      </c>
      <c r="U765" t="s">
        <v>85</v>
      </c>
      <c r="V765">
        <v>50</v>
      </c>
      <c r="W765">
        <v>81</v>
      </c>
      <c r="X765">
        <v>121</v>
      </c>
      <c r="Y765">
        <v>89</v>
      </c>
      <c r="Z765">
        <v>190</v>
      </c>
      <c r="AA765">
        <v>149</v>
      </c>
      <c r="AB765" t="s">
        <v>303</v>
      </c>
      <c r="AC765" t="s">
        <v>228</v>
      </c>
      <c r="AD765" t="s">
        <v>210</v>
      </c>
      <c r="AE765" t="s">
        <v>183</v>
      </c>
      <c r="AF765">
        <v>0</v>
      </c>
    </row>
    <row r="766" spans="1:32">
      <c r="A766">
        <v>233</v>
      </c>
      <c r="B766">
        <v>1120</v>
      </c>
      <c r="C766" t="s">
        <v>2532</v>
      </c>
      <c r="D766" t="s">
        <v>747</v>
      </c>
      <c r="E766" t="s">
        <v>2165</v>
      </c>
      <c r="F766" t="s">
        <v>8</v>
      </c>
      <c r="G766" t="s">
        <v>1920</v>
      </c>
      <c r="H766" t="s">
        <v>260</v>
      </c>
      <c r="I766" t="s">
        <v>185</v>
      </c>
      <c r="J766" t="s">
        <v>228</v>
      </c>
      <c r="K766" t="s">
        <v>2533</v>
      </c>
      <c r="L766" s="84">
        <v>43080</v>
      </c>
      <c r="M766" t="s">
        <v>381</v>
      </c>
      <c r="N766" t="s">
        <v>2534</v>
      </c>
      <c r="O766">
        <v>9</v>
      </c>
      <c r="P766" t="s">
        <v>2535</v>
      </c>
      <c r="Q766" t="s">
        <v>2536</v>
      </c>
      <c r="R766" t="s">
        <v>2537</v>
      </c>
      <c r="S766" t="s">
        <v>2538</v>
      </c>
      <c r="T766" t="s">
        <v>31</v>
      </c>
      <c r="U766" t="s">
        <v>85</v>
      </c>
      <c r="V766">
        <v>50</v>
      </c>
      <c r="W766">
        <v>81</v>
      </c>
      <c r="X766">
        <v>121</v>
      </c>
      <c r="Y766">
        <v>89</v>
      </c>
      <c r="Z766">
        <v>190</v>
      </c>
      <c r="AA766">
        <v>149</v>
      </c>
      <c r="AB766" t="s">
        <v>303</v>
      </c>
      <c r="AC766" t="s">
        <v>228</v>
      </c>
      <c r="AD766" t="s">
        <v>210</v>
      </c>
      <c r="AE766" t="s">
        <v>183</v>
      </c>
      <c r="AF766">
        <v>0</v>
      </c>
    </row>
    <row r="767" spans="1:32">
      <c r="A767">
        <v>233</v>
      </c>
      <c r="B767">
        <v>1120</v>
      </c>
      <c r="C767" t="s">
        <v>2532</v>
      </c>
      <c r="D767" t="s">
        <v>747</v>
      </c>
      <c r="E767" t="s">
        <v>2165</v>
      </c>
      <c r="F767" t="s">
        <v>7</v>
      </c>
      <c r="G767" t="s">
        <v>1919</v>
      </c>
      <c r="H767" t="s">
        <v>185</v>
      </c>
      <c r="I767" t="s">
        <v>220</v>
      </c>
      <c r="J767" t="s">
        <v>223</v>
      </c>
      <c r="K767" t="s">
        <v>2533</v>
      </c>
      <c r="L767" s="84">
        <v>43080</v>
      </c>
      <c r="M767" t="s">
        <v>381</v>
      </c>
      <c r="N767" t="s">
        <v>2534</v>
      </c>
      <c r="O767">
        <v>9</v>
      </c>
      <c r="P767" t="s">
        <v>2535</v>
      </c>
      <c r="Q767" t="s">
        <v>2536</v>
      </c>
      <c r="R767" t="s">
        <v>2537</v>
      </c>
      <c r="S767" t="s">
        <v>2538</v>
      </c>
      <c r="T767" t="s">
        <v>32</v>
      </c>
      <c r="U767" t="s">
        <v>85</v>
      </c>
      <c r="V767">
        <v>50</v>
      </c>
      <c r="W767">
        <v>81</v>
      </c>
      <c r="X767">
        <v>121</v>
      </c>
      <c r="Y767">
        <v>89</v>
      </c>
      <c r="Z767">
        <v>190</v>
      </c>
      <c r="AA767">
        <v>149</v>
      </c>
      <c r="AB767" t="s">
        <v>303</v>
      </c>
      <c r="AC767" t="s">
        <v>228</v>
      </c>
      <c r="AD767" t="s">
        <v>210</v>
      </c>
      <c r="AE767" t="s">
        <v>183</v>
      </c>
      <c r="AF767">
        <v>0</v>
      </c>
    </row>
    <row r="768" spans="1:32">
      <c r="A768">
        <v>233</v>
      </c>
      <c r="B768">
        <v>1120</v>
      </c>
      <c r="C768" t="s">
        <v>2532</v>
      </c>
      <c r="D768" t="s">
        <v>747</v>
      </c>
      <c r="E768" t="s">
        <v>2165</v>
      </c>
      <c r="F768" t="s">
        <v>6</v>
      </c>
      <c r="G768" t="s">
        <v>1923</v>
      </c>
      <c r="H768" t="s">
        <v>226</v>
      </c>
      <c r="I768" t="s">
        <v>237</v>
      </c>
      <c r="J768" t="s">
        <v>228</v>
      </c>
      <c r="K768" t="s">
        <v>2533</v>
      </c>
      <c r="L768" s="84">
        <v>43080</v>
      </c>
      <c r="M768" t="s">
        <v>381</v>
      </c>
      <c r="N768" t="s">
        <v>2534</v>
      </c>
      <c r="O768">
        <v>9</v>
      </c>
      <c r="P768" t="s">
        <v>2535</v>
      </c>
      <c r="Q768" t="s">
        <v>2536</v>
      </c>
      <c r="R768" t="s">
        <v>2537</v>
      </c>
      <c r="S768" t="s">
        <v>2538</v>
      </c>
      <c r="T768" t="s">
        <v>34</v>
      </c>
      <c r="U768" t="s">
        <v>85</v>
      </c>
      <c r="V768">
        <v>50</v>
      </c>
      <c r="W768">
        <v>81</v>
      </c>
      <c r="X768">
        <v>121</v>
      </c>
      <c r="Y768">
        <v>89</v>
      </c>
      <c r="Z768">
        <v>190</v>
      </c>
      <c r="AA768">
        <v>149</v>
      </c>
      <c r="AB768" t="s">
        <v>303</v>
      </c>
      <c r="AC768" t="s">
        <v>228</v>
      </c>
      <c r="AD768" t="s">
        <v>210</v>
      </c>
      <c r="AE768" t="s">
        <v>183</v>
      </c>
      <c r="AF768">
        <v>0</v>
      </c>
    </row>
    <row r="769" spans="1:32">
      <c r="A769">
        <v>233</v>
      </c>
      <c r="B769">
        <v>1120</v>
      </c>
      <c r="C769" t="s">
        <v>2532</v>
      </c>
      <c r="D769" t="s">
        <v>747</v>
      </c>
      <c r="E769" t="s">
        <v>2165</v>
      </c>
      <c r="F769" t="s">
        <v>197</v>
      </c>
      <c r="G769" t="s">
        <v>1922</v>
      </c>
      <c r="H769" t="s">
        <v>212</v>
      </c>
      <c r="I769" t="s">
        <v>192</v>
      </c>
      <c r="J769" t="s">
        <v>212</v>
      </c>
      <c r="K769" t="s">
        <v>2533</v>
      </c>
      <c r="L769" s="84">
        <v>43080</v>
      </c>
      <c r="M769" t="s">
        <v>381</v>
      </c>
      <c r="N769" t="s">
        <v>2534</v>
      </c>
      <c r="O769">
        <v>9</v>
      </c>
      <c r="P769" t="s">
        <v>2535</v>
      </c>
      <c r="Q769" t="s">
        <v>2536</v>
      </c>
      <c r="R769" t="s">
        <v>2537</v>
      </c>
      <c r="S769" t="s">
        <v>2538</v>
      </c>
      <c r="T769" t="s">
        <v>38</v>
      </c>
      <c r="U769" t="s">
        <v>85</v>
      </c>
      <c r="V769">
        <v>50</v>
      </c>
      <c r="W769">
        <v>81</v>
      </c>
      <c r="X769">
        <v>121</v>
      </c>
      <c r="Y769">
        <v>89</v>
      </c>
      <c r="Z769">
        <v>190</v>
      </c>
      <c r="AA769">
        <v>149</v>
      </c>
      <c r="AB769" t="s">
        <v>303</v>
      </c>
      <c r="AC769" t="s">
        <v>228</v>
      </c>
      <c r="AD769" t="s">
        <v>210</v>
      </c>
      <c r="AE769" t="s">
        <v>183</v>
      </c>
      <c r="AF769">
        <v>0</v>
      </c>
    </row>
    <row r="770" spans="1:32">
      <c r="A770">
        <v>233</v>
      </c>
      <c r="B770">
        <v>1120</v>
      </c>
      <c r="C770" t="s">
        <v>2532</v>
      </c>
      <c r="D770" t="s">
        <v>747</v>
      </c>
      <c r="E770" t="s">
        <v>2165</v>
      </c>
      <c r="F770" t="s">
        <v>37</v>
      </c>
      <c r="G770" t="s">
        <v>2880</v>
      </c>
      <c r="H770" t="s">
        <v>212</v>
      </c>
      <c r="I770" t="s">
        <v>212</v>
      </c>
      <c r="J770" t="s">
        <v>212</v>
      </c>
      <c r="K770" t="s">
        <v>2533</v>
      </c>
      <c r="L770" s="84">
        <v>43080</v>
      </c>
      <c r="M770" t="s">
        <v>381</v>
      </c>
      <c r="N770" t="s">
        <v>2534</v>
      </c>
      <c r="O770">
        <v>9</v>
      </c>
      <c r="P770" t="s">
        <v>2535</v>
      </c>
      <c r="Q770" t="s">
        <v>2536</v>
      </c>
      <c r="R770" t="s">
        <v>2537</v>
      </c>
      <c r="S770" t="s">
        <v>2538</v>
      </c>
      <c r="T770" t="s">
        <v>37</v>
      </c>
      <c r="U770" t="s">
        <v>85</v>
      </c>
      <c r="V770">
        <v>50</v>
      </c>
      <c r="W770">
        <v>81</v>
      </c>
      <c r="X770">
        <v>121</v>
      </c>
      <c r="Y770">
        <v>89</v>
      </c>
      <c r="Z770">
        <v>190</v>
      </c>
      <c r="AA770">
        <v>149</v>
      </c>
      <c r="AB770" t="s">
        <v>303</v>
      </c>
      <c r="AC770" t="s">
        <v>228</v>
      </c>
      <c r="AD770" t="s">
        <v>210</v>
      </c>
      <c r="AE770" t="s">
        <v>183</v>
      </c>
      <c r="AF770">
        <v>0</v>
      </c>
    </row>
    <row r="771" spans="1:32">
      <c r="A771">
        <v>233</v>
      </c>
      <c r="B771">
        <v>1120</v>
      </c>
      <c r="C771" t="s">
        <v>2532</v>
      </c>
      <c r="D771" t="s">
        <v>747</v>
      </c>
      <c r="E771" t="s">
        <v>2165</v>
      </c>
      <c r="F771" t="s">
        <v>193</v>
      </c>
      <c r="G771" t="s">
        <v>2145</v>
      </c>
      <c r="H771" t="s">
        <v>212</v>
      </c>
      <c r="I771" t="s">
        <v>212</v>
      </c>
      <c r="J771" t="s">
        <v>212</v>
      </c>
      <c r="K771" t="s">
        <v>2533</v>
      </c>
      <c r="L771" s="84">
        <v>43080</v>
      </c>
      <c r="M771" t="s">
        <v>381</v>
      </c>
      <c r="N771" t="s">
        <v>2534</v>
      </c>
      <c r="O771">
        <v>9</v>
      </c>
      <c r="P771" t="s">
        <v>2535</v>
      </c>
      <c r="Q771" t="s">
        <v>2536</v>
      </c>
      <c r="R771" t="s">
        <v>2537</v>
      </c>
      <c r="S771" t="s">
        <v>2538</v>
      </c>
      <c r="T771" t="s">
        <v>36</v>
      </c>
      <c r="U771" t="s">
        <v>85</v>
      </c>
      <c r="V771">
        <v>50</v>
      </c>
      <c r="W771">
        <v>81</v>
      </c>
      <c r="X771">
        <v>121</v>
      </c>
      <c r="Y771">
        <v>89</v>
      </c>
      <c r="Z771">
        <v>190</v>
      </c>
      <c r="AA771">
        <v>149</v>
      </c>
      <c r="AB771" t="s">
        <v>303</v>
      </c>
      <c r="AC771" t="s">
        <v>228</v>
      </c>
      <c r="AD771" t="s">
        <v>210</v>
      </c>
      <c r="AE771" t="s">
        <v>183</v>
      </c>
      <c r="AF771">
        <v>0</v>
      </c>
    </row>
    <row r="772" spans="1:32">
      <c r="A772">
        <v>234</v>
      </c>
      <c r="B772">
        <v>1051</v>
      </c>
      <c r="C772" t="s">
        <v>1853</v>
      </c>
      <c r="D772" t="s">
        <v>747</v>
      </c>
      <c r="E772" t="s">
        <v>2165</v>
      </c>
      <c r="F772" t="s">
        <v>193</v>
      </c>
      <c r="G772" t="s">
        <v>2146</v>
      </c>
      <c r="H772" t="s">
        <v>212</v>
      </c>
      <c r="I772" t="s">
        <v>212</v>
      </c>
      <c r="J772" t="s">
        <v>192</v>
      </c>
      <c r="K772" t="s">
        <v>1854</v>
      </c>
      <c r="L772" s="84">
        <v>43350</v>
      </c>
      <c r="M772" t="s">
        <v>381</v>
      </c>
      <c r="N772" t="s">
        <v>326</v>
      </c>
      <c r="O772">
        <v>2</v>
      </c>
      <c r="P772" t="s">
        <v>771</v>
      </c>
      <c r="Q772" t="s">
        <v>772</v>
      </c>
      <c r="R772" t="s">
        <v>2099</v>
      </c>
      <c r="S772" t="s">
        <v>2100</v>
      </c>
      <c r="T772" t="s">
        <v>36</v>
      </c>
      <c r="U772" t="s">
        <v>79</v>
      </c>
      <c r="V772">
        <v>64</v>
      </c>
      <c r="W772">
        <v>81</v>
      </c>
      <c r="X772">
        <v>121</v>
      </c>
      <c r="Y772">
        <v>99</v>
      </c>
      <c r="Z772">
        <v>190</v>
      </c>
      <c r="AA772">
        <v>162</v>
      </c>
      <c r="AB772" t="s">
        <v>180</v>
      </c>
      <c r="AC772" t="s">
        <v>188</v>
      </c>
      <c r="AD772" t="s">
        <v>210</v>
      </c>
      <c r="AE772" t="s">
        <v>183</v>
      </c>
      <c r="AF772">
        <v>0</v>
      </c>
    </row>
    <row r="773" spans="1:32">
      <c r="A773">
        <v>234</v>
      </c>
      <c r="B773">
        <v>1051</v>
      </c>
      <c r="C773" t="s">
        <v>1853</v>
      </c>
      <c r="D773" t="s">
        <v>747</v>
      </c>
      <c r="E773" t="s">
        <v>2165</v>
      </c>
      <c r="F773" t="s">
        <v>37</v>
      </c>
      <c r="G773" t="s">
        <v>2881</v>
      </c>
      <c r="H773" t="s">
        <v>212</v>
      </c>
      <c r="I773" t="s">
        <v>212</v>
      </c>
      <c r="J773" t="s">
        <v>212</v>
      </c>
      <c r="K773" t="s">
        <v>1854</v>
      </c>
      <c r="L773" s="84">
        <v>43350</v>
      </c>
      <c r="M773" t="s">
        <v>381</v>
      </c>
      <c r="N773" t="s">
        <v>326</v>
      </c>
      <c r="O773">
        <v>2</v>
      </c>
      <c r="P773" t="s">
        <v>771</v>
      </c>
      <c r="Q773" t="s">
        <v>772</v>
      </c>
      <c r="R773" t="s">
        <v>2099</v>
      </c>
      <c r="S773" t="s">
        <v>2100</v>
      </c>
      <c r="T773" t="s">
        <v>37</v>
      </c>
      <c r="U773" t="s">
        <v>79</v>
      </c>
      <c r="V773">
        <v>64</v>
      </c>
      <c r="W773">
        <v>81</v>
      </c>
      <c r="X773">
        <v>121</v>
      </c>
      <c r="Y773">
        <v>99</v>
      </c>
      <c r="Z773">
        <v>190</v>
      </c>
      <c r="AA773">
        <v>162</v>
      </c>
      <c r="AB773" t="s">
        <v>180</v>
      </c>
      <c r="AC773" t="s">
        <v>188</v>
      </c>
      <c r="AD773" t="s">
        <v>210</v>
      </c>
      <c r="AE773" t="s">
        <v>183</v>
      </c>
      <c r="AF773">
        <v>0</v>
      </c>
    </row>
    <row r="774" spans="1:32">
      <c r="A774">
        <v>234</v>
      </c>
      <c r="B774">
        <v>1051</v>
      </c>
      <c r="C774" t="s">
        <v>1853</v>
      </c>
      <c r="D774" t="s">
        <v>747</v>
      </c>
      <c r="E774" t="s">
        <v>2165</v>
      </c>
      <c r="F774" t="s">
        <v>197</v>
      </c>
      <c r="G774" t="s">
        <v>1925</v>
      </c>
      <c r="H774" t="s">
        <v>212</v>
      </c>
      <c r="I774" t="s">
        <v>188</v>
      </c>
      <c r="J774" t="s">
        <v>192</v>
      </c>
      <c r="K774" t="s">
        <v>1854</v>
      </c>
      <c r="L774" s="84">
        <v>43350</v>
      </c>
      <c r="M774" t="s">
        <v>381</v>
      </c>
      <c r="N774" t="s">
        <v>326</v>
      </c>
      <c r="O774">
        <v>2</v>
      </c>
      <c r="P774" t="s">
        <v>771</v>
      </c>
      <c r="Q774" t="s">
        <v>772</v>
      </c>
      <c r="R774" t="s">
        <v>2099</v>
      </c>
      <c r="S774" t="s">
        <v>2100</v>
      </c>
      <c r="T774" t="s">
        <v>38</v>
      </c>
      <c r="U774" t="s">
        <v>79</v>
      </c>
      <c r="V774">
        <v>64</v>
      </c>
      <c r="W774">
        <v>81</v>
      </c>
      <c r="X774">
        <v>121</v>
      </c>
      <c r="Y774">
        <v>99</v>
      </c>
      <c r="Z774">
        <v>190</v>
      </c>
      <c r="AA774">
        <v>162</v>
      </c>
      <c r="AB774" t="s">
        <v>180</v>
      </c>
      <c r="AC774" t="s">
        <v>188</v>
      </c>
      <c r="AD774" t="s">
        <v>210</v>
      </c>
      <c r="AE774" t="s">
        <v>183</v>
      </c>
      <c r="AF774">
        <v>0</v>
      </c>
    </row>
    <row r="775" spans="1:32">
      <c r="A775">
        <v>234</v>
      </c>
      <c r="B775">
        <v>1051</v>
      </c>
      <c r="C775" t="s">
        <v>1853</v>
      </c>
      <c r="D775" t="s">
        <v>747</v>
      </c>
      <c r="E775" t="s">
        <v>2165</v>
      </c>
      <c r="F775" t="s">
        <v>6</v>
      </c>
      <c r="G775" t="s">
        <v>1924</v>
      </c>
      <c r="H775" t="s">
        <v>274</v>
      </c>
      <c r="I775" t="s">
        <v>297</v>
      </c>
      <c r="J775" t="s">
        <v>220</v>
      </c>
      <c r="K775" t="s">
        <v>1854</v>
      </c>
      <c r="L775" s="84">
        <v>43350</v>
      </c>
      <c r="M775" t="s">
        <v>381</v>
      </c>
      <c r="N775" t="s">
        <v>326</v>
      </c>
      <c r="O775">
        <v>2</v>
      </c>
      <c r="P775" t="s">
        <v>771</v>
      </c>
      <c r="Q775" t="s">
        <v>772</v>
      </c>
      <c r="R775" t="s">
        <v>2099</v>
      </c>
      <c r="S775" t="s">
        <v>2100</v>
      </c>
      <c r="T775" t="s">
        <v>34</v>
      </c>
      <c r="U775" t="s">
        <v>79</v>
      </c>
      <c r="V775">
        <v>64</v>
      </c>
      <c r="W775">
        <v>81</v>
      </c>
      <c r="X775">
        <v>121</v>
      </c>
      <c r="Y775">
        <v>99</v>
      </c>
      <c r="Z775">
        <v>190</v>
      </c>
      <c r="AA775">
        <v>162</v>
      </c>
      <c r="AB775" t="s">
        <v>180</v>
      </c>
      <c r="AC775" t="s">
        <v>188</v>
      </c>
      <c r="AD775" t="s">
        <v>210</v>
      </c>
      <c r="AE775" t="s">
        <v>183</v>
      </c>
      <c r="AF775">
        <v>0</v>
      </c>
    </row>
    <row r="776" spans="1:32">
      <c r="A776">
        <v>234</v>
      </c>
      <c r="B776">
        <v>1051</v>
      </c>
      <c r="C776" t="s">
        <v>1853</v>
      </c>
      <c r="D776" t="s">
        <v>747</v>
      </c>
      <c r="E776" t="s">
        <v>2165</v>
      </c>
      <c r="F776" t="s">
        <v>7</v>
      </c>
      <c r="G776" t="s">
        <v>1928</v>
      </c>
      <c r="H776" t="s">
        <v>238</v>
      </c>
      <c r="I776" t="s">
        <v>189</v>
      </c>
      <c r="J776" t="s">
        <v>236</v>
      </c>
      <c r="K776" t="s">
        <v>1854</v>
      </c>
      <c r="L776" s="84">
        <v>43350</v>
      </c>
      <c r="M776" t="s">
        <v>381</v>
      </c>
      <c r="N776" t="s">
        <v>326</v>
      </c>
      <c r="O776">
        <v>2</v>
      </c>
      <c r="P776" t="s">
        <v>771</v>
      </c>
      <c r="Q776" t="s">
        <v>772</v>
      </c>
      <c r="R776" t="s">
        <v>2099</v>
      </c>
      <c r="S776" t="s">
        <v>2100</v>
      </c>
      <c r="T776" t="s">
        <v>32</v>
      </c>
      <c r="U776" t="s">
        <v>79</v>
      </c>
      <c r="V776">
        <v>64</v>
      </c>
      <c r="W776">
        <v>81</v>
      </c>
      <c r="X776">
        <v>121</v>
      </c>
      <c r="Y776">
        <v>99</v>
      </c>
      <c r="Z776">
        <v>190</v>
      </c>
      <c r="AA776">
        <v>162</v>
      </c>
      <c r="AB776" t="s">
        <v>180</v>
      </c>
      <c r="AC776" t="s">
        <v>188</v>
      </c>
      <c r="AD776" t="s">
        <v>210</v>
      </c>
      <c r="AE776" t="s">
        <v>183</v>
      </c>
      <c r="AF776">
        <v>0</v>
      </c>
    </row>
    <row r="777" spans="1:32">
      <c r="A777">
        <v>234</v>
      </c>
      <c r="B777">
        <v>1051</v>
      </c>
      <c r="C777" t="s">
        <v>1853</v>
      </c>
      <c r="D777" t="s">
        <v>747</v>
      </c>
      <c r="E777" t="s">
        <v>2165</v>
      </c>
      <c r="F777" t="s">
        <v>8</v>
      </c>
      <c r="G777" t="s">
        <v>1927</v>
      </c>
      <c r="H777" t="s">
        <v>215</v>
      </c>
      <c r="I777" t="s">
        <v>297</v>
      </c>
      <c r="J777" t="s">
        <v>274</v>
      </c>
      <c r="K777" t="s">
        <v>1854</v>
      </c>
      <c r="L777" s="84">
        <v>43350</v>
      </c>
      <c r="M777" t="s">
        <v>381</v>
      </c>
      <c r="N777" t="s">
        <v>326</v>
      </c>
      <c r="O777">
        <v>2</v>
      </c>
      <c r="P777" t="s">
        <v>771</v>
      </c>
      <c r="Q777" t="s">
        <v>772</v>
      </c>
      <c r="R777" t="s">
        <v>2099</v>
      </c>
      <c r="S777" t="s">
        <v>2100</v>
      </c>
      <c r="T777" t="s">
        <v>31</v>
      </c>
      <c r="U777" t="s">
        <v>79</v>
      </c>
      <c r="V777">
        <v>64</v>
      </c>
      <c r="W777">
        <v>81</v>
      </c>
      <c r="X777">
        <v>121</v>
      </c>
      <c r="Y777">
        <v>99</v>
      </c>
      <c r="Z777">
        <v>190</v>
      </c>
      <c r="AA777">
        <v>162</v>
      </c>
      <c r="AB777" t="s">
        <v>180</v>
      </c>
      <c r="AC777" t="s">
        <v>188</v>
      </c>
      <c r="AD777" t="s">
        <v>210</v>
      </c>
      <c r="AE777" t="s">
        <v>183</v>
      </c>
      <c r="AF777">
        <v>0</v>
      </c>
    </row>
    <row r="778" spans="1:32">
      <c r="A778">
        <v>234</v>
      </c>
      <c r="B778">
        <v>1051</v>
      </c>
      <c r="C778" t="s">
        <v>1853</v>
      </c>
      <c r="D778" t="s">
        <v>747</v>
      </c>
      <c r="E778" t="s">
        <v>2165</v>
      </c>
      <c r="F778" t="s">
        <v>5</v>
      </c>
      <c r="G778" t="s">
        <v>1926</v>
      </c>
      <c r="H778" t="s">
        <v>297</v>
      </c>
      <c r="I778" t="s">
        <v>218</v>
      </c>
      <c r="J778" t="s">
        <v>238</v>
      </c>
      <c r="K778" t="s">
        <v>1854</v>
      </c>
      <c r="L778" s="84">
        <v>43350</v>
      </c>
      <c r="M778" t="s">
        <v>381</v>
      </c>
      <c r="N778" t="s">
        <v>326</v>
      </c>
      <c r="O778">
        <v>2</v>
      </c>
      <c r="P778" t="s">
        <v>771</v>
      </c>
      <c r="Q778" t="s">
        <v>772</v>
      </c>
      <c r="R778" t="s">
        <v>2099</v>
      </c>
      <c r="S778" t="s">
        <v>2100</v>
      </c>
      <c r="T778" t="s">
        <v>33</v>
      </c>
      <c r="U778" t="s">
        <v>79</v>
      </c>
      <c r="V778">
        <v>64</v>
      </c>
      <c r="W778">
        <v>81</v>
      </c>
      <c r="X778">
        <v>121</v>
      </c>
      <c r="Y778">
        <v>99</v>
      </c>
      <c r="Z778">
        <v>190</v>
      </c>
      <c r="AA778">
        <v>162</v>
      </c>
      <c r="AB778" t="s">
        <v>180</v>
      </c>
      <c r="AC778" t="s">
        <v>188</v>
      </c>
      <c r="AD778" t="s">
        <v>210</v>
      </c>
      <c r="AE778" t="s">
        <v>183</v>
      </c>
      <c r="AF778">
        <v>0</v>
      </c>
    </row>
    <row r="779" spans="1:32">
      <c r="A779">
        <v>235</v>
      </c>
      <c r="B779">
        <v>1024</v>
      </c>
      <c r="C779" t="s">
        <v>1827</v>
      </c>
      <c r="D779" t="s">
        <v>747</v>
      </c>
      <c r="E779" t="s">
        <v>2165</v>
      </c>
      <c r="F779" t="s">
        <v>5</v>
      </c>
      <c r="G779" t="s">
        <v>1931</v>
      </c>
      <c r="H779" t="s">
        <v>256</v>
      </c>
      <c r="I779" t="s">
        <v>216</v>
      </c>
      <c r="J779" t="s">
        <v>216</v>
      </c>
      <c r="K779" t="s">
        <v>1828</v>
      </c>
      <c r="L779" s="84">
        <v>43228</v>
      </c>
      <c r="M779" t="s">
        <v>381</v>
      </c>
      <c r="N779" t="s">
        <v>665</v>
      </c>
      <c r="O779">
        <v>1</v>
      </c>
      <c r="P779" t="s">
        <v>1829</v>
      </c>
      <c r="Q779" t="s">
        <v>1830</v>
      </c>
      <c r="R779" t="s">
        <v>2093</v>
      </c>
      <c r="S779" t="s">
        <v>2094</v>
      </c>
      <c r="T779" t="s">
        <v>33</v>
      </c>
      <c r="U779" t="s">
        <v>78</v>
      </c>
      <c r="V779">
        <v>50</v>
      </c>
      <c r="W779">
        <v>81</v>
      </c>
      <c r="X779">
        <v>121</v>
      </c>
      <c r="Y779">
        <v>87</v>
      </c>
      <c r="Z779">
        <v>190</v>
      </c>
      <c r="AA779">
        <v>149</v>
      </c>
      <c r="AB779" t="s">
        <v>271</v>
      </c>
      <c r="AC779" t="s">
        <v>212</v>
      </c>
      <c r="AD779" t="s">
        <v>182</v>
      </c>
      <c r="AE779" t="s">
        <v>183</v>
      </c>
      <c r="AF779">
        <v>0</v>
      </c>
    </row>
    <row r="780" spans="1:32">
      <c r="A780">
        <v>235</v>
      </c>
      <c r="B780">
        <v>1024</v>
      </c>
      <c r="C780" t="s">
        <v>1827</v>
      </c>
      <c r="D780" t="s">
        <v>747</v>
      </c>
      <c r="E780" t="s">
        <v>2165</v>
      </c>
      <c r="F780" t="s">
        <v>8</v>
      </c>
      <c r="G780" t="s">
        <v>1930</v>
      </c>
      <c r="H780" t="s">
        <v>260</v>
      </c>
      <c r="I780" t="s">
        <v>223</v>
      </c>
      <c r="J780" t="s">
        <v>436</v>
      </c>
      <c r="K780" t="s">
        <v>1828</v>
      </c>
      <c r="L780" s="84">
        <v>43228</v>
      </c>
      <c r="M780" t="s">
        <v>381</v>
      </c>
      <c r="N780" t="s">
        <v>665</v>
      </c>
      <c r="O780">
        <v>1</v>
      </c>
      <c r="P780" t="s">
        <v>1829</v>
      </c>
      <c r="Q780" t="s">
        <v>1830</v>
      </c>
      <c r="R780" t="s">
        <v>2093</v>
      </c>
      <c r="S780" t="s">
        <v>2094</v>
      </c>
      <c r="T780" t="s">
        <v>31</v>
      </c>
      <c r="U780" t="s">
        <v>78</v>
      </c>
      <c r="V780">
        <v>50</v>
      </c>
      <c r="W780">
        <v>81</v>
      </c>
      <c r="X780">
        <v>121</v>
      </c>
      <c r="Y780">
        <v>87</v>
      </c>
      <c r="Z780">
        <v>190</v>
      </c>
      <c r="AA780">
        <v>149</v>
      </c>
      <c r="AB780" t="s">
        <v>271</v>
      </c>
      <c r="AC780" t="s">
        <v>212</v>
      </c>
      <c r="AD780" t="s">
        <v>182</v>
      </c>
      <c r="AE780" t="s">
        <v>183</v>
      </c>
      <c r="AF780">
        <v>0</v>
      </c>
    </row>
    <row r="781" spans="1:32">
      <c r="A781">
        <v>235</v>
      </c>
      <c r="B781">
        <v>1024</v>
      </c>
      <c r="C781" t="s">
        <v>1827</v>
      </c>
      <c r="D781" t="s">
        <v>747</v>
      </c>
      <c r="E781" t="s">
        <v>2165</v>
      </c>
      <c r="F781" t="s">
        <v>7</v>
      </c>
      <c r="G781" t="s">
        <v>1929</v>
      </c>
      <c r="H781" t="s">
        <v>223</v>
      </c>
      <c r="I781" t="s">
        <v>228</v>
      </c>
      <c r="J781" t="s">
        <v>243</v>
      </c>
      <c r="K781" t="s">
        <v>1828</v>
      </c>
      <c r="L781" s="84">
        <v>43228</v>
      </c>
      <c r="M781" t="s">
        <v>381</v>
      </c>
      <c r="N781" t="s">
        <v>665</v>
      </c>
      <c r="O781">
        <v>1</v>
      </c>
      <c r="P781" t="s">
        <v>1829</v>
      </c>
      <c r="Q781" t="s">
        <v>1830</v>
      </c>
      <c r="R781" t="s">
        <v>2093</v>
      </c>
      <c r="S781" t="s">
        <v>2094</v>
      </c>
      <c r="T781" t="s">
        <v>32</v>
      </c>
      <c r="U781" t="s">
        <v>78</v>
      </c>
      <c r="V781">
        <v>50</v>
      </c>
      <c r="W781">
        <v>81</v>
      </c>
      <c r="X781">
        <v>121</v>
      </c>
      <c r="Y781">
        <v>87</v>
      </c>
      <c r="Z781">
        <v>190</v>
      </c>
      <c r="AA781">
        <v>149</v>
      </c>
      <c r="AB781" t="s">
        <v>271</v>
      </c>
      <c r="AC781" t="s">
        <v>212</v>
      </c>
      <c r="AD781" t="s">
        <v>182</v>
      </c>
      <c r="AE781" t="s">
        <v>183</v>
      </c>
      <c r="AF781">
        <v>0</v>
      </c>
    </row>
    <row r="782" spans="1:32">
      <c r="A782">
        <v>235</v>
      </c>
      <c r="B782">
        <v>1024</v>
      </c>
      <c r="C782" t="s">
        <v>1827</v>
      </c>
      <c r="D782" t="s">
        <v>747</v>
      </c>
      <c r="E782" t="s">
        <v>2165</v>
      </c>
      <c r="F782" t="s">
        <v>6</v>
      </c>
      <c r="G782" t="s">
        <v>1933</v>
      </c>
      <c r="H782" t="s">
        <v>188</v>
      </c>
      <c r="I782" t="s">
        <v>237</v>
      </c>
      <c r="J782" t="s">
        <v>181</v>
      </c>
      <c r="K782" t="s">
        <v>1828</v>
      </c>
      <c r="L782" s="84">
        <v>43228</v>
      </c>
      <c r="M782" t="s">
        <v>381</v>
      </c>
      <c r="N782" t="s">
        <v>665</v>
      </c>
      <c r="O782">
        <v>1</v>
      </c>
      <c r="P782" t="s">
        <v>1829</v>
      </c>
      <c r="Q782" t="s">
        <v>1830</v>
      </c>
      <c r="R782" t="s">
        <v>2093</v>
      </c>
      <c r="S782" t="s">
        <v>2094</v>
      </c>
      <c r="T782" t="s">
        <v>34</v>
      </c>
      <c r="U782" t="s">
        <v>78</v>
      </c>
      <c r="V782">
        <v>50</v>
      </c>
      <c r="W782">
        <v>81</v>
      </c>
      <c r="X782">
        <v>121</v>
      </c>
      <c r="Y782">
        <v>87</v>
      </c>
      <c r="Z782">
        <v>190</v>
      </c>
      <c r="AA782">
        <v>149</v>
      </c>
      <c r="AB782" t="s">
        <v>271</v>
      </c>
      <c r="AC782" t="s">
        <v>212</v>
      </c>
      <c r="AD782" t="s">
        <v>182</v>
      </c>
      <c r="AE782" t="s">
        <v>183</v>
      </c>
      <c r="AF782">
        <v>0</v>
      </c>
    </row>
    <row r="783" spans="1:32">
      <c r="A783">
        <v>235</v>
      </c>
      <c r="B783">
        <v>1024</v>
      </c>
      <c r="C783" t="s">
        <v>1827</v>
      </c>
      <c r="D783" t="s">
        <v>747</v>
      </c>
      <c r="E783" t="s">
        <v>2165</v>
      </c>
      <c r="F783" t="s">
        <v>197</v>
      </c>
      <c r="G783" t="s">
        <v>1932</v>
      </c>
      <c r="H783" t="s">
        <v>212</v>
      </c>
      <c r="I783" t="s">
        <v>192</v>
      </c>
      <c r="J783" t="s">
        <v>212</v>
      </c>
      <c r="K783" t="s">
        <v>1828</v>
      </c>
      <c r="L783" s="84">
        <v>43228</v>
      </c>
      <c r="M783" t="s">
        <v>381</v>
      </c>
      <c r="N783" t="s">
        <v>665</v>
      </c>
      <c r="O783">
        <v>1</v>
      </c>
      <c r="P783" t="s">
        <v>1829</v>
      </c>
      <c r="Q783" t="s">
        <v>1830</v>
      </c>
      <c r="R783" t="s">
        <v>2093</v>
      </c>
      <c r="S783" t="s">
        <v>2094</v>
      </c>
      <c r="T783" t="s">
        <v>38</v>
      </c>
      <c r="U783" t="s">
        <v>78</v>
      </c>
      <c r="V783">
        <v>50</v>
      </c>
      <c r="W783">
        <v>81</v>
      </c>
      <c r="X783">
        <v>121</v>
      </c>
      <c r="Y783">
        <v>87</v>
      </c>
      <c r="Z783">
        <v>190</v>
      </c>
      <c r="AA783">
        <v>149</v>
      </c>
      <c r="AB783" t="s">
        <v>271</v>
      </c>
      <c r="AC783" t="s">
        <v>212</v>
      </c>
      <c r="AD783" t="s">
        <v>182</v>
      </c>
      <c r="AE783" t="s">
        <v>183</v>
      </c>
      <c r="AF783">
        <v>0</v>
      </c>
    </row>
    <row r="784" spans="1:32">
      <c r="A784">
        <v>235</v>
      </c>
      <c r="B784">
        <v>1024</v>
      </c>
      <c r="C784" t="s">
        <v>1827</v>
      </c>
      <c r="D784" t="s">
        <v>747</v>
      </c>
      <c r="E784" t="s">
        <v>2165</v>
      </c>
      <c r="F784" t="s">
        <v>37</v>
      </c>
      <c r="G784" t="s">
        <v>2882</v>
      </c>
      <c r="H784" t="s">
        <v>212</v>
      </c>
      <c r="I784" t="s">
        <v>212</v>
      </c>
      <c r="J784" t="s">
        <v>212</v>
      </c>
      <c r="K784" t="s">
        <v>1828</v>
      </c>
      <c r="L784" s="84">
        <v>43228</v>
      </c>
      <c r="M784" t="s">
        <v>381</v>
      </c>
      <c r="N784" t="s">
        <v>665</v>
      </c>
      <c r="O784">
        <v>1</v>
      </c>
      <c r="P784" t="s">
        <v>1829</v>
      </c>
      <c r="Q784" t="s">
        <v>1830</v>
      </c>
      <c r="R784" t="s">
        <v>2093</v>
      </c>
      <c r="S784" t="s">
        <v>2094</v>
      </c>
      <c r="T784" t="s">
        <v>37</v>
      </c>
      <c r="U784" t="s">
        <v>78</v>
      </c>
      <c r="V784">
        <v>50</v>
      </c>
      <c r="W784">
        <v>81</v>
      </c>
      <c r="X784">
        <v>121</v>
      </c>
      <c r="Y784">
        <v>87</v>
      </c>
      <c r="Z784">
        <v>190</v>
      </c>
      <c r="AA784">
        <v>149</v>
      </c>
      <c r="AB784" t="s">
        <v>271</v>
      </c>
      <c r="AC784" t="s">
        <v>212</v>
      </c>
      <c r="AD784" t="s">
        <v>182</v>
      </c>
      <c r="AE784" t="s">
        <v>183</v>
      </c>
      <c r="AF784">
        <v>0</v>
      </c>
    </row>
    <row r="785" spans="1:32">
      <c r="A785">
        <v>235</v>
      </c>
      <c r="B785">
        <v>1024</v>
      </c>
      <c r="C785" t="s">
        <v>1827</v>
      </c>
      <c r="D785" t="s">
        <v>747</v>
      </c>
      <c r="E785" t="s">
        <v>2165</v>
      </c>
      <c r="F785" t="s">
        <v>193</v>
      </c>
      <c r="G785" t="s">
        <v>2147</v>
      </c>
      <c r="H785" t="s">
        <v>212</v>
      </c>
      <c r="I785" t="s">
        <v>212</v>
      </c>
      <c r="J785" t="s">
        <v>192</v>
      </c>
      <c r="K785" t="s">
        <v>1828</v>
      </c>
      <c r="L785" s="84">
        <v>43228</v>
      </c>
      <c r="M785" t="s">
        <v>381</v>
      </c>
      <c r="N785" t="s">
        <v>665</v>
      </c>
      <c r="O785">
        <v>1</v>
      </c>
      <c r="P785" t="s">
        <v>1829</v>
      </c>
      <c r="Q785" t="s">
        <v>1830</v>
      </c>
      <c r="R785" t="s">
        <v>2093</v>
      </c>
      <c r="S785" t="s">
        <v>2094</v>
      </c>
      <c r="T785" t="s">
        <v>36</v>
      </c>
      <c r="U785" t="s">
        <v>78</v>
      </c>
      <c r="V785">
        <v>50</v>
      </c>
      <c r="W785">
        <v>81</v>
      </c>
      <c r="X785">
        <v>121</v>
      </c>
      <c r="Y785">
        <v>87</v>
      </c>
      <c r="Z785">
        <v>190</v>
      </c>
      <c r="AA785">
        <v>149</v>
      </c>
      <c r="AB785" t="s">
        <v>271</v>
      </c>
      <c r="AC785" t="s">
        <v>212</v>
      </c>
      <c r="AD785" t="s">
        <v>182</v>
      </c>
      <c r="AE785" t="s">
        <v>183</v>
      </c>
      <c r="AF785">
        <v>0</v>
      </c>
    </row>
    <row r="786" spans="1:32">
      <c r="A786">
        <v>236</v>
      </c>
      <c r="B786">
        <v>1136</v>
      </c>
      <c r="C786" t="s">
        <v>2539</v>
      </c>
      <c r="D786" t="s">
        <v>747</v>
      </c>
      <c r="E786" t="s">
        <v>2165</v>
      </c>
      <c r="F786" t="s">
        <v>193</v>
      </c>
      <c r="G786" t="s">
        <v>2148</v>
      </c>
      <c r="H786" t="s">
        <v>212</v>
      </c>
      <c r="I786" t="s">
        <v>212</v>
      </c>
      <c r="J786" t="s">
        <v>192</v>
      </c>
      <c r="K786" t="s">
        <v>2540</v>
      </c>
      <c r="L786" s="84">
        <v>42964</v>
      </c>
      <c r="M786" t="s">
        <v>381</v>
      </c>
      <c r="N786" t="s">
        <v>2541</v>
      </c>
      <c r="O786">
        <v>2</v>
      </c>
      <c r="P786" t="s">
        <v>2542</v>
      </c>
      <c r="Q786" t="s">
        <v>2543</v>
      </c>
      <c r="R786" t="s">
        <v>2544</v>
      </c>
      <c r="S786" t="s">
        <v>2545</v>
      </c>
      <c r="T786" t="s">
        <v>36</v>
      </c>
      <c r="U786" t="s">
        <v>79</v>
      </c>
      <c r="V786">
        <v>53</v>
      </c>
      <c r="W786">
        <v>81</v>
      </c>
      <c r="X786">
        <v>121</v>
      </c>
      <c r="Y786">
        <v>85</v>
      </c>
      <c r="Z786">
        <v>190</v>
      </c>
      <c r="AA786">
        <v>139</v>
      </c>
      <c r="AB786" t="s">
        <v>413</v>
      </c>
      <c r="AC786" t="s">
        <v>192</v>
      </c>
      <c r="AD786" t="s">
        <v>210</v>
      </c>
      <c r="AE786" t="s">
        <v>183</v>
      </c>
      <c r="AF786">
        <v>0</v>
      </c>
    </row>
    <row r="787" spans="1:32">
      <c r="A787">
        <v>236</v>
      </c>
      <c r="B787">
        <v>1136</v>
      </c>
      <c r="C787" t="s">
        <v>2539</v>
      </c>
      <c r="D787" t="s">
        <v>747</v>
      </c>
      <c r="E787" t="s">
        <v>2165</v>
      </c>
      <c r="F787" t="s">
        <v>37</v>
      </c>
      <c r="G787" t="s">
        <v>2883</v>
      </c>
      <c r="H787" t="s">
        <v>212</v>
      </c>
      <c r="I787" t="s">
        <v>212</v>
      </c>
      <c r="J787" t="s">
        <v>212</v>
      </c>
      <c r="K787" t="s">
        <v>2540</v>
      </c>
      <c r="L787" s="84">
        <v>42964</v>
      </c>
      <c r="M787" t="s">
        <v>381</v>
      </c>
      <c r="N787" t="s">
        <v>2541</v>
      </c>
      <c r="O787">
        <v>2</v>
      </c>
      <c r="P787" t="s">
        <v>2542</v>
      </c>
      <c r="Q787" t="s">
        <v>2543</v>
      </c>
      <c r="R787" t="s">
        <v>2544</v>
      </c>
      <c r="S787" t="s">
        <v>2545</v>
      </c>
      <c r="T787" t="s">
        <v>37</v>
      </c>
      <c r="U787" t="s">
        <v>79</v>
      </c>
      <c r="V787">
        <v>53</v>
      </c>
      <c r="W787">
        <v>81</v>
      </c>
      <c r="X787">
        <v>121</v>
      </c>
      <c r="Y787">
        <v>85</v>
      </c>
      <c r="Z787">
        <v>190</v>
      </c>
      <c r="AA787">
        <v>139</v>
      </c>
      <c r="AB787" t="s">
        <v>413</v>
      </c>
      <c r="AC787" t="s">
        <v>192</v>
      </c>
      <c r="AD787" t="s">
        <v>210</v>
      </c>
      <c r="AE787" t="s">
        <v>183</v>
      </c>
      <c r="AF787">
        <v>0</v>
      </c>
    </row>
    <row r="788" spans="1:32">
      <c r="A788">
        <v>236</v>
      </c>
      <c r="B788">
        <v>1136</v>
      </c>
      <c r="C788" t="s">
        <v>2539</v>
      </c>
      <c r="D788" t="s">
        <v>747</v>
      </c>
      <c r="E788" t="s">
        <v>2165</v>
      </c>
      <c r="F788" t="s">
        <v>197</v>
      </c>
      <c r="G788" t="s">
        <v>1935</v>
      </c>
      <c r="H788" t="s">
        <v>212</v>
      </c>
      <c r="I788" t="s">
        <v>192</v>
      </c>
      <c r="J788" t="s">
        <v>192</v>
      </c>
      <c r="K788" t="s">
        <v>2540</v>
      </c>
      <c r="L788" s="84">
        <v>42964</v>
      </c>
      <c r="M788" t="s">
        <v>381</v>
      </c>
      <c r="N788" t="s">
        <v>2541</v>
      </c>
      <c r="O788">
        <v>2</v>
      </c>
      <c r="P788" t="s">
        <v>2542</v>
      </c>
      <c r="Q788" t="s">
        <v>2543</v>
      </c>
      <c r="R788" t="s">
        <v>2544</v>
      </c>
      <c r="S788" t="s">
        <v>2545</v>
      </c>
      <c r="T788" t="s">
        <v>38</v>
      </c>
      <c r="U788" t="s">
        <v>79</v>
      </c>
      <c r="V788">
        <v>53</v>
      </c>
      <c r="W788">
        <v>81</v>
      </c>
      <c r="X788">
        <v>121</v>
      </c>
      <c r="Y788">
        <v>85</v>
      </c>
      <c r="Z788">
        <v>190</v>
      </c>
      <c r="AA788">
        <v>139</v>
      </c>
      <c r="AB788" t="s">
        <v>413</v>
      </c>
      <c r="AC788" t="s">
        <v>192</v>
      </c>
      <c r="AD788" t="s">
        <v>210</v>
      </c>
      <c r="AE788" t="s">
        <v>183</v>
      </c>
      <c r="AF788">
        <v>0</v>
      </c>
    </row>
    <row r="789" spans="1:32">
      <c r="A789">
        <v>236</v>
      </c>
      <c r="B789">
        <v>1136</v>
      </c>
      <c r="C789" t="s">
        <v>2539</v>
      </c>
      <c r="D789" t="s">
        <v>747</v>
      </c>
      <c r="E789" t="s">
        <v>2165</v>
      </c>
      <c r="F789" t="s">
        <v>6</v>
      </c>
      <c r="G789" t="s">
        <v>1934</v>
      </c>
      <c r="H789" t="s">
        <v>256</v>
      </c>
      <c r="I789" t="s">
        <v>185</v>
      </c>
      <c r="J789" t="s">
        <v>212</v>
      </c>
      <c r="K789" t="s">
        <v>2540</v>
      </c>
      <c r="L789" s="84">
        <v>42964</v>
      </c>
      <c r="M789" t="s">
        <v>381</v>
      </c>
      <c r="N789" t="s">
        <v>2541</v>
      </c>
      <c r="O789">
        <v>2</v>
      </c>
      <c r="P789" t="s">
        <v>2542</v>
      </c>
      <c r="Q789" t="s">
        <v>2543</v>
      </c>
      <c r="R789" t="s">
        <v>2544</v>
      </c>
      <c r="S789" t="s">
        <v>2545</v>
      </c>
      <c r="T789" t="s">
        <v>34</v>
      </c>
      <c r="U789" t="s">
        <v>79</v>
      </c>
      <c r="V789">
        <v>53</v>
      </c>
      <c r="W789">
        <v>81</v>
      </c>
      <c r="X789">
        <v>121</v>
      </c>
      <c r="Y789">
        <v>85</v>
      </c>
      <c r="Z789">
        <v>190</v>
      </c>
      <c r="AA789">
        <v>139</v>
      </c>
      <c r="AB789" t="s">
        <v>413</v>
      </c>
      <c r="AC789" t="s">
        <v>192</v>
      </c>
      <c r="AD789" t="s">
        <v>210</v>
      </c>
      <c r="AE789" t="s">
        <v>183</v>
      </c>
      <c r="AF789">
        <v>0</v>
      </c>
    </row>
    <row r="790" spans="1:32">
      <c r="A790">
        <v>236</v>
      </c>
      <c r="B790">
        <v>1136</v>
      </c>
      <c r="C790" t="s">
        <v>2539</v>
      </c>
      <c r="D790" t="s">
        <v>747</v>
      </c>
      <c r="E790" t="s">
        <v>2165</v>
      </c>
      <c r="F790" t="s">
        <v>7</v>
      </c>
      <c r="G790" t="s">
        <v>1938</v>
      </c>
      <c r="H790" t="s">
        <v>237</v>
      </c>
      <c r="I790" t="s">
        <v>218</v>
      </c>
      <c r="J790" t="s">
        <v>239</v>
      </c>
      <c r="K790" t="s">
        <v>2540</v>
      </c>
      <c r="L790" s="84">
        <v>42964</v>
      </c>
      <c r="M790" t="s">
        <v>381</v>
      </c>
      <c r="N790" t="s">
        <v>2541</v>
      </c>
      <c r="O790">
        <v>2</v>
      </c>
      <c r="P790" t="s">
        <v>2542</v>
      </c>
      <c r="Q790" t="s">
        <v>2543</v>
      </c>
      <c r="R790" t="s">
        <v>2544</v>
      </c>
      <c r="S790" t="s">
        <v>2545</v>
      </c>
      <c r="T790" t="s">
        <v>32</v>
      </c>
      <c r="U790" t="s">
        <v>79</v>
      </c>
      <c r="V790">
        <v>53</v>
      </c>
      <c r="W790">
        <v>81</v>
      </c>
      <c r="X790">
        <v>121</v>
      </c>
      <c r="Y790">
        <v>85</v>
      </c>
      <c r="Z790">
        <v>190</v>
      </c>
      <c r="AA790">
        <v>139</v>
      </c>
      <c r="AB790" t="s">
        <v>413</v>
      </c>
      <c r="AC790" t="s">
        <v>192</v>
      </c>
      <c r="AD790" t="s">
        <v>210</v>
      </c>
      <c r="AE790" t="s">
        <v>183</v>
      </c>
      <c r="AF790">
        <v>0</v>
      </c>
    </row>
    <row r="791" spans="1:32">
      <c r="A791">
        <v>236</v>
      </c>
      <c r="B791">
        <v>1136</v>
      </c>
      <c r="C791" t="s">
        <v>2539</v>
      </c>
      <c r="D791" t="s">
        <v>747</v>
      </c>
      <c r="E791" t="s">
        <v>2165</v>
      </c>
      <c r="F791" t="s">
        <v>8</v>
      </c>
      <c r="G791" t="s">
        <v>1937</v>
      </c>
      <c r="H791" t="s">
        <v>236</v>
      </c>
      <c r="I791" t="s">
        <v>191</v>
      </c>
      <c r="J791" t="s">
        <v>223</v>
      </c>
      <c r="K791" t="s">
        <v>2540</v>
      </c>
      <c r="L791" s="84">
        <v>42964</v>
      </c>
      <c r="M791" t="s">
        <v>381</v>
      </c>
      <c r="N791" t="s">
        <v>2541</v>
      </c>
      <c r="O791">
        <v>2</v>
      </c>
      <c r="P791" t="s">
        <v>2542</v>
      </c>
      <c r="Q791" t="s">
        <v>2543</v>
      </c>
      <c r="R791" t="s">
        <v>2544</v>
      </c>
      <c r="S791" t="s">
        <v>2545</v>
      </c>
      <c r="T791" t="s">
        <v>31</v>
      </c>
      <c r="U791" t="s">
        <v>79</v>
      </c>
      <c r="V791">
        <v>53</v>
      </c>
      <c r="W791">
        <v>81</v>
      </c>
      <c r="X791">
        <v>121</v>
      </c>
      <c r="Y791">
        <v>85</v>
      </c>
      <c r="Z791">
        <v>190</v>
      </c>
      <c r="AA791">
        <v>139</v>
      </c>
      <c r="AB791" t="s">
        <v>413</v>
      </c>
      <c r="AC791" t="s">
        <v>192</v>
      </c>
      <c r="AD791" t="s">
        <v>210</v>
      </c>
      <c r="AE791" t="s">
        <v>183</v>
      </c>
      <c r="AF791">
        <v>0</v>
      </c>
    </row>
    <row r="792" spans="1:32">
      <c r="A792">
        <v>236</v>
      </c>
      <c r="B792">
        <v>1136</v>
      </c>
      <c r="C792" t="s">
        <v>2539</v>
      </c>
      <c r="D792" t="s">
        <v>747</v>
      </c>
      <c r="E792" t="s">
        <v>2165</v>
      </c>
      <c r="F792" t="s">
        <v>5</v>
      </c>
      <c r="G792" t="s">
        <v>1936</v>
      </c>
      <c r="H792" t="s">
        <v>260</v>
      </c>
      <c r="I792" t="s">
        <v>239</v>
      </c>
      <c r="J792" t="s">
        <v>297</v>
      </c>
      <c r="K792" t="s">
        <v>2540</v>
      </c>
      <c r="L792" s="84">
        <v>42964</v>
      </c>
      <c r="M792" t="s">
        <v>381</v>
      </c>
      <c r="N792" t="s">
        <v>2541</v>
      </c>
      <c r="O792">
        <v>2</v>
      </c>
      <c r="P792" t="s">
        <v>2542</v>
      </c>
      <c r="Q792" t="s">
        <v>2543</v>
      </c>
      <c r="R792" t="s">
        <v>2544</v>
      </c>
      <c r="S792" t="s">
        <v>2545</v>
      </c>
      <c r="T792" t="s">
        <v>33</v>
      </c>
      <c r="U792" t="s">
        <v>79</v>
      </c>
      <c r="V792">
        <v>53</v>
      </c>
      <c r="W792">
        <v>81</v>
      </c>
      <c r="X792">
        <v>121</v>
      </c>
      <c r="Y792">
        <v>85</v>
      </c>
      <c r="Z792">
        <v>190</v>
      </c>
      <c r="AA792">
        <v>139</v>
      </c>
      <c r="AB792" t="s">
        <v>413</v>
      </c>
      <c r="AC792" t="s">
        <v>192</v>
      </c>
      <c r="AD792" t="s">
        <v>210</v>
      </c>
      <c r="AE792" t="s">
        <v>183</v>
      </c>
      <c r="AF792">
        <v>0</v>
      </c>
    </row>
    <row r="793" spans="1:32">
      <c r="A793">
        <v>237</v>
      </c>
      <c r="B793">
        <v>863</v>
      </c>
      <c r="C793" t="s">
        <v>1831</v>
      </c>
      <c r="D793" t="s">
        <v>747</v>
      </c>
      <c r="E793" t="s">
        <v>2165</v>
      </c>
      <c r="F793" t="s">
        <v>5</v>
      </c>
      <c r="G793" t="s">
        <v>1941</v>
      </c>
      <c r="H793" t="s">
        <v>171</v>
      </c>
      <c r="I793" t="s">
        <v>188</v>
      </c>
      <c r="J793" t="s">
        <v>212</v>
      </c>
      <c r="K793" t="s">
        <v>1832</v>
      </c>
      <c r="L793" s="84">
        <v>42756</v>
      </c>
      <c r="M793" t="s">
        <v>381</v>
      </c>
      <c r="N793" t="s">
        <v>1833</v>
      </c>
      <c r="O793">
        <v>3</v>
      </c>
      <c r="P793" t="s">
        <v>1834</v>
      </c>
      <c r="Q793" t="s">
        <v>1835</v>
      </c>
      <c r="R793" t="s">
        <v>1836</v>
      </c>
      <c r="S793" t="s">
        <v>1837</v>
      </c>
      <c r="T793" t="s">
        <v>33</v>
      </c>
      <c r="U793" t="s">
        <v>80</v>
      </c>
      <c r="V793">
        <v>76</v>
      </c>
      <c r="W793">
        <v>81</v>
      </c>
      <c r="X793">
        <v>121</v>
      </c>
      <c r="Y793">
        <v>112</v>
      </c>
      <c r="Z793">
        <v>190</v>
      </c>
      <c r="AA793">
        <v>180</v>
      </c>
      <c r="AB793" t="s">
        <v>234</v>
      </c>
      <c r="AC793" t="s">
        <v>223</v>
      </c>
      <c r="AD793" t="s">
        <v>182</v>
      </c>
      <c r="AE793" t="s">
        <v>183</v>
      </c>
      <c r="AF793">
        <v>1</v>
      </c>
    </row>
    <row r="794" spans="1:32">
      <c r="A794">
        <v>237</v>
      </c>
      <c r="B794">
        <v>863</v>
      </c>
      <c r="C794" t="s">
        <v>1831</v>
      </c>
      <c r="D794" t="s">
        <v>747</v>
      </c>
      <c r="E794" t="s">
        <v>2165</v>
      </c>
      <c r="F794" t="s">
        <v>8</v>
      </c>
      <c r="G794" t="s">
        <v>1940</v>
      </c>
      <c r="H794" t="s">
        <v>2049</v>
      </c>
      <c r="I794" t="s">
        <v>403</v>
      </c>
      <c r="J794" t="s">
        <v>227</v>
      </c>
      <c r="K794" t="s">
        <v>1832</v>
      </c>
      <c r="L794" s="84">
        <v>42756</v>
      </c>
      <c r="M794" t="s">
        <v>381</v>
      </c>
      <c r="N794" t="s">
        <v>1833</v>
      </c>
      <c r="O794">
        <v>3</v>
      </c>
      <c r="P794" t="s">
        <v>1834</v>
      </c>
      <c r="Q794" t="s">
        <v>1835</v>
      </c>
      <c r="R794" t="s">
        <v>1836</v>
      </c>
      <c r="S794" t="s">
        <v>1837</v>
      </c>
      <c r="T794" t="s">
        <v>31</v>
      </c>
      <c r="U794" t="s">
        <v>80</v>
      </c>
      <c r="V794">
        <v>76</v>
      </c>
      <c r="W794">
        <v>81</v>
      </c>
      <c r="X794">
        <v>121</v>
      </c>
      <c r="Y794">
        <v>112</v>
      </c>
      <c r="Z794">
        <v>190</v>
      </c>
      <c r="AA794">
        <v>180</v>
      </c>
      <c r="AB794" t="s">
        <v>234</v>
      </c>
      <c r="AC794" t="s">
        <v>223</v>
      </c>
      <c r="AD794" t="s">
        <v>182</v>
      </c>
      <c r="AE794" t="s">
        <v>2050</v>
      </c>
      <c r="AF794">
        <v>1</v>
      </c>
    </row>
    <row r="795" spans="1:32">
      <c r="A795">
        <v>237</v>
      </c>
      <c r="B795">
        <v>863</v>
      </c>
      <c r="C795" t="s">
        <v>1831</v>
      </c>
      <c r="D795" t="s">
        <v>747</v>
      </c>
      <c r="E795" t="s">
        <v>2165</v>
      </c>
      <c r="F795" t="s">
        <v>7</v>
      </c>
      <c r="G795" t="s">
        <v>1939</v>
      </c>
      <c r="H795" t="s">
        <v>173</v>
      </c>
      <c r="I795" t="s">
        <v>186</v>
      </c>
      <c r="J795" t="s">
        <v>462</v>
      </c>
      <c r="K795" t="s">
        <v>1832</v>
      </c>
      <c r="L795" s="84">
        <v>42756</v>
      </c>
      <c r="M795" t="s">
        <v>381</v>
      </c>
      <c r="N795" t="s">
        <v>1833</v>
      </c>
      <c r="O795">
        <v>3</v>
      </c>
      <c r="P795" t="s">
        <v>1834</v>
      </c>
      <c r="Q795" t="s">
        <v>1835</v>
      </c>
      <c r="R795" t="s">
        <v>1836</v>
      </c>
      <c r="S795" t="s">
        <v>1837</v>
      </c>
      <c r="T795" t="s">
        <v>32</v>
      </c>
      <c r="U795" t="s">
        <v>80</v>
      </c>
      <c r="V795">
        <v>76</v>
      </c>
      <c r="W795">
        <v>81</v>
      </c>
      <c r="X795">
        <v>121</v>
      </c>
      <c r="Y795">
        <v>112</v>
      </c>
      <c r="Z795">
        <v>190</v>
      </c>
      <c r="AA795">
        <v>180</v>
      </c>
      <c r="AB795" t="s">
        <v>234</v>
      </c>
      <c r="AC795" t="s">
        <v>223</v>
      </c>
      <c r="AD795" t="s">
        <v>182</v>
      </c>
      <c r="AE795" t="s">
        <v>183</v>
      </c>
      <c r="AF795">
        <v>1</v>
      </c>
    </row>
    <row r="796" spans="1:32">
      <c r="A796">
        <v>237</v>
      </c>
      <c r="B796">
        <v>863</v>
      </c>
      <c r="C796" t="s">
        <v>1831</v>
      </c>
      <c r="D796" t="s">
        <v>747</v>
      </c>
      <c r="E796" t="s">
        <v>2165</v>
      </c>
      <c r="F796" t="s">
        <v>6</v>
      </c>
      <c r="G796" t="s">
        <v>1943</v>
      </c>
      <c r="H796" t="s">
        <v>181</v>
      </c>
      <c r="I796" t="s">
        <v>186</v>
      </c>
      <c r="J796" t="s">
        <v>324</v>
      </c>
      <c r="K796" t="s">
        <v>1832</v>
      </c>
      <c r="L796" s="84">
        <v>42756</v>
      </c>
      <c r="M796" t="s">
        <v>381</v>
      </c>
      <c r="N796" t="s">
        <v>1833</v>
      </c>
      <c r="O796">
        <v>3</v>
      </c>
      <c r="P796" t="s">
        <v>1834</v>
      </c>
      <c r="Q796" t="s">
        <v>1835</v>
      </c>
      <c r="R796" t="s">
        <v>1836</v>
      </c>
      <c r="S796" t="s">
        <v>1837</v>
      </c>
      <c r="T796" t="s">
        <v>34</v>
      </c>
      <c r="U796" t="s">
        <v>80</v>
      </c>
      <c r="V796">
        <v>76</v>
      </c>
      <c r="W796">
        <v>81</v>
      </c>
      <c r="X796">
        <v>121</v>
      </c>
      <c r="Y796">
        <v>112</v>
      </c>
      <c r="Z796">
        <v>190</v>
      </c>
      <c r="AA796">
        <v>180</v>
      </c>
      <c r="AB796" t="s">
        <v>234</v>
      </c>
      <c r="AC796" t="s">
        <v>223</v>
      </c>
      <c r="AD796" t="s">
        <v>182</v>
      </c>
      <c r="AE796" t="s">
        <v>183</v>
      </c>
      <c r="AF796">
        <v>1</v>
      </c>
    </row>
    <row r="797" spans="1:32">
      <c r="A797">
        <v>237</v>
      </c>
      <c r="B797">
        <v>863</v>
      </c>
      <c r="C797" t="s">
        <v>1831</v>
      </c>
      <c r="D797" t="s">
        <v>747</v>
      </c>
      <c r="E797" t="s">
        <v>2165</v>
      </c>
      <c r="F797" t="s">
        <v>197</v>
      </c>
      <c r="G797" t="s">
        <v>1942</v>
      </c>
      <c r="H797" t="s">
        <v>212</v>
      </c>
      <c r="I797" t="s">
        <v>188</v>
      </c>
      <c r="J797" t="s">
        <v>212</v>
      </c>
      <c r="K797" t="s">
        <v>1832</v>
      </c>
      <c r="L797" s="84">
        <v>42756</v>
      </c>
      <c r="M797" t="s">
        <v>381</v>
      </c>
      <c r="N797" t="s">
        <v>1833</v>
      </c>
      <c r="O797">
        <v>3</v>
      </c>
      <c r="P797" t="s">
        <v>1834</v>
      </c>
      <c r="Q797" t="s">
        <v>1835</v>
      </c>
      <c r="R797" t="s">
        <v>1836</v>
      </c>
      <c r="S797" t="s">
        <v>1837</v>
      </c>
      <c r="T797" t="s">
        <v>38</v>
      </c>
      <c r="U797" t="s">
        <v>80</v>
      </c>
      <c r="V797">
        <v>76</v>
      </c>
      <c r="W797">
        <v>81</v>
      </c>
      <c r="X797">
        <v>121</v>
      </c>
      <c r="Y797">
        <v>112</v>
      </c>
      <c r="Z797">
        <v>190</v>
      </c>
      <c r="AA797">
        <v>180</v>
      </c>
      <c r="AB797" t="s">
        <v>234</v>
      </c>
      <c r="AC797" t="s">
        <v>223</v>
      </c>
      <c r="AD797" t="s">
        <v>182</v>
      </c>
      <c r="AE797" t="s">
        <v>183</v>
      </c>
      <c r="AF797">
        <v>1</v>
      </c>
    </row>
    <row r="798" spans="1:32">
      <c r="A798">
        <v>237</v>
      </c>
      <c r="B798">
        <v>863</v>
      </c>
      <c r="C798" t="s">
        <v>1831</v>
      </c>
      <c r="D798" t="s">
        <v>747</v>
      </c>
      <c r="E798" t="s">
        <v>2165</v>
      </c>
      <c r="F798" t="s">
        <v>37</v>
      </c>
      <c r="G798" t="s">
        <v>2884</v>
      </c>
      <c r="H798" t="s">
        <v>212</v>
      </c>
      <c r="I798" t="s">
        <v>212</v>
      </c>
      <c r="J798" t="s">
        <v>212</v>
      </c>
      <c r="K798" t="s">
        <v>1832</v>
      </c>
      <c r="L798" s="84">
        <v>42756</v>
      </c>
      <c r="M798" t="s">
        <v>381</v>
      </c>
      <c r="N798" t="s">
        <v>1833</v>
      </c>
      <c r="O798">
        <v>3</v>
      </c>
      <c r="P798" t="s">
        <v>1834</v>
      </c>
      <c r="Q798" t="s">
        <v>1835</v>
      </c>
      <c r="R798" t="s">
        <v>1836</v>
      </c>
      <c r="S798" t="s">
        <v>1837</v>
      </c>
      <c r="T798" t="s">
        <v>37</v>
      </c>
      <c r="U798" t="s">
        <v>80</v>
      </c>
      <c r="V798">
        <v>76</v>
      </c>
      <c r="W798">
        <v>81</v>
      </c>
      <c r="X798">
        <v>121</v>
      </c>
      <c r="Y798">
        <v>112</v>
      </c>
      <c r="Z798">
        <v>190</v>
      </c>
      <c r="AA798">
        <v>180</v>
      </c>
      <c r="AB798" t="s">
        <v>234</v>
      </c>
      <c r="AC798" t="s">
        <v>223</v>
      </c>
      <c r="AD798" t="s">
        <v>182</v>
      </c>
      <c r="AE798" t="s">
        <v>183</v>
      </c>
      <c r="AF798">
        <v>1</v>
      </c>
    </row>
    <row r="799" spans="1:32">
      <c r="A799">
        <v>237</v>
      </c>
      <c r="B799">
        <v>863</v>
      </c>
      <c r="C799" t="s">
        <v>1831</v>
      </c>
      <c r="D799" t="s">
        <v>747</v>
      </c>
      <c r="E799" t="s">
        <v>2165</v>
      </c>
      <c r="F799" t="s">
        <v>193</v>
      </c>
      <c r="G799" t="s">
        <v>2149</v>
      </c>
      <c r="H799" t="s">
        <v>212</v>
      </c>
      <c r="I799" t="s">
        <v>212</v>
      </c>
      <c r="J799" t="s">
        <v>192</v>
      </c>
      <c r="K799" t="s">
        <v>1832</v>
      </c>
      <c r="L799" s="84">
        <v>42756</v>
      </c>
      <c r="M799" t="s">
        <v>381</v>
      </c>
      <c r="N799" t="s">
        <v>1833</v>
      </c>
      <c r="O799">
        <v>3</v>
      </c>
      <c r="P799" t="s">
        <v>1834</v>
      </c>
      <c r="Q799" t="s">
        <v>1835</v>
      </c>
      <c r="R799" t="s">
        <v>1836</v>
      </c>
      <c r="S799" t="s">
        <v>1837</v>
      </c>
      <c r="T799" t="s">
        <v>36</v>
      </c>
      <c r="U799" t="s">
        <v>80</v>
      </c>
      <c r="V799">
        <v>76</v>
      </c>
      <c r="W799">
        <v>81</v>
      </c>
      <c r="X799">
        <v>121</v>
      </c>
      <c r="Y799">
        <v>112</v>
      </c>
      <c r="Z799">
        <v>190</v>
      </c>
      <c r="AA799">
        <v>180</v>
      </c>
      <c r="AB799" t="s">
        <v>234</v>
      </c>
      <c r="AC799" t="s">
        <v>223</v>
      </c>
      <c r="AD799" t="s">
        <v>182</v>
      </c>
      <c r="AE799" t="s">
        <v>183</v>
      </c>
      <c r="AF799">
        <v>1</v>
      </c>
    </row>
    <row r="800" spans="1:32">
      <c r="A800">
        <v>238</v>
      </c>
      <c r="B800">
        <v>1008</v>
      </c>
      <c r="C800" t="s">
        <v>1838</v>
      </c>
      <c r="D800" t="s">
        <v>747</v>
      </c>
      <c r="E800" t="s">
        <v>2165</v>
      </c>
      <c r="F800" t="s">
        <v>193</v>
      </c>
      <c r="G800" t="s">
        <v>2150</v>
      </c>
      <c r="H800" t="s">
        <v>212</v>
      </c>
      <c r="I800" t="s">
        <v>212</v>
      </c>
      <c r="J800" t="s">
        <v>192</v>
      </c>
      <c r="K800" t="s">
        <v>1839</v>
      </c>
      <c r="L800" s="84">
        <v>42881</v>
      </c>
      <c r="M800" t="s">
        <v>381</v>
      </c>
      <c r="N800" t="s">
        <v>1471</v>
      </c>
      <c r="O800">
        <v>2</v>
      </c>
      <c r="P800" t="s">
        <v>1840</v>
      </c>
      <c r="Q800" t="s">
        <v>1841</v>
      </c>
      <c r="R800" t="s">
        <v>2095</v>
      </c>
      <c r="S800" t="s">
        <v>2096</v>
      </c>
      <c r="T800" t="s">
        <v>36</v>
      </c>
      <c r="U800" t="s">
        <v>79</v>
      </c>
      <c r="V800">
        <v>62</v>
      </c>
      <c r="W800">
        <v>81</v>
      </c>
      <c r="X800">
        <v>121</v>
      </c>
      <c r="Y800">
        <v>98</v>
      </c>
      <c r="Z800">
        <v>190</v>
      </c>
      <c r="AA800">
        <v>154</v>
      </c>
      <c r="AB800" t="s">
        <v>805</v>
      </c>
      <c r="AC800" t="s">
        <v>259</v>
      </c>
      <c r="AD800" t="s">
        <v>182</v>
      </c>
      <c r="AE800" t="s">
        <v>183</v>
      </c>
      <c r="AF800">
        <v>0</v>
      </c>
    </row>
    <row r="801" spans="1:32">
      <c r="A801">
        <v>238</v>
      </c>
      <c r="B801">
        <v>1008</v>
      </c>
      <c r="C801" t="s">
        <v>1838</v>
      </c>
      <c r="D801" t="s">
        <v>747</v>
      </c>
      <c r="E801" t="s">
        <v>2165</v>
      </c>
      <c r="F801" t="s">
        <v>37</v>
      </c>
      <c r="G801" t="s">
        <v>2885</v>
      </c>
      <c r="H801" t="s">
        <v>212</v>
      </c>
      <c r="I801" t="s">
        <v>212</v>
      </c>
      <c r="J801" t="s">
        <v>212</v>
      </c>
      <c r="K801" t="s">
        <v>1839</v>
      </c>
      <c r="L801" s="84">
        <v>42881</v>
      </c>
      <c r="M801" t="s">
        <v>381</v>
      </c>
      <c r="N801" t="s">
        <v>1471</v>
      </c>
      <c r="O801">
        <v>2</v>
      </c>
      <c r="P801" t="s">
        <v>1840</v>
      </c>
      <c r="Q801" t="s">
        <v>1841</v>
      </c>
      <c r="R801" t="s">
        <v>2095</v>
      </c>
      <c r="S801" t="s">
        <v>2096</v>
      </c>
      <c r="T801" t="s">
        <v>37</v>
      </c>
      <c r="U801" t="s">
        <v>79</v>
      </c>
      <c r="V801">
        <v>62</v>
      </c>
      <c r="W801">
        <v>81</v>
      </c>
      <c r="X801">
        <v>121</v>
      </c>
      <c r="Y801">
        <v>98</v>
      </c>
      <c r="Z801">
        <v>190</v>
      </c>
      <c r="AA801">
        <v>154</v>
      </c>
      <c r="AB801" t="s">
        <v>805</v>
      </c>
      <c r="AC801" t="s">
        <v>259</v>
      </c>
      <c r="AD801" t="s">
        <v>182</v>
      </c>
      <c r="AE801" t="s">
        <v>183</v>
      </c>
      <c r="AF801">
        <v>0</v>
      </c>
    </row>
    <row r="802" spans="1:32">
      <c r="A802">
        <v>238</v>
      </c>
      <c r="B802">
        <v>1008</v>
      </c>
      <c r="C802" t="s">
        <v>1838</v>
      </c>
      <c r="D802" t="s">
        <v>747</v>
      </c>
      <c r="E802" t="s">
        <v>2165</v>
      </c>
      <c r="F802" t="s">
        <v>197</v>
      </c>
      <c r="G802" t="s">
        <v>1945</v>
      </c>
      <c r="H802" t="s">
        <v>212</v>
      </c>
      <c r="I802" t="s">
        <v>192</v>
      </c>
      <c r="J802" t="s">
        <v>212</v>
      </c>
      <c r="K802" t="s">
        <v>1839</v>
      </c>
      <c r="L802" s="84">
        <v>42881</v>
      </c>
      <c r="M802" t="s">
        <v>381</v>
      </c>
      <c r="N802" t="s">
        <v>1471</v>
      </c>
      <c r="O802">
        <v>2</v>
      </c>
      <c r="P802" t="s">
        <v>1840</v>
      </c>
      <c r="Q802" t="s">
        <v>1841</v>
      </c>
      <c r="R802" t="s">
        <v>2095</v>
      </c>
      <c r="S802" t="s">
        <v>2096</v>
      </c>
      <c r="T802" t="s">
        <v>38</v>
      </c>
      <c r="U802" t="s">
        <v>79</v>
      </c>
      <c r="V802">
        <v>62</v>
      </c>
      <c r="W802">
        <v>81</v>
      </c>
      <c r="X802">
        <v>121</v>
      </c>
      <c r="Y802">
        <v>98</v>
      </c>
      <c r="Z802">
        <v>190</v>
      </c>
      <c r="AA802">
        <v>154</v>
      </c>
      <c r="AB802" t="s">
        <v>805</v>
      </c>
      <c r="AC802" t="s">
        <v>259</v>
      </c>
      <c r="AD802" t="s">
        <v>182</v>
      </c>
      <c r="AE802" t="s">
        <v>183</v>
      </c>
      <c r="AF802">
        <v>0</v>
      </c>
    </row>
    <row r="803" spans="1:32">
      <c r="A803">
        <v>238</v>
      </c>
      <c r="B803">
        <v>1008</v>
      </c>
      <c r="C803" t="s">
        <v>1838</v>
      </c>
      <c r="D803" t="s">
        <v>747</v>
      </c>
      <c r="E803" t="s">
        <v>2165</v>
      </c>
      <c r="F803" t="s">
        <v>6</v>
      </c>
      <c r="G803" t="s">
        <v>1944</v>
      </c>
      <c r="H803" t="s">
        <v>237</v>
      </c>
      <c r="I803" t="s">
        <v>274</v>
      </c>
      <c r="J803" t="s">
        <v>192</v>
      </c>
      <c r="K803" t="s">
        <v>1839</v>
      </c>
      <c r="L803" s="84">
        <v>42881</v>
      </c>
      <c r="M803" t="s">
        <v>381</v>
      </c>
      <c r="N803" t="s">
        <v>1471</v>
      </c>
      <c r="O803">
        <v>2</v>
      </c>
      <c r="P803" t="s">
        <v>1840</v>
      </c>
      <c r="Q803" t="s">
        <v>1841</v>
      </c>
      <c r="R803" t="s">
        <v>2095</v>
      </c>
      <c r="S803" t="s">
        <v>2096</v>
      </c>
      <c r="T803" t="s">
        <v>34</v>
      </c>
      <c r="U803" t="s">
        <v>79</v>
      </c>
      <c r="V803">
        <v>62</v>
      </c>
      <c r="W803">
        <v>81</v>
      </c>
      <c r="X803">
        <v>121</v>
      </c>
      <c r="Y803">
        <v>98</v>
      </c>
      <c r="Z803">
        <v>190</v>
      </c>
      <c r="AA803">
        <v>154</v>
      </c>
      <c r="AB803" t="s">
        <v>805</v>
      </c>
      <c r="AC803" t="s">
        <v>259</v>
      </c>
      <c r="AD803" t="s">
        <v>182</v>
      </c>
      <c r="AE803" t="s">
        <v>183</v>
      </c>
      <c r="AF803">
        <v>0</v>
      </c>
    </row>
    <row r="804" spans="1:32">
      <c r="A804">
        <v>238</v>
      </c>
      <c r="B804">
        <v>1008</v>
      </c>
      <c r="C804" t="s">
        <v>1838</v>
      </c>
      <c r="D804" t="s">
        <v>747</v>
      </c>
      <c r="E804" t="s">
        <v>2165</v>
      </c>
      <c r="F804" t="s">
        <v>7</v>
      </c>
      <c r="G804" t="s">
        <v>1948</v>
      </c>
      <c r="H804" t="s">
        <v>223</v>
      </c>
      <c r="I804" t="s">
        <v>238</v>
      </c>
      <c r="J804" t="s">
        <v>221</v>
      </c>
      <c r="K804" t="s">
        <v>1839</v>
      </c>
      <c r="L804" s="84">
        <v>42881</v>
      </c>
      <c r="M804" t="s">
        <v>381</v>
      </c>
      <c r="N804" t="s">
        <v>1471</v>
      </c>
      <c r="O804">
        <v>2</v>
      </c>
      <c r="P804" t="s">
        <v>1840</v>
      </c>
      <c r="Q804" t="s">
        <v>1841</v>
      </c>
      <c r="R804" t="s">
        <v>2095</v>
      </c>
      <c r="S804" t="s">
        <v>2096</v>
      </c>
      <c r="T804" t="s">
        <v>32</v>
      </c>
      <c r="U804" t="s">
        <v>79</v>
      </c>
      <c r="V804">
        <v>62</v>
      </c>
      <c r="W804">
        <v>81</v>
      </c>
      <c r="X804">
        <v>121</v>
      </c>
      <c r="Y804">
        <v>98</v>
      </c>
      <c r="Z804">
        <v>190</v>
      </c>
      <c r="AA804">
        <v>154</v>
      </c>
      <c r="AB804" t="s">
        <v>805</v>
      </c>
      <c r="AC804" t="s">
        <v>259</v>
      </c>
      <c r="AD804" t="s">
        <v>182</v>
      </c>
      <c r="AE804" t="s">
        <v>183</v>
      </c>
      <c r="AF804">
        <v>0</v>
      </c>
    </row>
    <row r="805" spans="1:32">
      <c r="A805">
        <v>238</v>
      </c>
      <c r="B805">
        <v>1008</v>
      </c>
      <c r="C805" t="s">
        <v>1838</v>
      </c>
      <c r="D805" t="s">
        <v>747</v>
      </c>
      <c r="E805" t="s">
        <v>2165</v>
      </c>
      <c r="F805" t="s">
        <v>8</v>
      </c>
      <c r="G805" t="s">
        <v>1947</v>
      </c>
      <c r="H805" t="s">
        <v>221</v>
      </c>
      <c r="I805" t="s">
        <v>192</v>
      </c>
      <c r="J805" t="s">
        <v>171</v>
      </c>
      <c r="K805" t="s">
        <v>1839</v>
      </c>
      <c r="L805" s="84">
        <v>42881</v>
      </c>
      <c r="M805" t="s">
        <v>381</v>
      </c>
      <c r="N805" t="s">
        <v>1471</v>
      </c>
      <c r="O805">
        <v>2</v>
      </c>
      <c r="P805" t="s">
        <v>1840</v>
      </c>
      <c r="Q805" t="s">
        <v>1841</v>
      </c>
      <c r="R805" t="s">
        <v>2095</v>
      </c>
      <c r="S805" t="s">
        <v>2096</v>
      </c>
      <c r="T805" t="s">
        <v>31</v>
      </c>
      <c r="U805" t="s">
        <v>79</v>
      </c>
      <c r="V805">
        <v>62</v>
      </c>
      <c r="W805">
        <v>81</v>
      </c>
      <c r="X805">
        <v>121</v>
      </c>
      <c r="Y805">
        <v>98</v>
      </c>
      <c r="Z805">
        <v>190</v>
      </c>
      <c r="AA805">
        <v>154</v>
      </c>
      <c r="AB805" t="s">
        <v>805</v>
      </c>
      <c r="AC805" t="s">
        <v>259</v>
      </c>
      <c r="AD805" t="s">
        <v>182</v>
      </c>
      <c r="AE805" t="s">
        <v>183</v>
      </c>
      <c r="AF805">
        <v>0</v>
      </c>
    </row>
    <row r="806" spans="1:32">
      <c r="A806">
        <v>238</v>
      </c>
      <c r="B806">
        <v>1008</v>
      </c>
      <c r="C806" t="s">
        <v>1838</v>
      </c>
      <c r="D806" t="s">
        <v>747</v>
      </c>
      <c r="E806" t="s">
        <v>2165</v>
      </c>
      <c r="F806" t="s">
        <v>5</v>
      </c>
      <c r="G806" t="s">
        <v>1946</v>
      </c>
      <c r="H806" t="s">
        <v>171</v>
      </c>
      <c r="I806" t="s">
        <v>297</v>
      </c>
      <c r="J806" t="s">
        <v>216</v>
      </c>
      <c r="K806" t="s">
        <v>1839</v>
      </c>
      <c r="L806" s="84">
        <v>42881</v>
      </c>
      <c r="M806" t="s">
        <v>381</v>
      </c>
      <c r="N806" t="s">
        <v>1471</v>
      </c>
      <c r="O806">
        <v>2</v>
      </c>
      <c r="P806" t="s">
        <v>1840</v>
      </c>
      <c r="Q806" t="s">
        <v>1841</v>
      </c>
      <c r="R806" t="s">
        <v>2095</v>
      </c>
      <c r="S806" t="s">
        <v>2096</v>
      </c>
      <c r="T806" t="s">
        <v>33</v>
      </c>
      <c r="U806" t="s">
        <v>79</v>
      </c>
      <c r="V806">
        <v>62</v>
      </c>
      <c r="W806">
        <v>81</v>
      </c>
      <c r="X806">
        <v>121</v>
      </c>
      <c r="Y806">
        <v>98</v>
      </c>
      <c r="Z806">
        <v>190</v>
      </c>
      <c r="AA806">
        <v>154</v>
      </c>
      <c r="AB806" t="s">
        <v>805</v>
      </c>
      <c r="AC806" t="s">
        <v>259</v>
      </c>
      <c r="AD806" t="s">
        <v>182</v>
      </c>
      <c r="AE806" t="s">
        <v>183</v>
      </c>
      <c r="AF806">
        <v>0</v>
      </c>
    </row>
    <row r="807" spans="1:32">
      <c r="A807">
        <v>239</v>
      </c>
      <c r="B807">
        <v>1030</v>
      </c>
      <c r="C807" t="s">
        <v>1842</v>
      </c>
      <c r="D807" t="s">
        <v>747</v>
      </c>
      <c r="E807" t="s">
        <v>2165</v>
      </c>
      <c r="F807" t="s">
        <v>5</v>
      </c>
      <c r="G807" t="s">
        <v>1951</v>
      </c>
      <c r="H807" t="s">
        <v>238</v>
      </c>
      <c r="I807" t="s">
        <v>259</v>
      </c>
      <c r="J807" t="s">
        <v>497</v>
      </c>
      <c r="K807" t="s">
        <v>1843</v>
      </c>
      <c r="L807" s="84">
        <v>42678</v>
      </c>
      <c r="M807" t="s">
        <v>381</v>
      </c>
      <c r="N807" t="s">
        <v>1844</v>
      </c>
      <c r="O807">
        <v>3</v>
      </c>
      <c r="P807" t="s">
        <v>1845</v>
      </c>
      <c r="Q807" t="s">
        <v>1846</v>
      </c>
      <c r="R807" t="s">
        <v>2097</v>
      </c>
      <c r="S807" t="s">
        <v>2098</v>
      </c>
      <c r="T807" t="s">
        <v>33</v>
      </c>
      <c r="U807" t="s">
        <v>80</v>
      </c>
      <c r="V807">
        <v>58</v>
      </c>
      <c r="W807">
        <v>81</v>
      </c>
      <c r="X807">
        <v>121</v>
      </c>
      <c r="Y807">
        <v>92</v>
      </c>
      <c r="Z807">
        <v>190</v>
      </c>
      <c r="AA807">
        <v>157</v>
      </c>
      <c r="AB807" t="s">
        <v>303</v>
      </c>
      <c r="AC807" t="s">
        <v>171</v>
      </c>
      <c r="AD807" t="s">
        <v>210</v>
      </c>
      <c r="AE807" t="s">
        <v>183</v>
      </c>
      <c r="AF807">
        <v>0</v>
      </c>
    </row>
    <row r="808" spans="1:32">
      <c r="A808">
        <v>239</v>
      </c>
      <c r="B808">
        <v>1030</v>
      </c>
      <c r="C808" t="s">
        <v>1842</v>
      </c>
      <c r="D808" t="s">
        <v>747</v>
      </c>
      <c r="E808" t="s">
        <v>2165</v>
      </c>
      <c r="F808" t="s">
        <v>8</v>
      </c>
      <c r="G808" t="s">
        <v>1950</v>
      </c>
      <c r="H808" t="s">
        <v>274</v>
      </c>
      <c r="I808" t="s">
        <v>212</v>
      </c>
      <c r="J808" t="s">
        <v>185</v>
      </c>
      <c r="K808" t="s">
        <v>1843</v>
      </c>
      <c r="L808" s="84">
        <v>42678</v>
      </c>
      <c r="M808" t="s">
        <v>381</v>
      </c>
      <c r="N808" t="s">
        <v>1844</v>
      </c>
      <c r="O808">
        <v>3</v>
      </c>
      <c r="P808" t="s">
        <v>1845</v>
      </c>
      <c r="Q808" t="s">
        <v>1846</v>
      </c>
      <c r="R808" t="s">
        <v>2097</v>
      </c>
      <c r="S808" t="s">
        <v>2098</v>
      </c>
      <c r="T808" t="s">
        <v>31</v>
      </c>
      <c r="U808" t="s">
        <v>80</v>
      </c>
      <c r="V808">
        <v>58</v>
      </c>
      <c r="W808">
        <v>81</v>
      </c>
      <c r="X808">
        <v>121</v>
      </c>
      <c r="Y808">
        <v>92</v>
      </c>
      <c r="Z808">
        <v>190</v>
      </c>
      <c r="AA808">
        <v>157</v>
      </c>
      <c r="AB808" t="s">
        <v>303</v>
      </c>
      <c r="AC808" t="s">
        <v>171</v>
      </c>
      <c r="AD808" t="s">
        <v>210</v>
      </c>
      <c r="AE808" t="s">
        <v>183</v>
      </c>
      <c r="AF808">
        <v>0</v>
      </c>
    </row>
    <row r="809" spans="1:32">
      <c r="A809">
        <v>239</v>
      </c>
      <c r="B809">
        <v>1030</v>
      </c>
      <c r="C809" t="s">
        <v>1842</v>
      </c>
      <c r="D809" t="s">
        <v>747</v>
      </c>
      <c r="E809" t="s">
        <v>2165</v>
      </c>
      <c r="F809" t="s">
        <v>7</v>
      </c>
      <c r="G809" t="s">
        <v>1949</v>
      </c>
      <c r="H809" t="s">
        <v>228</v>
      </c>
      <c r="I809" t="s">
        <v>221</v>
      </c>
      <c r="J809" t="s">
        <v>274</v>
      </c>
      <c r="K809" t="s">
        <v>1843</v>
      </c>
      <c r="L809" s="84">
        <v>42678</v>
      </c>
      <c r="M809" t="s">
        <v>381</v>
      </c>
      <c r="N809" t="s">
        <v>1844</v>
      </c>
      <c r="O809">
        <v>3</v>
      </c>
      <c r="P809" t="s">
        <v>1845</v>
      </c>
      <c r="Q809" t="s">
        <v>1846</v>
      </c>
      <c r="R809" t="s">
        <v>2097</v>
      </c>
      <c r="S809" t="s">
        <v>2098</v>
      </c>
      <c r="T809" t="s">
        <v>32</v>
      </c>
      <c r="U809" t="s">
        <v>80</v>
      </c>
      <c r="V809">
        <v>58</v>
      </c>
      <c r="W809">
        <v>81</v>
      </c>
      <c r="X809">
        <v>121</v>
      </c>
      <c r="Y809">
        <v>92</v>
      </c>
      <c r="Z809">
        <v>190</v>
      </c>
      <c r="AA809">
        <v>157</v>
      </c>
      <c r="AB809" t="s">
        <v>303</v>
      </c>
      <c r="AC809" t="s">
        <v>171</v>
      </c>
      <c r="AD809" t="s">
        <v>210</v>
      </c>
      <c r="AE809" t="s">
        <v>183</v>
      </c>
      <c r="AF809">
        <v>0</v>
      </c>
    </row>
    <row r="810" spans="1:32">
      <c r="A810">
        <v>239</v>
      </c>
      <c r="B810">
        <v>1030</v>
      </c>
      <c r="C810" t="s">
        <v>1842</v>
      </c>
      <c r="D810" t="s">
        <v>747</v>
      </c>
      <c r="E810" t="s">
        <v>2165</v>
      </c>
      <c r="F810" t="s">
        <v>6</v>
      </c>
      <c r="G810" t="s">
        <v>1953</v>
      </c>
      <c r="H810" t="s">
        <v>223</v>
      </c>
      <c r="I810" t="s">
        <v>226</v>
      </c>
      <c r="J810" t="s">
        <v>191</v>
      </c>
      <c r="K810" t="s">
        <v>1843</v>
      </c>
      <c r="L810" s="84">
        <v>42678</v>
      </c>
      <c r="M810" t="s">
        <v>381</v>
      </c>
      <c r="N810" t="s">
        <v>1844</v>
      </c>
      <c r="O810">
        <v>3</v>
      </c>
      <c r="P810" t="s">
        <v>1845</v>
      </c>
      <c r="Q810" t="s">
        <v>1846</v>
      </c>
      <c r="R810" t="s">
        <v>2097</v>
      </c>
      <c r="S810" t="s">
        <v>2098</v>
      </c>
      <c r="T810" t="s">
        <v>34</v>
      </c>
      <c r="U810" t="s">
        <v>80</v>
      </c>
      <c r="V810">
        <v>58</v>
      </c>
      <c r="W810">
        <v>81</v>
      </c>
      <c r="X810">
        <v>121</v>
      </c>
      <c r="Y810">
        <v>92</v>
      </c>
      <c r="Z810">
        <v>190</v>
      </c>
      <c r="AA810">
        <v>157</v>
      </c>
      <c r="AB810" t="s">
        <v>303</v>
      </c>
      <c r="AC810" t="s">
        <v>171</v>
      </c>
      <c r="AD810" t="s">
        <v>210</v>
      </c>
      <c r="AE810" t="s">
        <v>183</v>
      </c>
      <c r="AF810">
        <v>0</v>
      </c>
    </row>
    <row r="811" spans="1:32">
      <c r="A811">
        <v>239</v>
      </c>
      <c r="B811">
        <v>1030</v>
      </c>
      <c r="C811" t="s">
        <v>1842</v>
      </c>
      <c r="D811" t="s">
        <v>747</v>
      </c>
      <c r="E811" t="s">
        <v>2165</v>
      </c>
      <c r="F811" t="s">
        <v>197</v>
      </c>
      <c r="G811" t="s">
        <v>1952</v>
      </c>
      <c r="H811" t="s">
        <v>212</v>
      </c>
      <c r="I811" t="s">
        <v>192</v>
      </c>
      <c r="J811" t="s">
        <v>192</v>
      </c>
      <c r="K811" t="s">
        <v>1843</v>
      </c>
      <c r="L811" s="84">
        <v>42678</v>
      </c>
      <c r="M811" t="s">
        <v>381</v>
      </c>
      <c r="N811" t="s">
        <v>1844</v>
      </c>
      <c r="O811">
        <v>3</v>
      </c>
      <c r="P811" t="s">
        <v>1845</v>
      </c>
      <c r="Q811" t="s">
        <v>1846</v>
      </c>
      <c r="R811" t="s">
        <v>2097</v>
      </c>
      <c r="S811" t="s">
        <v>2098</v>
      </c>
      <c r="T811" t="s">
        <v>38</v>
      </c>
      <c r="U811" t="s">
        <v>80</v>
      </c>
      <c r="V811">
        <v>58</v>
      </c>
      <c r="W811">
        <v>81</v>
      </c>
      <c r="X811">
        <v>121</v>
      </c>
      <c r="Y811">
        <v>92</v>
      </c>
      <c r="Z811">
        <v>190</v>
      </c>
      <c r="AA811">
        <v>157</v>
      </c>
      <c r="AB811" t="s">
        <v>303</v>
      </c>
      <c r="AC811" t="s">
        <v>171</v>
      </c>
      <c r="AD811" t="s">
        <v>210</v>
      </c>
      <c r="AE811" t="s">
        <v>183</v>
      </c>
      <c r="AF811">
        <v>0</v>
      </c>
    </row>
    <row r="812" spans="1:32">
      <c r="A812">
        <v>239</v>
      </c>
      <c r="B812">
        <v>1030</v>
      </c>
      <c r="C812" t="s">
        <v>1842</v>
      </c>
      <c r="D812" t="s">
        <v>747</v>
      </c>
      <c r="E812" t="s">
        <v>2165</v>
      </c>
      <c r="F812" t="s">
        <v>37</v>
      </c>
      <c r="G812" t="s">
        <v>2886</v>
      </c>
      <c r="H812" t="s">
        <v>212</v>
      </c>
      <c r="I812" t="s">
        <v>212</v>
      </c>
      <c r="J812" t="s">
        <v>212</v>
      </c>
      <c r="K812" t="s">
        <v>1843</v>
      </c>
      <c r="L812" s="84">
        <v>42678</v>
      </c>
      <c r="M812" t="s">
        <v>381</v>
      </c>
      <c r="N812" t="s">
        <v>1844</v>
      </c>
      <c r="O812">
        <v>3</v>
      </c>
      <c r="P812" t="s">
        <v>1845</v>
      </c>
      <c r="Q812" t="s">
        <v>1846</v>
      </c>
      <c r="R812" t="s">
        <v>2097</v>
      </c>
      <c r="S812" t="s">
        <v>2098</v>
      </c>
      <c r="T812" t="s">
        <v>37</v>
      </c>
      <c r="U812" t="s">
        <v>80</v>
      </c>
      <c r="V812">
        <v>58</v>
      </c>
      <c r="W812">
        <v>81</v>
      </c>
      <c r="X812">
        <v>121</v>
      </c>
      <c r="Y812">
        <v>92</v>
      </c>
      <c r="Z812">
        <v>190</v>
      </c>
      <c r="AA812">
        <v>157</v>
      </c>
      <c r="AB812" t="s">
        <v>303</v>
      </c>
      <c r="AC812" t="s">
        <v>171</v>
      </c>
      <c r="AD812" t="s">
        <v>210</v>
      </c>
      <c r="AE812" t="s">
        <v>183</v>
      </c>
      <c r="AF812">
        <v>0</v>
      </c>
    </row>
    <row r="813" spans="1:32">
      <c r="A813">
        <v>239</v>
      </c>
      <c r="B813">
        <v>1030</v>
      </c>
      <c r="C813" t="s">
        <v>1842</v>
      </c>
      <c r="D813" t="s">
        <v>747</v>
      </c>
      <c r="E813" t="s">
        <v>2165</v>
      </c>
      <c r="F813" t="s">
        <v>193</v>
      </c>
      <c r="G813" t="s">
        <v>2151</v>
      </c>
      <c r="H813" t="s">
        <v>212</v>
      </c>
      <c r="I813" t="s">
        <v>212</v>
      </c>
      <c r="J813" t="s">
        <v>192</v>
      </c>
      <c r="K813" t="s">
        <v>1843</v>
      </c>
      <c r="L813" s="84">
        <v>42678</v>
      </c>
      <c r="M813" t="s">
        <v>381</v>
      </c>
      <c r="N813" t="s">
        <v>1844</v>
      </c>
      <c r="O813">
        <v>3</v>
      </c>
      <c r="P813" t="s">
        <v>1845</v>
      </c>
      <c r="Q813" t="s">
        <v>1846</v>
      </c>
      <c r="R813" t="s">
        <v>2097</v>
      </c>
      <c r="S813" t="s">
        <v>2098</v>
      </c>
      <c r="T813" t="s">
        <v>36</v>
      </c>
      <c r="U813" t="s">
        <v>80</v>
      </c>
      <c r="V813">
        <v>58</v>
      </c>
      <c r="W813">
        <v>81</v>
      </c>
      <c r="X813">
        <v>121</v>
      </c>
      <c r="Y813">
        <v>92</v>
      </c>
      <c r="Z813">
        <v>190</v>
      </c>
      <c r="AA813">
        <v>157</v>
      </c>
      <c r="AB813" t="s">
        <v>303</v>
      </c>
      <c r="AC813" t="s">
        <v>171</v>
      </c>
      <c r="AD813" t="s">
        <v>210</v>
      </c>
      <c r="AE813" t="s">
        <v>183</v>
      </c>
      <c r="AF813">
        <v>0</v>
      </c>
    </row>
    <row r="814" spans="1:32">
      <c r="A814">
        <v>240</v>
      </c>
      <c r="B814">
        <v>885</v>
      </c>
      <c r="C814" t="s">
        <v>1847</v>
      </c>
      <c r="D814" t="s">
        <v>747</v>
      </c>
      <c r="E814" t="s">
        <v>2165</v>
      </c>
      <c r="F814" t="s">
        <v>193</v>
      </c>
      <c r="G814" t="s">
        <v>2152</v>
      </c>
      <c r="H814" t="s">
        <v>212</v>
      </c>
      <c r="I814" t="s">
        <v>212</v>
      </c>
      <c r="J814" t="s">
        <v>212</v>
      </c>
      <c r="K814" t="s">
        <v>1848</v>
      </c>
      <c r="L814" s="84">
        <v>43249</v>
      </c>
      <c r="M814" t="s">
        <v>381</v>
      </c>
      <c r="N814" t="s">
        <v>969</v>
      </c>
      <c r="O814">
        <v>3</v>
      </c>
      <c r="P814" t="s">
        <v>1849</v>
      </c>
      <c r="Q814" t="s">
        <v>1850</v>
      </c>
      <c r="R814" t="s">
        <v>1851</v>
      </c>
      <c r="S814" t="s">
        <v>1852</v>
      </c>
      <c r="T814" t="s">
        <v>36</v>
      </c>
      <c r="U814" t="s">
        <v>80</v>
      </c>
      <c r="V814">
        <v>69</v>
      </c>
      <c r="W814">
        <v>81</v>
      </c>
      <c r="X814">
        <v>121</v>
      </c>
      <c r="Y814">
        <v>103</v>
      </c>
      <c r="Z814">
        <v>190</v>
      </c>
      <c r="AA814">
        <v>167</v>
      </c>
      <c r="AB814" t="s">
        <v>398</v>
      </c>
      <c r="AC814" t="s">
        <v>223</v>
      </c>
      <c r="AD814" t="s">
        <v>182</v>
      </c>
      <c r="AE814" t="s">
        <v>183</v>
      </c>
      <c r="AF814">
        <v>0</v>
      </c>
    </row>
    <row r="815" spans="1:32">
      <c r="A815">
        <v>240</v>
      </c>
      <c r="B815">
        <v>885</v>
      </c>
      <c r="C815" t="s">
        <v>1847</v>
      </c>
      <c r="D815" t="s">
        <v>747</v>
      </c>
      <c r="E815" t="s">
        <v>2165</v>
      </c>
      <c r="F815" t="s">
        <v>37</v>
      </c>
      <c r="G815" t="s">
        <v>2887</v>
      </c>
      <c r="H815" t="s">
        <v>212</v>
      </c>
      <c r="I815" t="s">
        <v>212</v>
      </c>
      <c r="J815" t="s">
        <v>212</v>
      </c>
      <c r="K815" t="s">
        <v>1848</v>
      </c>
      <c r="L815" s="84">
        <v>43249</v>
      </c>
      <c r="M815" t="s">
        <v>381</v>
      </c>
      <c r="N815" t="s">
        <v>969</v>
      </c>
      <c r="O815">
        <v>3</v>
      </c>
      <c r="P815" t="s">
        <v>1849</v>
      </c>
      <c r="Q815" t="s">
        <v>1850</v>
      </c>
      <c r="R815" t="s">
        <v>1851</v>
      </c>
      <c r="S815" t="s">
        <v>1852</v>
      </c>
      <c r="T815" t="s">
        <v>37</v>
      </c>
      <c r="U815" t="s">
        <v>80</v>
      </c>
      <c r="V815">
        <v>69</v>
      </c>
      <c r="W815">
        <v>81</v>
      </c>
      <c r="X815">
        <v>121</v>
      </c>
      <c r="Y815">
        <v>103</v>
      </c>
      <c r="Z815">
        <v>190</v>
      </c>
      <c r="AA815">
        <v>167</v>
      </c>
      <c r="AB815" t="s">
        <v>398</v>
      </c>
      <c r="AC815" t="s">
        <v>223</v>
      </c>
      <c r="AD815" t="s">
        <v>182</v>
      </c>
      <c r="AE815" t="s">
        <v>183</v>
      </c>
      <c r="AF815">
        <v>0</v>
      </c>
    </row>
    <row r="816" spans="1:32">
      <c r="A816">
        <v>240</v>
      </c>
      <c r="B816">
        <v>885</v>
      </c>
      <c r="C816" t="s">
        <v>1847</v>
      </c>
      <c r="D816" t="s">
        <v>747</v>
      </c>
      <c r="E816" t="s">
        <v>2165</v>
      </c>
      <c r="F816" t="s">
        <v>197</v>
      </c>
      <c r="G816" t="s">
        <v>1955</v>
      </c>
      <c r="H816" t="s">
        <v>212</v>
      </c>
      <c r="I816" t="s">
        <v>192</v>
      </c>
      <c r="J816" t="s">
        <v>212</v>
      </c>
      <c r="K816" t="s">
        <v>1848</v>
      </c>
      <c r="L816" s="84">
        <v>43249</v>
      </c>
      <c r="M816" t="s">
        <v>381</v>
      </c>
      <c r="N816" t="s">
        <v>969</v>
      </c>
      <c r="O816">
        <v>3</v>
      </c>
      <c r="P816" t="s">
        <v>1849</v>
      </c>
      <c r="Q816" t="s">
        <v>1850</v>
      </c>
      <c r="R816" t="s">
        <v>1851</v>
      </c>
      <c r="S816" t="s">
        <v>1852</v>
      </c>
      <c r="T816" t="s">
        <v>38</v>
      </c>
      <c r="U816" t="s">
        <v>80</v>
      </c>
      <c r="V816">
        <v>69</v>
      </c>
      <c r="W816">
        <v>81</v>
      </c>
      <c r="X816">
        <v>121</v>
      </c>
      <c r="Y816">
        <v>103</v>
      </c>
      <c r="Z816">
        <v>190</v>
      </c>
      <c r="AA816">
        <v>167</v>
      </c>
      <c r="AB816" t="s">
        <v>398</v>
      </c>
      <c r="AC816" t="s">
        <v>223</v>
      </c>
      <c r="AD816" t="s">
        <v>182</v>
      </c>
      <c r="AE816" t="s">
        <v>183</v>
      </c>
      <c r="AF816">
        <v>0</v>
      </c>
    </row>
    <row r="817" spans="1:32">
      <c r="A817">
        <v>240</v>
      </c>
      <c r="B817">
        <v>885</v>
      </c>
      <c r="C817" t="s">
        <v>1847</v>
      </c>
      <c r="D817" t="s">
        <v>747</v>
      </c>
      <c r="E817" t="s">
        <v>2165</v>
      </c>
      <c r="F817" t="s">
        <v>6</v>
      </c>
      <c r="G817" t="s">
        <v>1954</v>
      </c>
      <c r="H817" t="s">
        <v>192</v>
      </c>
      <c r="I817" t="s">
        <v>324</v>
      </c>
      <c r="J817" t="s">
        <v>192</v>
      </c>
      <c r="K817" t="s">
        <v>1848</v>
      </c>
      <c r="L817" s="84">
        <v>43249</v>
      </c>
      <c r="M817" t="s">
        <v>381</v>
      </c>
      <c r="N817" t="s">
        <v>969</v>
      </c>
      <c r="O817">
        <v>3</v>
      </c>
      <c r="P817" t="s">
        <v>1849</v>
      </c>
      <c r="Q817" t="s">
        <v>1850</v>
      </c>
      <c r="R817" t="s">
        <v>1851</v>
      </c>
      <c r="S817" t="s">
        <v>1852</v>
      </c>
      <c r="T817" t="s">
        <v>34</v>
      </c>
      <c r="U817" t="s">
        <v>80</v>
      </c>
      <c r="V817">
        <v>69</v>
      </c>
      <c r="W817">
        <v>81</v>
      </c>
      <c r="X817">
        <v>121</v>
      </c>
      <c r="Y817">
        <v>103</v>
      </c>
      <c r="Z817">
        <v>190</v>
      </c>
      <c r="AA817">
        <v>167</v>
      </c>
      <c r="AB817" t="s">
        <v>398</v>
      </c>
      <c r="AC817" t="s">
        <v>223</v>
      </c>
      <c r="AD817" t="s">
        <v>182</v>
      </c>
      <c r="AE817" t="s">
        <v>183</v>
      </c>
      <c r="AF817">
        <v>0</v>
      </c>
    </row>
    <row r="818" spans="1:32">
      <c r="A818">
        <v>240</v>
      </c>
      <c r="B818">
        <v>885</v>
      </c>
      <c r="C818" t="s">
        <v>1847</v>
      </c>
      <c r="D818" t="s">
        <v>747</v>
      </c>
      <c r="E818" t="s">
        <v>2165</v>
      </c>
      <c r="F818" t="s">
        <v>7</v>
      </c>
      <c r="G818" t="s">
        <v>1958</v>
      </c>
      <c r="H818" t="s">
        <v>228</v>
      </c>
      <c r="I818" t="s">
        <v>187</v>
      </c>
      <c r="J818" t="s">
        <v>228</v>
      </c>
      <c r="K818" t="s">
        <v>1848</v>
      </c>
      <c r="L818" s="84">
        <v>43249</v>
      </c>
      <c r="M818" t="s">
        <v>381</v>
      </c>
      <c r="N818" t="s">
        <v>969</v>
      </c>
      <c r="O818">
        <v>3</v>
      </c>
      <c r="P818" t="s">
        <v>1849</v>
      </c>
      <c r="Q818" t="s">
        <v>1850</v>
      </c>
      <c r="R818" t="s">
        <v>1851</v>
      </c>
      <c r="S818" t="s">
        <v>1852</v>
      </c>
      <c r="T818" t="s">
        <v>32</v>
      </c>
      <c r="U818" t="s">
        <v>80</v>
      </c>
      <c r="V818">
        <v>69</v>
      </c>
      <c r="W818">
        <v>81</v>
      </c>
      <c r="X818">
        <v>121</v>
      </c>
      <c r="Y818">
        <v>103</v>
      </c>
      <c r="Z818">
        <v>190</v>
      </c>
      <c r="AA818">
        <v>167</v>
      </c>
      <c r="AB818" t="s">
        <v>398</v>
      </c>
      <c r="AC818" t="s">
        <v>223</v>
      </c>
      <c r="AD818" t="s">
        <v>182</v>
      </c>
      <c r="AE818" t="s">
        <v>183</v>
      </c>
      <c r="AF818">
        <v>0</v>
      </c>
    </row>
    <row r="819" spans="1:32">
      <c r="A819">
        <v>240</v>
      </c>
      <c r="B819">
        <v>885</v>
      </c>
      <c r="C819" t="s">
        <v>1847</v>
      </c>
      <c r="D819" t="s">
        <v>747</v>
      </c>
      <c r="E819" t="s">
        <v>2165</v>
      </c>
      <c r="F819" t="s">
        <v>8</v>
      </c>
      <c r="G819" t="s">
        <v>1957</v>
      </c>
      <c r="H819" t="s">
        <v>171</v>
      </c>
      <c r="I819" t="s">
        <v>403</v>
      </c>
      <c r="J819" t="s">
        <v>192</v>
      </c>
      <c r="K819" t="s">
        <v>1848</v>
      </c>
      <c r="L819" s="84">
        <v>43249</v>
      </c>
      <c r="M819" t="s">
        <v>381</v>
      </c>
      <c r="N819" t="s">
        <v>969</v>
      </c>
      <c r="O819">
        <v>3</v>
      </c>
      <c r="P819" t="s">
        <v>1849</v>
      </c>
      <c r="Q819" t="s">
        <v>1850</v>
      </c>
      <c r="R819" t="s">
        <v>1851</v>
      </c>
      <c r="S819" t="s">
        <v>1852</v>
      </c>
      <c r="T819" t="s">
        <v>31</v>
      </c>
      <c r="U819" t="s">
        <v>80</v>
      </c>
      <c r="V819">
        <v>69</v>
      </c>
      <c r="W819">
        <v>81</v>
      </c>
      <c r="X819">
        <v>121</v>
      </c>
      <c r="Y819">
        <v>103</v>
      </c>
      <c r="Z819">
        <v>190</v>
      </c>
      <c r="AA819">
        <v>167</v>
      </c>
      <c r="AB819" t="s">
        <v>398</v>
      </c>
      <c r="AC819" t="s">
        <v>223</v>
      </c>
      <c r="AD819" t="s">
        <v>182</v>
      </c>
      <c r="AE819" t="s">
        <v>183</v>
      </c>
      <c r="AF819">
        <v>0</v>
      </c>
    </row>
    <row r="820" spans="1:32">
      <c r="A820">
        <v>240</v>
      </c>
      <c r="B820">
        <v>885</v>
      </c>
      <c r="C820" t="s">
        <v>1847</v>
      </c>
      <c r="D820" t="s">
        <v>747</v>
      </c>
      <c r="E820" t="s">
        <v>2165</v>
      </c>
      <c r="F820" t="s">
        <v>5</v>
      </c>
      <c r="G820" t="s">
        <v>1956</v>
      </c>
      <c r="H820" t="s">
        <v>226</v>
      </c>
      <c r="I820" t="s">
        <v>181</v>
      </c>
      <c r="J820" t="s">
        <v>223</v>
      </c>
      <c r="K820" t="s">
        <v>1848</v>
      </c>
      <c r="L820" s="84">
        <v>43249</v>
      </c>
      <c r="M820" t="s">
        <v>381</v>
      </c>
      <c r="N820" t="s">
        <v>969</v>
      </c>
      <c r="O820">
        <v>3</v>
      </c>
      <c r="P820" t="s">
        <v>1849</v>
      </c>
      <c r="Q820" t="s">
        <v>1850</v>
      </c>
      <c r="R820" t="s">
        <v>1851</v>
      </c>
      <c r="S820" t="s">
        <v>1852</v>
      </c>
      <c r="T820" t="s">
        <v>33</v>
      </c>
      <c r="U820" t="s">
        <v>80</v>
      </c>
      <c r="V820">
        <v>69</v>
      </c>
      <c r="W820">
        <v>81</v>
      </c>
      <c r="X820">
        <v>121</v>
      </c>
      <c r="Y820">
        <v>103</v>
      </c>
      <c r="Z820">
        <v>190</v>
      </c>
      <c r="AA820">
        <v>167</v>
      </c>
      <c r="AB820" t="s">
        <v>398</v>
      </c>
      <c r="AC820" t="s">
        <v>223</v>
      </c>
      <c r="AD820" t="s">
        <v>182</v>
      </c>
      <c r="AE820" t="s">
        <v>183</v>
      </c>
      <c r="AF820">
        <v>0</v>
      </c>
    </row>
    <row r="821" spans="1:32">
      <c r="A821">
        <v>241</v>
      </c>
      <c r="B821">
        <v>1020</v>
      </c>
      <c r="C821" t="s">
        <v>1855</v>
      </c>
      <c r="D821" t="s">
        <v>747</v>
      </c>
      <c r="E821" t="s">
        <v>2165</v>
      </c>
      <c r="F821" t="s">
        <v>5</v>
      </c>
      <c r="G821" t="s">
        <v>1961</v>
      </c>
      <c r="H821" t="s">
        <v>2045</v>
      </c>
      <c r="I821" t="s">
        <v>415</v>
      </c>
      <c r="J821" t="s">
        <v>212</v>
      </c>
      <c r="K821" t="s">
        <v>1856</v>
      </c>
      <c r="L821" s="84">
        <v>43344</v>
      </c>
      <c r="M821" t="s">
        <v>381</v>
      </c>
      <c r="N821" t="s">
        <v>1699</v>
      </c>
      <c r="O821">
        <v>2</v>
      </c>
      <c r="P821" t="s">
        <v>981</v>
      </c>
      <c r="Q821" t="s">
        <v>2101</v>
      </c>
      <c r="R821" t="s">
        <v>2102</v>
      </c>
      <c r="S821" t="s">
        <v>2103</v>
      </c>
      <c r="T821" t="s">
        <v>33</v>
      </c>
      <c r="U821" t="s">
        <v>79</v>
      </c>
      <c r="V821">
        <v>76</v>
      </c>
      <c r="W821">
        <v>81</v>
      </c>
      <c r="X821">
        <v>121</v>
      </c>
      <c r="Y821">
        <v>115</v>
      </c>
      <c r="Z821">
        <v>190</v>
      </c>
      <c r="AA821">
        <v>179</v>
      </c>
      <c r="AB821" t="s">
        <v>209</v>
      </c>
      <c r="AC821" t="s">
        <v>280</v>
      </c>
      <c r="AD821" t="s">
        <v>210</v>
      </c>
      <c r="AE821" t="s">
        <v>2046</v>
      </c>
      <c r="AF821">
        <v>1</v>
      </c>
    </row>
    <row r="822" spans="1:32">
      <c r="A822">
        <v>241</v>
      </c>
      <c r="B822">
        <v>1020</v>
      </c>
      <c r="C822" t="s">
        <v>1855</v>
      </c>
      <c r="D822" t="s">
        <v>747</v>
      </c>
      <c r="E822" t="s">
        <v>2165</v>
      </c>
      <c r="F822" t="s">
        <v>8</v>
      </c>
      <c r="G822" t="s">
        <v>1960</v>
      </c>
      <c r="H822" t="s">
        <v>212</v>
      </c>
      <c r="I822" t="s">
        <v>223</v>
      </c>
      <c r="J822" t="s">
        <v>171</v>
      </c>
      <c r="K822" t="s">
        <v>1856</v>
      </c>
      <c r="L822" s="84">
        <v>43344</v>
      </c>
      <c r="M822" t="s">
        <v>381</v>
      </c>
      <c r="N822" t="s">
        <v>1699</v>
      </c>
      <c r="O822">
        <v>2</v>
      </c>
      <c r="P822" t="s">
        <v>981</v>
      </c>
      <c r="Q822" t="s">
        <v>2101</v>
      </c>
      <c r="R822" t="s">
        <v>2102</v>
      </c>
      <c r="S822" t="s">
        <v>2103</v>
      </c>
      <c r="T822" t="s">
        <v>31</v>
      </c>
      <c r="U822" t="s">
        <v>79</v>
      </c>
      <c r="V822">
        <v>76</v>
      </c>
      <c r="W822">
        <v>81</v>
      </c>
      <c r="X822">
        <v>121</v>
      </c>
      <c r="Y822">
        <v>115</v>
      </c>
      <c r="Z822">
        <v>190</v>
      </c>
      <c r="AA822">
        <v>179</v>
      </c>
      <c r="AB822" t="s">
        <v>209</v>
      </c>
      <c r="AC822" t="s">
        <v>280</v>
      </c>
      <c r="AD822" t="s">
        <v>210</v>
      </c>
      <c r="AE822" t="s">
        <v>183</v>
      </c>
      <c r="AF822">
        <v>1</v>
      </c>
    </row>
    <row r="823" spans="1:32">
      <c r="A823">
        <v>241</v>
      </c>
      <c r="B823">
        <v>1020</v>
      </c>
      <c r="C823" t="s">
        <v>1855</v>
      </c>
      <c r="D823" t="s">
        <v>747</v>
      </c>
      <c r="E823" t="s">
        <v>2165</v>
      </c>
      <c r="F823" t="s">
        <v>7</v>
      </c>
      <c r="G823" t="s">
        <v>1959</v>
      </c>
      <c r="H823" t="s">
        <v>192</v>
      </c>
      <c r="I823" t="s">
        <v>171</v>
      </c>
      <c r="J823" t="s">
        <v>237</v>
      </c>
      <c r="K823" t="s">
        <v>1856</v>
      </c>
      <c r="L823" s="84">
        <v>43344</v>
      </c>
      <c r="M823" t="s">
        <v>381</v>
      </c>
      <c r="N823" t="s">
        <v>1699</v>
      </c>
      <c r="O823">
        <v>2</v>
      </c>
      <c r="P823" t="s">
        <v>981</v>
      </c>
      <c r="Q823" t="s">
        <v>2101</v>
      </c>
      <c r="R823" t="s">
        <v>2102</v>
      </c>
      <c r="S823" t="s">
        <v>2103</v>
      </c>
      <c r="T823" t="s">
        <v>32</v>
      </c>
      <c r="U823" t="s">
        <v>79</v>
      </c>
      <c r="V823">
        <v>76</v>
      </c>
      <c r="W823">
        <v>81</v>
      </c>
      <c r="X823">
        <v>121</v>
      </c>
      <c r="Y823">
        <v>115</v>
      </c>
      <c r="Z823">
        <v>190</v>
      </c>
      <c r="AA823">
        <v>179</v>
      </c>
      <c r="AB823" t="s">
        <v>209</v>
      </c>
      <c r="AC823" t="s">
        <v>280</v>
      </c>
      <c r="AD823" t="s">
        <v>210</v>
      </c>
      <c r="AE823" t="s">
        <v>183</v>
      </c>
      <c r="AF823">
        <v>1</v>
      </c>
    </row>
    <row r="824" spans="1:32">
      <c r="A824">
        <v>241</v>
      </c>
      <c r="B824">
        <v>1020</v>
      </c>
      <c r="C824" t="s">
        <v>1855</v>
      </c>
      <c r="D824" t="s">
        <v>747</v>
      </c>
      <c r="E824" t="s">
        <v>2165</v>
      </c>
      <c r="F824" t="s">
        <v>6</v>
      </c>
      <c r="G824" t="s">
        <v>1963</v>
      </c>
      <c r="H824" t="s">
        <v>243</v>
      </c>
      <c r="I824" t="s">
        <v>172</v>
      </c>
      <c r="J824" t="s">
        <v>212</v>
      </c>
      <c r="K824" t="s">
        <v>1856</v>
      </c>
      <c r="L824" s="84">
        <v>43344</v>
      </c>
      <c r="M824" t="s">
        <v>381</v>
      </c>
      <c r="N824" t="s">
        <v>1699</v>
      </c>
      <c r="O824">
        <v>2</v>
      </c>
      <c r="P824" t="s">
        <v>981</v>
      </c>
      <c r="Q824" t="s">
        <v>2101</v>
      </c>
      <c r="R824" t="s">
        <v>2102</v>
      </c>
      <c r="S824" t="s">
        <v>2103</v>
      </c>
      <c r="T824" t="s">
        <v>34</v>
      </c>
      <c r="U824" t="s">
        <v>79</v>
      </c>
      <c r="V824">
        <v>76</v>
      </c>
      <c r="W824">
        <v>81</v>
      </c>
      <c r="X824">
        <v>121</v>
      </c>
      <c r="Y824">
        <v>115</v>
      </c>
      <c r="Z824">
        <v>190</v>
      </c>
      <c r="AA824">
        <v>179</v>
      </c>
      <c r="AB824" t="s">
        <v>209</v>
      </c>
      <c r="AC824" t="s">
        <v>280</v>
      </c>
      <c r="AD824" t="s">
        <v>210</v>
      </c>
      <c r="AE824" t="s">
        <v>183</v>
      </c>
      <c r="AF824">
        <v>1</v>
      </c>
    </row>
    <row r="825" spans="1:32">
      <c r="A825">
        <v>241</v>
      </c>
      <c r="B825">
        <v>1020</v>
      </c>
      <c r="C825" t="s">
        <v>1855</v>
      </c>
      <c r="D825" t="s">
        <v>747</v>
      </c>
      <c r="E825" t="s">
        <v>2165</v>
      </c>
      <c r="F825" t="s">
        <v>197</v>
      </c>
      <c r="G825" t="s">
        <v>1962</v>
      </c>
      <c r="H825" t="s">
        <v>212</v>
      </c>
      <c r="I825" t="s">
        <v>192</v>
      </c>
      <c r="J825" t="s">
        <v>212</v>
      </c>
      <c r="K825" t="s">
        <v>1856</v>
      </c>
      <c r="L825" s="84">
        <v>43344</v>
      </c>
      <c r="M825" t="s">
        <v>381</v>
      </c>
      <c r="N825" t="s">
        <v>1699</v>
      </c>
      <c r="O825">
        <v>2</v>
      </c>
      <c r="P825" t="s">
        <v>981</v>
      </c>
      <c r="Q825" t="s">
        <v>2101</v>
      </c>
      <c r="R825" t="s">
        <v>2102</v>
      </c>
      <c r="S825" t="s">
        <v>2103</v>
      </c>
      <c r="T825" t="s">
        <v>38</v>
      </c>
      <c r="U825" t="s">
        <v>79</v>
      </c>
      <c r="V825">
        <v>76</v>
      </c>
      <c r="W825">
        <v>81</v>
      </c>
      <c r="X825">
        <v>121</v>
      </c>
      <c r="Y825">
        <v>115</v>
      </c>
      <c r="Z825">
        <v>190</v>
      </c>
      <c r="AA825">
        <v>179</v>
      </c>
      <c r="AB825" t="s">
        <v>209</v>
      </c>
      <c r="AC825" t="s">
        <v>280</v>
      </c>
      <c r="AD825" t="s">
        <v>210</v>
      </c>
      <c r="AE825" t="s">
        <v>183</v>
      </c>
      <c r="AF825">
        <v>1</v>
      </c>
    </row>
    <row r="826" spans="1:32">
      <c r="A826">
        <v>241</v>
      </c>
      <c r="B826">
        <v>1020</v>
      </c>
      <c r="C826" t="s">
        <v>1855</v>
      </c>
      <c r="D826" t="s">
        <v>747</v>
      </c>
      <c r="E826" t="s">
        <v>2165</v>
      </c>
      <c r="F826" t="s">
        <v>37</v>
      </c>
      <c r="G826" t="s">
        <v>2888</v>
      </c>
      <c r="H826" t="s">
        <v>212</v>
      </c>
      <c r="I826" t="s">
        <v>212</v>
      </c>
      <c r="J826" t="s">
        <v>212</v>
      </c>
      <c r="K826" t="s">
        <v>1856</v>
      </c>
      <c r="L826" s="84">
        <v>43344</v>
      </c>
      <c r="M826" t="s">
        <v>381</v>
      </c>
      <c r="N826" t="s">
        <v>1699</v>
      </c>
      <c r="O826">
        <v>2</v>
      </c>
      <c r="P826" t="s">
        <v>981</v>
      </c>
      <c r="Q826" t="s">
        <v>2101</v>
      </c>
      <c r="R826" t="s">
        <v>2102</v>
      </c>
      <c r="S826" t="s">
        <v>2103</v>
      </c>
      <c r="T826" t="s">
        <v>37</v>
      </c>
      <c r="U826" t="s">
        <v>79</v>
      </c>
      <c r="V826">
        <v>76</v>
      </c>
      <c r="W826">
        <v>81</v>
      </c>
      <c r="X826">
        <v>121</v>
      </c>
      <c r="Y826">
        <v>115</v>
      </c>
      <c r="Z826">
        <v>190</v>
      </c>
      <c r="AA826">
        <v>179</v>
      </c>
      <c r="AB826" t="s">
        <v>209</v>
      </c>
      <c r="AC826" t="s">
        <v>280</v>
      </c>
      <c r="AD826" t="s">
        <v>210</v>
      </c>
      <c r="AE826" t="s">
        <v>183</v>
      </c>
      <c r="AF826">
        <v>1</v>
      </c>
    </row>
    <row r="827" spans="1:32">
      <c r="A827">
        <v>241</v>
      </c>
      <c r="B827">
        <v>1020</v>
      </c>
      <c r="C827" t="s">
        <v>1855</v>
      </c>
      <c r="D827" t="s">
        <v>747</v>
      </c>
      <c r="E827" t="s">
        <v>2165</v>
      </c>
      <c r="F827" t="s">
        <v>193</v>
      </c>
      <c r="G827" t="s">
        <v>2153</v>
      </c>
      <c r="H827" t="s">
        <v>212</v>
      </c>
      <c r="I827" t="s">
        <v>212</v>
      </c>
      <c r="J827" t="s">
        <v>212</v>
      </c>
      <c r="K827" t="s">
        <v>1856</v>
      </c>
      <c r="L827" s="84">
        <v>43344</v>
      </c>
      <c r="M827" t="s">
        <v>381</v>
      </c>
      <c r="N827" t="s">
        <v>1699</v>
      </c>
      <c r="O827">
        <v>2</v>
      </c>
      <c r="P827" t="s">
        <v>981</v>
      </c>
      <c r="Q827" t="s">
        <v>2101</v>
      </c>
      <c r="R827" t="s">
        <v>2102</v>
      </c>
      <c r="S827" t="s">
        <v>2103</v>
      </c>
      <c r="T827" t="s">
        <v>36</v>
      </c>
      <c r="U827" t="s">
        <v>79</v>
      </c>
      <c r="V827">
        <v>76</v>
      </c>
      <c r="W827">
        <v>81</v>
      </c>
      <c r="X827">
        <v>121</v>
      </c>
      <c r="Y827">
        <v>115</v>
      </c>
      <c r="Z827">
        <v>190</v>
      </c>
      <c r="AA827">
        <v>179</v>
      </c>
      <c r="AB827" t="s">
        <v>209</v>
      </c>
      <c r="AC827" t="s">
        <v>280</v>
      </c>
      <c r="AD827" t="s">
        <v>210</v>
      </c>
      <c r="AE827" t="s">
        <v>183</v>
      </c>
      <c r="AF827">
        <v>1</v>
      </c>
    </row>
    <row r="828" spans="1:32">
      <c r="A828">
        <v>242</v>
      </c>
      <c r="B828">
        <v>866</v>
      </c>
      <c r="C828" t="s">
        <v>1857</v>
      </c>
      <c r="D828" t="s">
        <v>747</v>
      </c>
      <c r="E828" t="s">
        <v>2165</v>
      </c>
      <c r="F828" t="s">
        <v>193</v>
      </c>
      <c r="G828" t="s">
        <v>2154</v>
      </c>
      <c r="H828" t="s">
        <v>212</v>
      </c>
      <c r="I828" t="s">
        <v>212</v>
      </c>
      <c r="J828" t="s">
        <v>192</v>
      </c>
      <c r="K828" t="s">
        <v>1858</v>
      </c>
      <c r="L828" s="84">
        <v>43025</v>
      </c>
      <c r="M828" t="s">
        <v>381</v>
      </c>
      <c r="N828" t="s">
        <v>1859</v>
      </c>
      <c r="O828">
        <v>1</v>
      </c>
      <c r="P828" t="s">
        <v>2104</v>
      </c>
      <c r="Q828" t="s">
        <v>2105</v>
      </c>
      <c r="R828" t="s">
        <v>1860</v>
      </c>
      <c r="S828" t="s">
        <v>1861</v>
      </c>
      <c r="T828" t="s">
        <v>36</v>
      </c>
      <c r="U828" t="s">
        <v>78</v>
      </c>
      <c r="V828">
        <v>48</v>
      </c>
      <c r="W828">
        <v>81</v>
      </c>
      <c r="X828">
        <v>121</v>
      </c>
      <c r="Y828">
        <v>79</v>
      </c>
      <c r="Z828">
        <v>190</v>
      </c>
      <c r="AA828">
        <v>134</v>
      </c>
      <c r="AB828" t="s">
        <v>413</v>
      </c>
      <c r="AC828" t="s">
        <v>192</v>
      </c>
      <c r="AD828" t="s">
        <v>210</v>
      </c>
      <c r="AE828" t="s">
        <v>183</v>
      </c>
      <c r="AF828">
        <v>0</v>
      </c>
    </row>
    <row r="829" spans="1:32">
      <c r="A829">
        <v>242</v>
      </c>
      <c r="B829">
        <v>866</v>
      </c>
      <c r="C829" t="s">
        <v>1857</v>
      </c>
      <c r="D829" t="s">
        <v>747</v>
      </c>
      <c r="E829" t="s">
        <v>2165</v>
      </c>
      <c r="F829" t="s">
        <v>37</v>
      </c>
      <c r="G829" t="s">
        <v>2889</v>
      </c>
      <c r="H829" t="s">
        <v>212</v>
      </c>
      <c r="I829" t="s">
        <v>212</v>
      </c>
      <c r="J829" t="s">
        <v>212</v>
      </c>
      <c r="K829" t="s">
        <v>1858</v>
      </c>
      <c r="L829" s="84">
        <v>43025</v>
      </c>
      <c r="M829" t="s">
        <v>381</v>
      </c>
      <c r="N829" t="s">
        <v>1859</v>
      </c>
      <c r="O829">
        <v>1</v>
      </c>
      <c r="P829" t="s">
        <v>2104</v>
      </c>
      <c r="Q829" t="s">
        <v>2105</v>
      </c>
      <c r="R829" t="s">
        <v>1860</v>
      </c>
      <c r="S829" t="s">
        <v>1861</v>
      </c>
      <c r="T829" t="s">
        <v>37</v>
      </c>
      <c r="U829" t="s">
        <v>78</v>
      </c>
      <c r="V829">
        <v>48</v>
      </c>
      <c r="W829">
        <v>81</v>
      </c>
      <c r="X829">
        <v>121</v>
      </c>
      <c r="Y829">
        <v>79</v>
      </c>
      <c r="Z829">
        <v>190</v>
      </c>
      <c r="AA829">
        <v>134</v>
      </c>
      <c r="AB829" t="s">
        <v>413</v>
      </c>
      <c r="AC829" t="s">
        <v>192</v>
      </c>
      <c r="AD829" t="s">
        <v>210</v>
      </c>
      <c r="AE829" t="s">
        <v>183</v>
      </c>
      <c r="AF829">
        <v>0</v>
      </c>
    </row>
    <row r="830" spans="1:32">
      <c r="A830">
        <v>242</v>
      </c>
      <c r="B830">
        <v>866</v>
      </c>
      <c r="C830" t="s">
        <v>1857</v>
      </c>
      <c r="D830" t="s">
        <v>747</v>
      </c>
      <c r="E830" t="s">
        <v>2165</v>
      </c>
      <c r="F830" t="s">
        <v>197</v>
      </c>
      <c r="G830" t="s">
        <v>1965</v>
      </c>
      <c r="H830" t="s">
        <v>212</v>
      </c>
      <c r="I830" t="s">
        <v>192</v>
      </c>
      <c r="J830" t="s">
        <v>212</v>
      </c>
      <c r="K830" t="s">
        <v>1858</v>
      </c>
      <c r="L830" s="84">
        <v>43025</v>
      </c>
      <c r="M830" t="s">
        <v>381</v>
      </c>
      <c r="N830" t="s">
        <v>1859</v>
      </c>
      <c r="O830">
        <v>1</v>
      </c>
      <c r="P830" t="s">
        <v>2104</v>
      </c>
      <c r="Q830" t="s">
        <v>2105</v>
      </c>
      <c r="R830" t="s">
        <v>1860</v>
      </c>
      <c r="S830" t="s">
        <v>1861</v>
      </c>
      <c r="T830" t="s">
        <v>38</v>
      </c>
      <c r="U830" t="s">
        <v>78</v>
      </c>
      <c r="V830">
        <v>48</v>
      </c>
      <c r="W830">
        <v>81</v>
      </c>
      <c r="X830">
        <v>121</v>
      </c>
      <c r="Y830">
        <v>79</v>
      </c>
      <c r="Z830">
        <v>190</v>
      </c>
      <c r="AA830">
        <v>134</v>
      </c>
      <c r="AB830" t="s">
        <v>413</v>
      </c>
      <c r="AC830" t="s">
        <v>192</v>
      </c>
      <c r="AD830" t="s">
        <v>210</v>
      </c>
      <c r="AE830" t="s">
        <v>183</v>
      </c>
      <c r="AF830">
        <v>0</v>
      </c>
    </row>
    <row r="831" spans="1:32">
      <c r="A831">
        <v>242</v>
      </c>
      <c r="B831">
        <v>866</v>
      </c>
      <c r="C831" t="s">
        <v>1857</v>
      </c>
      <c r="D831" t="s">
        <v>747</v>
      </c>
      <c r="E831" t="s">
        <v>2165</v>
      </c>
      <c r="F831" t="s">
        <v>6</v>
      </c>
      <c r="G831" t="s">
        <v>1964</v>
      </c>
      <c r="H831" t="s">
        <v>226</v>
      </c>
      <c r="I831" t="s">
        <v>226</v>
      </c>
      <c r="J831" t="s">
        <v>171</v>
      </c>
      <c r="K831" t="s">
        <v>1858</v>
      </c>
      <c r="L831" s="84">
        <v>43025</v>
      </c>
      <c r="M831" t="s">
        <v>381</v>
      </c>
      <c r="N831" t="s">
        <v>1859</v>
      </c>
      <c r="O831">
        <v>1</v>
      </c>
      <c r="P831" t="s">
        <v>2104</v>
      </c>
      <c r="Q831" t="s">
        <v>2105</v>
      </c>
      <c r="R831" t="s">
        <v>1860</v>
      </c>
      <c r="S831" t="s">
        <v>1861</v>
      </c>
      <c r="T831" t="s">
        <v>34</v>
      </c>
      <c r="U831" t="s">
        <v>78</v>
      </c>
      <c r="V831">
        <v>48</v>
      </c>
      <c r="W831">
        <v>81</v>
      </c>
      <c r="X831">
        <v>121</v>
      </c>
      <c r="Y831">
        <v>79</v>
      </c>
      <c r="Z831">
        <v>190</v>
      </c>
      <c r="AA831">
        <v>134</v>
      </c>
      <c r="AB831" t="s">
        <v>413</v>
      </c>
      <c r="AC831" t="s">
        <v>192</v>
      </c>
      <c r="AD831" t="s">
        <v>210</v>
      </c>
      <c r="AE831" t="s">
        <v>183</v>
      </c>
      <c r="AF831">
        <v>0</v>
      </c>
    </row>
    <row r="832" spans="1:32">
      <c r="A832">
        <v>242</v>
      </c>
      <c r="B832">
        <v>866</v>
      </c>
      <c r="C832" t="s">
        <v>1857</v>
      </c>
      <c r="D832" t="s">
        <v>747</v>
      </c>
      <c r="E832" t="s">
        <v>2165</v>
      </c>
      <c r="F832" t="s">
        <v>7</v>
      </c>
      <c r="G832" t="s">
        <v>1968</v>
      </c>
      <c r="H832" t="s">
        <v>212</v>
      </c>
      <c r="I832" t="s">
        <v>221</v>
      </c>
      <c r="J832" t="s">
        <v>297</v>
      </c>
      <c r="K832" t="s">
        <v>1858</v>
      </c>
      <c r="L832" s="84">
        <v>43025</v>
      </c>
      <c r="M832" t="s">
        <v>381</v>
      </c>
      <c r="N832" t="s">
        <v>1859</v>
      </c>
      <c r="O832">
        <v>1</v>
      </c>
      <c r="P832" t="s">
        <v>2104</v>
      </c>
      <c r="Q832" t="s">
        <v>2105</v>
      </c>
      <c r="R832" t="s">
        <v>1860</v>
      </c>
      <c r="S832" t="s">
        <v>1861</v>
      </c>
      <c r="T832" t="s">
        <v>32</v>
      </c>
      <c r="U832" t="s">
        <v>78</v>
      </c>
      <c r="V832">
        <v>48</v>
      </c>
      <c r="W832">
        <v>81</v>
      </c>
      <c r="X832">
        <v>121</v>
      </c>
      <c r="Y832">
        <v>79</v>
      </c>
      <c r="Z832">
        <v>190</v>
      </c>
      <c r="AA832">
        <v>134</v>
      </c>
      <c r="AB832" t="s">
        <v>413</v>
      </c>
      <c r="AC832" t="s">
        <v>192</v>
      </c>
      <c r="AD832" t="s">
        <v>210</v>
      </c>
      <c r="AE832" t="s">
        <v>183</v>
      </c>
      <c r="AF832">
        <v>0</v>
      </c>
    </row>
    <row r="833" spans="1:32">
      <c r="A833">
        <v>242</v>
      </c>
      <c r="B833">
        <v>866</v>
      </c>
      <c r="C833" t="s">
        <v>1857</v>
      </c>
      <c r="D833" t="s">
        <v>747</v>
      </c>
      <c r="E833" t="s">
        <v>2165</v>
      </c>
      <c r="F833" t="s">
        <v>8</v>
      </c>
      <c r="G833" t="s">
        <v>1967</v>
      </c>
      <c r="H833" t="s">
        <v>220</v>
      </c>
      <c r="I833" t="s">
        <v>228</v>
      </c>
      <c r="J833" t="s">
        <v>238</v>
      </c>
      <c r="K833" t="s">
        <v>1858</v>
      </c>
      <c r="L833" s="84">
        <v>43025</v>
      </c>
      <c r="M833" t="s">
        <v>381</v>
      </c>
      <c r="N833" t="s">
        <v>1859</v>
      </c>
      <c r="O833">
        <v>1</v>
      </c>
      <c r="P833" t="s">
        <v>2104</v>
      </c>
      <c r="Q833" t="s">
        <v>2105</v>
      </c>
      <c r="R833" t="s">
        <v>1860</v>
      </c>
      <c r="S833" t="s">
        <v>1861</v>
      </c>
      <c r="T833" t="s">
        <v>31</v>
      </c>
      <c r="U833" t="s">
        <v>78</v>
      </c>
      <c r="V833">
        <v>48</v>
      </c>
      <c r="W833">
        <v>81</v>
      </c>
      <c r="X833">
        <v>121</v>
      </c>
      <c r="Y833">
        <v>79</v>
      </c>
      <c r="Z833">
        <v>190</v>
      </c>
      <c r="AA833">
        <v>134</v>
      </c>
      <c r="AB833" t="s">
        <v>413</v>
      </c>
      <c r="AC833" t="s">
        <v>192</v>
      </c>
      <c r="AD833" t="s">
        <v>210</v>
      </c>
      <c r="AE833" t="s">
        <v>183</v>
      </c>
      <c r="AF833">
        <v>0</v>
      </c>
    </row>
    <row r="834" spans="1:32">
      <c r="A834">
        <v>242</v>
      </c>
      <c r="B834">
        <v>866</v>
      </c>
      <c r="C834" t="s">
        <v>1857</v>
      </c>
      <c r="D834" t="s">
        <v>747</v>
      </c>
      <c r="E834" t="s">
        <v>2165</v>
      </c>
      <c r="F834" t="s">
        <v>5</v>
      </c>
      <c r="G834" t="s">
        <v>1966</v>
      </c>
      <c r="H834" t="s">
        <v>256</v>
      </c>
      <c r="I834" t="s">
        <v>217</v>
      </c>
      <c r="J834" t="s">
        <v>236</v>
      </c>
      <c r="K834" t="s">
        <v>1858</v>
      </c>
      <c r="L834" s="84">
        <v>43025</v>
      </c>
      <c r="M834" t="s">
        <v>381</v>
      </c>
      <c r="N834" t="s">
        <v>1859</v>
      </c>
      <c r="O834">
        <v>1</v>
      </c>
      <c r="P834" t="s">
        <v>2104</v>
      </c>
      <c r="Q834" t="s">
        <v>2105</v>
      </c>
      <c r="R834" t="s">
        <v>1860</v>
      </c>
      <c r="S834" t="s">
        <v>1861</v>
      </c>
      <c r="T834" t="s">
        <v>33</v>
      </c>
      <c r="U834" t="s">
        <v>78</v>
      </c>
      <c r="V834">
        <v>48</v>
      </c>
      <c r="W834">
        <v>81</v>
      </c>
      <c r="X834">
        <v>121</v>
      </c>
      <c r="Y834">
        <v>79</v>
      </c>
      <c r="Z834">
        <v>190</v>
      </c>
      <c r="AA834">
        <v>134</v>
      </c>
      <c r="AB834" t="s">
        <v>413</v>
      </c>
      <c r="AC834" t="s">
        <v>192</v>
      </c>
      <c r="AD834" t="s">
        <v>210</v>
      </c>
      <c r="AE834" t="s">
        <v>183</v>
      </c>
      <c r="AF834">
        <v>0</v>
      </c>
    </row>
    <row r="835" spans="1:32">
      <c r="A835">
        <v>243</v>
      </c>
      <c r="B835">
        <v>820</v>
      </c>
      <c r="C835" t="s">
        <v>1862</v>
      </c>
      <c r="D835" t="s">
        <v>747</v>
      </c>
      <c r="E835" t="s">
        <v>2165</v>
      </c>
      <c r="F835" t="s">
        <v>5</v>
      </c>
      <c r="G835" t="s">
        <v>1971</v>
      </c>
      <c r="H835" t="s">
        <v>216</v>
      </c>
      <c r="I835" t="s">
        <v>216</v>
      </c>
      <c r="J835" t="s">
        <v>236</v>
      </c>
      <c r="K835" t="s">
        <v>1863</v>
      </c>
      <c r="L835" s="84">
        <v>42882</v>
      </c>
      <c r="M835" t="s">
        <v>381</v>
      </c>
      <c r="N835" t="s">
        <v>604</v>
      </c>
      <c r="O835">
        <v>1</v>
      </c>
      <c r="P835" t="s">
        <v>1864</v>
      </c>
      <c r="Q835" t="s">
        <v>1865</v>
      </c>
      <c r="R835" t="s">
        <v>1866</v>
      </c>
      <c r="S835" t="s">
        <v>1867</v>
      </c>
      <c r="T835" t="s">
        <v>33</v>
      </c>
      <c r="U835" t="s">
        <v>78</v>
      </c>
      <c r="V835">
        <v>70</v>
      </c>
      <c r="W835">
        <v>81</v>
      </c>
      <c r="X835">
        <v>121</v>
      </c>
      <c r="Y835">
        <v>108</v>
      </c>
      <c r="Z835">
        <v>190</v>
      </c>
      <c r="AA835">
        <v>172</v>
      </c>
      <c r="AB835" t="s">
        <v>398</v>
      </c>
      <c r="AC835" t="s">
        <v>192</v>
      </c>
      <c r="AD835" t="s">
        <v>182</v>
      </c>
      <c r="AE835" t="s">
        <v>183</v>
      </c>
      <c r="AF835">
        <v>0</v>
      </c>
    </row>
    <row r="836" spans="1:32">
      <c r="A836">
        <v>243</v>
      </c>
      <c r="B836">
        <v>820</v>
      </c>
      <c r="C836" t="s">
        <v>1862</v>
      </c>
      <c r="D836" t="s">
        <v>747</v>
      </c>
      <c r="E836" t="s">
        <v>2165</v>
      </c>
      <c r="F836" t="s">
        <v>8</v>
      </c>
      <c r="G836" t="s">
        <v>1970</v>
      </c>
      <c r="H836" t="s">
        <v>274</v>
      </c>
      <c r="I836" t="s">
        <v>227</v>
      </c>
      <c r="J836" t="s">
        <v>236</v>
      </c>
      <c r="K836" t="s">
        <v>1863</v>
      </c>
      <c r="L836" s="84">
        <v>42882</v>
      </c>
      <c r="M836" t="s">
        <v>381</v>
      </c>
      <c r="N836" t="s">
        <v>604</v>
      </c>
      <c r="O836">
        <v>1</v>
      </c>
      <c r="P836" t="s">
        <v>1864</v>
      </c>
      <c r="Q836" t="s">
        <v>1865</v>
      </c>
      <c r="R836" t="s">
        <v>1866</v>
      </c>
      <c r="S836" t="s">
        <v>1867</v>
      </c>
      <c r="T836" t="s">
        <v>31</v>
      </c>
      <c r="U836" t="s">
        <v>78</v>
      </c>
      <c r="V836">
        <v>70</v>
      </c>
      <c r="W836">
        <v>81</v>
      </c>
      <c r="X836">
        <v>121</v>
      </c>
      <c r="Y836">
        <v>108</v>
      </c>
      <c r="Z836">
        <v>190</v>
      </c>
      <c r="AA836">
        <v>172</v>
      </c>
      <c r="AB836" t="s">
        <v>398</v>
      </c>
      <c r="AC836" t="s">
        <v>192</v>
      </c>
      <c r="AD836" t="s">
        <v>182</v>
      </c>
      <c r="AE836" t="s">
        <v>183</v>
      </c>
      <c r="AF836">
        <v>0</v>
      </c>
    </row>
    <row r="837" spans="1:32">
      <c r="A837">
        <v>243</v>
      </c>
      <c r="B837">
        <v>820</v>
      </c>
      <c r="C837" t="s">
        <v>1862</v>
      </c>
      <c r="D837" t="s">
        <v>747</v>
      </c>
      <c r="E837" t="s">
        <v>2165</v>
      </c>
      <c r="F837" t="s">
        <v>7</v>
      </c>
      <c r="G837" t="s">
        <v>1969</v>
      </c>
      <c r="H837" t="s">
        <v>237</v>
      </c>
      <c r="I837" t="s">
        <v>236</v>
      </c>
      <c r="J837" t="s">
        <v>274</v>
      </c>
      <c r="K837" t="s">
        <v>1863</v>
      </c>
      <c r="L837" s="84">
        <v>42882</v>
      </c>
      <c r="M837" t="s">
        <v>381</v>
      </c>
      <c r="N837" t="s">
        <v>604</v>
      </c>
      <c r="O837">
        <v>1</v>
      </c>
      <c r="P837" t="s">
        <v>1864</v>
      </c>
      <c r="Q837" t="s">
        <v>1865</v>
      </c>
      <c r="R837" t="s">
        <v>1866</v>
      </c>
      <c r="S837" t="s">
        <v>1867</v>
      </c>
      <c r="T837" t="s">
        <v>32</v>
      </c>
      <c r="U837" t="s">
        <v>78</v>
      </c>
      <c r="V837">
        <v>70</v>
      </c>
      <c r="W837">
        <v>81</v>
      </c>
      <c r="X837">
        <v>121</v>
      </c>
      <c r="Y837">
        <v>108</v>
      </c>
      <c r="Z837">
        <v>190</v>
      </c>
      <c r="AA837">
        <v>172</v>
      </c>
      <c r="AB837" t="s">
        <v>398</v>
      </c>
      <c r="AC837" t="s">
        <v>192</v>
      </c>
      <c r="AD837" t="s">
        <v>182</v>
      </c>
      <c r="AE837" t="s">
        <v>183</v>
      </c>
      <c r="AF837">
        <v>0</v>
      </c>
    </row>
    <row r="838" spans="1:32">
      <c r="A838">
        <v>243</v>
      </c>
      <c r="B838">
        <v>820</v>
      </c>
      <c r="C838" t="s">
        <v>1862</v>
      </c>
      <c r="D838" t="s">
        <v>747</v>
      </c>
      <c r="E838" t="s">
        <v>2165</v>
      </c>
      <c r="F838" t="s">
        <v>6</v>
      </c>
      <c r="G838" t="s">
        <v>1973</v>
      </c>
      <c r="H838" t="s">
        <v>237</v>
      </c>
      <c r="I838" t="s">
        <v>171</v>
      </c>
      <c r="J838" t="s">
        <v>188</v>
      </c>
      <c r="K838" t="s">
        <v>1863</v>
      </c>
      <c r="L838" s="84">
        <v>42882</v>
      </c>
      <c r="M838" t="s">
        <v>381</v>
      </c>
      <c r="N838" t="s">
        <v>604</v>
      </c>
      <c r="O838">
        <v>1</v>
      </c>
      <c r="P838" t="s">
        <v>1864</v>
      </c>
      <c r="Q838" t="s">
        <v>1865</v>
      </c>
      <c r="R838" t="s">
        <v>1866</v>
      </c>
      <c r="S838" t="s">
        <v>1867</v>
      </c>
      <c r="T838" t="s">
        <v>34</v>
      </c>
      <c r="U838" t="s">
        <v>78</v>
      </c>
      <c r="V838">
        <v>70</v>
      </c>
      <c r="W838">
        <v>81</v>
      </c>
      <c r="X838">
        <v>121</v>
      </c>
      <c r="Y838">
        <v>108</v>
      </c>
      <c r="Z838">
        <v>190</v>
      </c>
      <c r="AA838">
        <v>172</v>
      </c>
      <c r="AB838" t="s">
        <v>398</v>
      </c>
      <c r="AC838" t="s">
        <v>192</v>
      </c>
      <c r="AD838" t="s">
        <v>182</v>
      </c>
      <c r="AE838" t="s">
        <v>183</v>
      </c>
      <c r="AF838">
        <v>0</v>
      </c>
    </row>
    <row r="839" spans="1:32">
      <c r="A839">
        <v>243</v>
      </c>
      <c r="B839">
        <v>820</v>
      </c>
      <c r="C839" t="s">
        <v>1862</v>
      </c>
      <c r="D839" t="s">
        <v>747</v>
      </c>
      <c r="E839" t="s">
        <v>2165</v>
      </c>
      <c r="F839" t="s">
        <v>197</v>
      </c>
      <c r="G839" t="s">
        <v>1972</v>
      </c>
      <c r="H839" t="s">
        <v>212</v>
      </c>
      <c r="I839" t="s">
        <v>192</v>
      </c>
      <c r="J839" t="s">
        <v>192</v>
      </c>
      <c r="K839" t="s">
        <v>1863</v>
      </c>
      <c r="L839" s="84">
        <v>42882</v>
      </c>
      <c r="M839" t="s">
        <v>381</v>
      </c>
      <c r="N839" t="s">
        <v>604</v>
      </c>
      <c r="O839">
        <v>1</v>
      </c>
      <c r="P839" t="s">
        <v>1864</v>
      </c>
      <c r="Q839" t="s">
        <v>1865</v>
      </c>
      <c r="R839" t="s">
        <v>1866</v>
      </c>
      <c r="S839" t="s">
        <v>1867</v>
      </c>
      <c r="T839" t="s">
        <v>38</v>
      </c>
      <c r="U839" t="s">
        <v>78</v>
      </c>
      <c r="V839">
        <v>70</v>
      </c>
      <c r="W839">
        <v>81</v>
      </c>
      <c r="X839">
        <v>121</v>
      </c>
      <c r="Y839">
        <v>108</v>
      </c>
      <c r="Z839">
        <v>190</v>
      </c>
      <c r="AA839">
        <v>172</v>
      </c>
      <c r="AB839" t="s">
        <v>398</v>
      </c>
      <c r="AC839" t="s">
        <v>192</v>
      </c>
      <c r="AD839" t="s">
        <v>182</v>
      </c>
      <c r="AE839" t="s">
        <v>183</v>
      </c>
      <c r="AF839">
        <v>0</v>
      </c>
    </row>
    <row r="840" spans="1:32">
      <c r="A840">
        <v>243</v>
      </c>
      <c r="B840">
        <v>820</v>
      </c>
      <c r="C840" t="s">
        <v>1862</v>
      </c>
      <c r="D840" t="s">
        <v>747</v>
      </c>
      <c r="E840" t="s">
        <v>2165</v>
      </c>
      <c r="F840" t="s">
        <v>37</v>
      </c>
      <c r="G840" t="s">
        <v>2890</v>
      </c>
      <c r="H840" t="s">
        <v>212</v>
      </c>
      <c r="I840" t="s">
        <v>212</v>
      </c>
      <c r="J840" t="s">
        <v>212</v>
      </c>
      <c r="K840" t="s">
        <v>1863</v>
      </c>
      <c r="L840" s="84">
        <v>42882</v>
      </c>
      <c r="M840" t="s">
        <v>381</v>
      </c>
      <c r="N840" t="s">
        <v>604</v>
      </c>
      <c r="O840">
        <v>1</v>
      </c>
      <c r="P840" t="s">
        <v>1864</v>
      </c>
      <c r="Q840" t="s">
        <v>1865</v>
      </c>
      <c r="R840" t="s">
        <v>1866</v>
      </c>
      <c r="S840" t="s">
        <v>1867</v>
      </c>
      <c r="T840" t="s">
        <v>37</v>
      </c>
      <c r="U840" t="s">
        <v>78</v>
      </c>
      <c r="V840">
        <v>70</v>
      </c>
      <c r="W840">
        <v>81</v>
      </c>
      <c r="X840">
        <v>121</v>
      </c>
      <c r="Y840">
        <v>108</v>
      </c>
      <c r="Z840">
        <v>190</v>
      </c>
      <c r="AA840">
        <v>172</v>
      </c>
      <c r="AB840" t="s">
        <v>398</v>
      </c>
      <c r="AC840" t="s">
        <v>192</v>
      </c>
      <c r="AD840" t="s">
        <v>182</v>
      </c>
      <c r="AE840" t="s">
        <v>183</v>
      </c>
      <c r="AF840">
        <v>0</v>
      </c>
    </row>
    <row r="841" spans="1:32">
      <c r="A841">
        <v>243</v>
      </c>
      <c r="B841">
        <v>820</v>
      </c>
      <c r="C841" t="s">
        <v>1862</v>
      </c>
      <c r="D841" t="s">
        <v>747</v>
      </c>
      <c r="E841" t="s">
        <v>2165</v>
      </c>
      <c r="F841" t="s">
        <v>193</v>
      </c>
      <c r="G841" t="s">
        <v>2155</v>
      </c>
      <c r="H841" t="s">
        <v>212</v>
      </c>
      <c r="I841" t="s">
        <v>212</v>
      </c>
      <c r="J841" t="s">
        <v>192</v>
      </c>
      <c r="K841" t="s">
        <v>1863</v>
      </c>
      <c r="L841" s="84">
        <v>42882</v>
      </c>
      <c r="M841" t="s">
        <v>381</v>
      </c>
      <c r="N841" t="s">
        <v>604</v>
      </c>
      <c r="O841">
        <v>1</v>
      </c>
      <c r="P841" t="s">
        <v>1864</v>
      </c>
      <c r="Q841" t="s">
        <v>1865</v>
      </c>
      <c r="R841" t="s">
        <v>1866</v>
      </c>
      <c r="S841" t="s">
        <v>1867</v>
      </c>
      <c r="T841" t="s">
        <v>36</v>
      </c>
      <c r="U841" t="s">
        <v>78</v>
      </c>
      <c r="V841">
        <v>70</v>
      </c>
      <c r="W841">
        <v>81</v>
      </c>
      <c r="X841">
        <v>121</v>
      </c>
      <c r="Y841">
        <v>108</v>
      </c>
      <c r="Z841">
        <v>190</v>
      </c>
      <c r="AA841">
        <v>172</v>
      </c>
      <c r="AB841" t="s">
        <v>398</v>
      </c>
      <c r="AC841" t="s">
        <v>192</v>
      </c>
      <c r="AD841" t="s">
        <v>182</v>
      </c>
      <c r="AE841" t="s">
        <v>183</v>
      </c>
      <c r="AF841">
        <v>0</v>
      </c>
    </row>
    <row r="842" spans="1:32">
      <c r="A842">
        <v>244</v>
      </c>
      <c r="B842">
        <v>882</v>
      </c>
      <c r="C842" t="s">
        <v>1868</v>
      </c>
      <c r="D842" t="s">
        <v>747</v>
      </c>
      <c r="E842" t="s">
        <v>2165</v>
      </c>
      <c r="F842" t="s">
        <v>193</v>
      </c>
      <c r="G842" t="s">
        <v>2156</v>
      </c>
      <c r="H842" t="s">
        <v>212</v>
      </c>
      <c r="I842" t="s">
        <v>212</v>
      </c>
      <c r="J842" t="s">
        <v>212</v>
      </c>
      <c r="K842" t="s">
        <v>1869</v>
      </c>
      <c r="L842" s="84">
        <v>42739</v>
      </c>
      <c r="M842" t="s">
        <v>381</v>
      </c>
      <c r="N842" t="s">
        <v>1870</v>
      </c>
      <c r="O842">
        <v>3</v>
      </c>
      <c r="P842" t="s">
        <v>1871</v>
      </c>
      <c r="Q842" t="s">
        <v>1872</v>
      </c>
      <c r="R842" t="s">
        <v>1873</v>
      </c>
      <c r="S842" t="s">
        <v>1874</v>
      </c>
      <c r="T842" t="s">
        <v>36</v>
      </c>
      <c r="U842" t="s">
        <v>80</v>
      </c>
      <c r="V842">
        <v>74</v>
      </c>
      <c r="W842">
        <v>81</v>
      </c>
      <c r="X842">
        <v>121</v>
      </c>
      <c r="Y842">
        <v>113</v>
      </c>
      <c r="Z842">
        <v>190</v>
      </c>
      <c r="AA842">
        <v>180</v>
      </c>
      <c r="AB842" t="s">
        <v>1084</v>
      </c>
      <c r="AC842" t="s">
        <v>223</v>
      </c>
      <c r="AD842" t="s">
        <v>210</v>
      </c>
      <c r="AE842" t="s">
        <v>183</v>
      </c>
      <c r="AF842">
        <v>0</v>
      </c>
    </row>
    <row r="843" spans="1:32">
      <c r="A843">
        <v>244</v>
      </c>
      <c r="B843">
        <v>882</v>
      </c>
      <c r="C843" t="s">
        <v>1868</v>
      </c>
      <c r="D843" t="s">
        <v>747</v>
      </c>
      <c r="E843" t="s">
        <v>2165</v>
      </c>
      <c r="F843" t="s">
        <v>37</v>
      </c>
      <c r="G843" t="s">
        <v>2891</v>
      </c>
      <c r="H843" t="s">
        <v>212</v>
      </c>
      <c r="I843" t="s">
        <v>212</v>
      </c>
      <c r="J843" t="s">
        <v>212</v>
      </c>
      <c r="K843" t="s">
        <v>1869</v>
      </c>
      <c r="L843" s="84">
        <v>42739</v>
      </c>
      <c r="M843" t="s">
        <v>381</v>
      </c>
      <c r="N843" t="s">
        <v>1870</v>
      </c>
      <c r="O843">
        <v>3</v>
      </c>
      <c r="P843" t="s">
        <v>1871</v>
      </c>
      <c r="Q843" t="s">
        <v>1872</v>
      </c>
      <c r="R843" t="s">
        <v>1873</v>
      </c>
      <c r="S843" t="s">
        <v>1874</v>
      </c>
      <c r="T843" t="s">
        <v>37</v>
      </c>
      <c r="U843" t="s">
        <v>80</v>
      </c>
      <c r="V843">
        <v>74</v>
      </c>
      <c r="W843">
        <v>81</v>
      </c>
      <c r="X843">
        <v>121</v>
      </c>
      <c r="Y843">
        <v>113</v>
      </c>
      <c r="Z843">
        <v>190</v>
      </c>
      <c r="AA843">
        <v>180</v>
      </c>
      <c r="AB843" t="s">
        <v>1084</v>
      </c>
      <c r="AC843" t="s">
        <v>223</v>
      </c>
      <c r="AD843" t="s">
        <v>210</v>
      </c>
      <c r="AE843" t="s">
        <v>183</v>
      </c>
      <c r="AF843">
        <v>0</v>
      </c>
    </row>
    <row r="844" spans="1:32">
      <c r="A844">
        <v>244</v>
      </c>
      <c r="B844">
        <v>882</v>
      </c>
      <c r="C844" t="s">
        <v>1868</v>
      </c>
      <c r="D844" t="s">
        <v>747</v>
      </c>
      <c r="E844" t="s">
        <v>2165</v>
      </c>
      <c r="F844" t="s">
        <v>197</v>
      </c>
      <c r="G844" t="s">
        <v>1975</v>
      </c>
      <c r="H844" t="s">
        <v>212</v>
      </c>
      <c r="I844" t="s">
        <v>192</v>
      </c>
      <c r="J844" t="s">
        <v>212</v>
      </c>
      <c r="K844" t="s">
        <v>1869</v>
      </c>
      <c r="L844" s="84">
        <v>42739</v>
      </c>
      <c r="M844" t="s">
        <v>381</v>
      </c>
      <c r="N844" t="s">
        <v>1870</v>
      </c>
      <c r="O844">
        <v>3</v>
      </c>
      <c r="P844" t="s">
        <v>1871</v>
      </c>
      <c r="Q844" t="s">
        <v>1872</v>
      </c>
      <c r="R844" t="s">
        <v>1873</v>
      </c>
      <c r="S844" t="s">
        <v>1874</v>
      </c>
      <c r="T844" t="s">
        <v>38</v>
      </c>
      <c r="U844" t="s">
        <v>80</v>
      </c>
      <c r="V844">
        <v>74</v>
      </c>
      <c r="W844">
        <v>81</v>
      </c>
      <c r="X844">
        <v>121</v>
      </c>
      <c r="Y844">
        <v>113</v>
      </c>
      <c r="Z844">
        <v>190</v>
      </c>
      <c r="AA844">
        <v>180</v>
      </c>
      <c r="AB844" t="s">
        <v>1084</v>
      </c>
      <c r="AC844" t="s">
        <v>223</v>
      </c>
      <c r="AD844" t="s">
        <v>210</v>
      </c>
      <c r="AE844" t="s">
        <v>183</v>
      </c>
      <c r="AF844">
        <v>0</v>
      </c>
    </row>
    <row r="845" spans="1:32">
      <c r="A845">
        <v>244</v>
      </c>
      <c r="B845">
        <v>882</v>
      </c>
      <c r="C845" t="s">
        <v>1868</v>
      </c>
      <c r="D845" t="s">
        <v>747</v>
      </c>
      <c r="E845" t="s">
        <v>2165</v>
      </c>
      <c r="F845" t="s">
        <v>6</v>
      </c>
      <c r="G845" t="s">
        <v>1974</v>
      </c>
      <c r="H845" t="s">
        <v>181</v>
      </c>
      <c r="I845" t="s">
        <v>171</v>
      </c>
      <c r="J845" t="s">
        <v>228</v>
      </c>
      <c r="K845" t="s">
        <v>1869</v>
      </c>
      <c r="L845" s="84">
        <v>42739</v>
      </c>
      <c r="M845" t="s">
        <v>381</v>
      </c>
      <c r="N845" t="s">
        <v>1870</v>
      </c>
      <c r="O845">
        <v>3</v>
      </c>
      <c r="P845" t="s">
        <v>1871</v>
      </c>
      <c r="Q845" t="s">
        <v>1872</v>
      </c>
      <c r="R845" t="s">
        <v>1873</v>
      </c>
      <c r="S845" t="s">
        <v>1874</v>
      </c>
      <c r="T845" t="s">
        <v>34</v>
      </c>
      <c r="U845" t="s">
        <v>80</v>
      </c>
      <c r="V845">
        <v>74</v>
      </c>
      <c r="W845">
        <v>81</v>
      </c>
      <c r="X845">
        <v>121</v>
      </c>
      <c r="Y845">
        <v>113</v>
      </c>
      <c r="Z845">
        <v>190</v>
      </c>
      <c r="AA845">
        <v>180</v>
      </c>
      <c r="AB845" t="s">
        <v>1084</v>
      </c>
      <c r="AC845" t="s">
        <v>223</v>
      </c>
      <c r="AD845" t="s">
        <v>210</v>
      </c>
      <c r="AE845" t="s">
        <v>183</v>
      </c>
      <c r="AF845">
        <v>0</v>
      </c>
    </row>
    <row r="846" spans="1:32">
      <c r="A846">
        <v>244</v>
      </c>
      <c r="B846">
        <v>882</v>
      </c>
      <c r="C846" t="s">
        <v>1868</v>
      </c>
      <c r="D846" t="s">
        <v>747</v>
      </c>
      <c r="E846" t="s">
        <v>2165</v>
      </c>
      <c r="F846" t="s">
        <v>7</v>
      </c>
      <c r="G846" t="s">
        <v>1978</v>
      </c>
      <c r="H846" t="s">
        <v>256</v>
      </c>
      <c r="I846" t="s">
        <v>497</v>
      </c>
      <c r="J846" t="s">
        <v>260</v>
      </c>
      <c r="K846" t="s">
        <v>1869</v>
      </c>
      <c r="L846" s="84">
        <v>42739</v>
      </c>
      <c r="M846" t="s">
        <v>381</v>
      </c>
      <c r="N846" t="s">
        <v>1870</v>
      </c>
      <c r="O846">
        <v>3</v>
      </c>
      <c r="P846" t="s">
        <v>1871</v>
      </c>
      <c r="Q846" t="s">
        <v>1872</v>
      </c>
      <c r="R846" t="s">
        <v>1873</v>
      </c>
      <c r="S846" t="s">
        <v>1874</v>
      </c>
      <c r="T846" t="s">
        <v>32</v>
      </c>
      <c r="U846" t="s">
        <v>80</v>
      </c>
      <c r="V846">
        <v>74</v>
      </c>
      <c r="W846">
        <v>81</v>
      </c>
      <c r="X846">
        <v>121</v>
      </c>
      <c r="Y846">
        <v>113</v>
      </c>
      <c r="Z846">
        <v>190</v>
      </c>
      <c r="AA846">
        <v>180</v>
      </c>
      <c r="AB846" t="s">
        <v>1084</v>
      </c>
      <c r="AC846" t="s">
        <v>223</v>
      </c>
      <c r="AD846" t="s">
        <v>210</v>
      </c>
      <c r="AE846" t="s">
        <v>183</v>
      </c>
      <c r="AF846">
        <v>0</v>
      </c>
    </row>
    <row r="847" spans="1:32">
      <c r="A847">
        <v>244</v>
      </c>
      <c r="B847">
        <v>882</v>
      </c>
      <c r="C847" t="s">
        <v>1868</v>
      </c>
      <c r="D847" t="s">
        <v>747</v>
      </c>
      <c r="E847" t="s">
        <v>2165</v>
      </c>
      <c r="F847" t="s">
        <v>8</v>
      </c>
      <c r="G847" t="s">
        <v>1977</v>
      </c>
      <c r="H847" t="s">
        <v>188</v>
      </c>
      <c r="I847" t="s">
        <v>192</v>
      </c>
      <c r="J847" t="s">
        <v>238</v>
      </c>
      <c r="K847" t="s">
        <v>1869</v>
      </c>
      <c r="L847" s="84">
        <v>42739</v>
      </c>
      <c r="M847" t="s">
        <v>381</v>
      </c>
      <c r="N847" t="s">
        <v>1870</v>
      </c>
      <c r="O847">
        <v>3</v>
      </c>
      <c r="P847" t="s">
        <v>1871</v>
      </c>
      <c r="Q847" t="s">
        <v>1872</v>
      </c>
      <c r="R847" t="s">
        <v>1873</v>
      </c>
      <c r="S847" t="s">
        <v>1874</v>
      </c>
      <c r="T847" t="s">
        <v>31</v>
      </c>
      <c r="U847" t="s">
        <v>80</v>
      </c>
      <c r="V847">
        <v>74</v>
      </c>
      <c r="W847">
        <v>81</v>
      </c>
      <c r="X847">
        <v>121</v>
      </c>
      <c r="Y847">
        <v>113</v>
      </c>
      <c r="Z847">
        <v>190</v>
      </c>
      <c r="AA847">
        <v>180</v>
      </c>
      <c r="AB847" t="s">
        <v>1084</v>
      </c>
      <c r="AC847" t="s">
        <v>223</v>
      </c>
      <c r="AD847" t="s">
        <v>210</v>
      </c>
      <c r="AE847" t="s">
        <v>183</v>
      </c>
      <c r="AF847">
        <v>0</v>
      </c>
    </row>
    <row r="848" spans="1:32">
      <c r="A848">
        <v>244</v>
      </c>
      <c r="B848">
        <v>882</v>
      </c>
      <c r="C848" t="s">
        <v>1868</v>
      </c>
      <c r="D848" t="s">
        <v>747</v>
      </c>
      <c r="E848" t="s">
        <v>2165</v>
      </c>
      <c r="F848" t="s">
        <v>5</v>
      </c>
      <c r="G848" t="s">
        <v>1976</v>
      </c>
      <c r="H848" t="s">
        <v>236</v>
      </c>
      <c r="I848" t="s">
        <v>497</v>
      </c>
      <c r="J848" t="s">
        <v>189</v>
      </c>
      <c r="K848" t="s">
        <v>1869</v>
      </c>
      <c r="L848" s="84">
        <v>42739</v>
      </c>
      <c r="M848" t="s">
        <v>381</v>
      </c>
      <c r="N848" t="s">
        <v>1870</v>
      </c>
      <c r="O848">
        <v>3</v>
      </c>
      <c r="P848" t="s">
        <v>1871</v>
      </c>
      <c r="Q848" t="s">
        <v>1872</v>
      </c>
      <c r="R848" t="s">
        <v>1873</v>
      </c>
      <c r="S848" t="s">
        <v>1874</v>
      </c>
      <c r="T848" t="s">
        <v>33</v>
      </c>
      <c r="U848" t="s">
        <v>80</v>
      </c>
      <c r="V848">
        <v>74</v>
      </c>
      <c r="W848">
        <v>81</v>
      </c>
      <c r="X848">
        <v>121</v>
      </c>
      <c r="Y848">
        <v>113</v>
      </c>
      <c r="Z848">
        <v>190</v>
      </c>
      <c r="AA848">
        <v>180</v>
      </c>
      <c r="AB848" t="s">
        <v>1084</v>
      </c>
      <c r="AC848" t="s">
        <v>223</v>
      </c>
      <c r="AD848" t="s">
        <v>210</v>
      </c>
      <c r="AE848" t="s">
        <v>183</v>
      </c>
      <c r="AF848">
        <v>0</v>
      </c>
    </row>
    <row r="849" spans="1:32">
      <c r="A849">
        <v>245</v>
      </c>
      <c r="B849">
        <v>1025</v>
      </c>
      <c r="C849" t="s">
        <v>1875</v>
      </c>
      <c r="D849" t="s">
        <v>747</v>
      </c>
      <c r="E849" t="s">
        <v>2165</v>
      </c>
      <c r="F849" t="s">
        <v>5</v>
      </c>
      <c r="G849" t="s">
        <v>1981</v>
      </c>
      <c r="H849" t="s">
        <v>497</v>
      </c>
      <c r="I849" t="s">
        <v>497</v>
      </c>
      <c r="J849" t="s">
        <v>256</v>
      </c>
      <c r="K849" t="s">
        <v>1876</v>
      </c>
      <c r="L849" s="84">
        <v>43111</v>
      </c>
      <c r="M849" t="s">
        <v>325</v>
      </c>
      <c r="N849" t="s">
        <v>1844</v>
      </c>
      <c r="O849">
        <v>3</v>
      </c>
      <c r="P849" t="s">
        <v>1877</v>
      </c>
      <c r="Q849" t="s">
        <v>1878</v>
      </c>
      <c r="R849" t="s">
        <v>2107</v>
      </c>
      <c r="S849" t="s">
        <v>2108</v>
      </c>
      <c r="T849" t="s">
        <v>33</v>
      </c>
      <c r="U849" t="s">
        <v>80</v>
      </c>
      <c r="V849">
        <v>70</v>
      </c>
      <c r="W849">
        <v>81</v>
      </c>
      <c r="X849">
        <v>121</v>
      </c>
      <c r="Y849">
        <v>106</v>
      </c>
      <c r="Z849">
        <v>190</v>
      </c>
      <c r="AA849">
        <v>172</v>
      </c>
      <c r="AB849" t="s">
        <v>209</v>
      </c>
      <c r="AC849" t="s">
        <v>243</v>
      </c>
      <c r="AD849" t="s">
        <v>210</v>
      </c>
      <c r="AE849" t="s">
        <v>183</v>
      </c>
      <c r="AF849">
        <v>0</v>
      </c>
    </row>
    <row r="850" spans="1:32">
      <c r="A850">
        <v>245</v>
      </c>
      <c r="B850">
        <v>1025</v>
      </c>
      <c r="C850" t="s">
        <v>1875</v>
      </c>
      <c r="D850" t="s">
        <v>747</v>
      </c>
      <c r="E850" t="s">
        <v>2165</v>
      </c>
      <c r="F850" t="s">
        <v>8</v>
      </c>
      <c r="G850" t="s">
        <v>1980</v>
      </c>
      <c r="H850" t="s">
        <v>274</v>
      </c>
      <c r="I850" t="s">
        <v>237</v>
      </c>
      <c r="J850" t="s">
        <v>226</v>
      </c>
      <c r="K850" t="s">
        <v>1876</v>
      </c>
      <c r="L850" s="84">
        <v>43111</v>
      </c>
      <c r="M850" t="s">
        <v>325</v>
      </c>
      <c r="N850" t="s">
        <v>1844</v>
      </c>
      <c r="O850">
        <v>3</v>
      </c>
      <c r="P850" t="s">
        <v>1877</v>
      </c>
      <c r="Q850" t="s">
        <v>1878</v>
      </c>
      <c r="R850" t="s">
        <v>2107</v>
      </c>
      <c r="S850" t="s">
        <v>2108</v>
      </c>
      <c r="T850" t="s">
        <v>31</v>
      </c>
      <c r="U850" t="s">
        <v>80</v>
      </c>
      <c r="V850">
        <v>70</v>
      </c>
      <c r="W850">
        <v>81</v>
      </c>
      <c r="X850">
        <v>121</v>
      </c>
      <c r="Y850">
        <v>106</v>
      </c>
      <c r="Z850">
        <v>190</v>
      </c>
      <c r="AA850">
        <v>172</v>
      </c>
      <c r="AB850" t="s">
        <v>209</v>
      </c>
      <c r="AC850" t="s">
        <v>243</v>
      </c>
      <c r="AD850" t="s">
        <v>210</v>
      </c>
      <c r="AE850" t="s">
        <v>183</v>
      </c>
      <c r="AF850">
        <v>0</v>
      </c>
    </row>
    <row r="851" spans="1:32">
      <c r="A851">
        <v>245</v>
      </c>
      <c r="B851">
        <v>1025</v>
      </c>
      <c r="C851" t="s">
        <v>1875</v>
      </c>
      <c r="D851" t="s">
        <v>747</v>
      </c>
      <c r="E851" t="s">
        <v>2165</v>
      </c>
      <c r="F851" t="s">
        <v>7</v>
      </c>
      <c r="G851" t="s">
        <v>1979</v>
      </c>
      <c r="H851" t="s">
        <v>220</v>
      </c>
      <c r="I851" t="s">
        <v>215</v>
      </c>
      <c r="J851" t="s">
        <v>239</v>
      </c>
      <c r="K851" t="s">
        <v>1876</v>
      </c>
      <c r="L851" s="84">
        <v>43111</v>
      </c>
      <c r="M851" t="s">
        <v>325</v>
      </c>
      <c r="N851" t="s">
        <v>1844</v>
      </c>
      <c r="O851">
        <v>3</v>
      </c>
      <c r="P851" t="s">
        <v>1877</v>
      </c>
      <c r="Q851" t="s">
        <v>1878</v>
      </c>
      <c r="R851" t="s">
        <v>2107</v>
      </c>
      <c r="S851" t="s">
        <v>2108</v>
      </c>
      <c r="T851" t="s">
        <v>32</v>
      </c>
      <c r="U851" t="s">
        <v>80</v>
      </c>
      <c r="V851">
        <v>70</v>
      </c>
      <c r="W851">
        <v>81</v>
      </c>
      <c r="X851">
        <v>121</v>
      </c>
      <c r="Y851">
        <v>106</v>
      </c>
      <c r="Z851">
        <v>190</v>
      </c>
      <c r="AA851">
        <v>172</v>
      </c>
      <c r="AB851" t="s">
        <v>209</v>
      </c>
      <c r="AC851" t="s">
        <v>243</v>
      </c>
      <c r="AD851" t="s">
        <v>210</v>
      </c>
      <c r="AE851" t="s">
        <v>183</v>
      </c>
      <c r="AF851">
        <v>0</v>
      </c>
    </row>
    <row r="852" spans="1:32">
      <c r="A852">
        <v>245</v>
      </c>
      <c r="B852">
        <v>1025</v>
      </c>
      <c r="C852" t="s">
        <v>1875</v>
      </c>
      <c r="D852" t="s">
        <v>747</v>
      </c>
      <c r="E852" t="s">
        <v>2165</v>
      </c>
      <c r="F852" t="s">
        <v>6</v>
      </c>
      <c r="G852" t="s">
        <v>1983</v>
      </c>
      <c r="H852" t="s">
        <v>237</v>
      </c>
      <c r="I852" t="s">
        <v>171</v>
      </c>
      <c r="J852" t="s">
        <v>191</v>
      </c>
      <c r="K852" t="s">
        <v>1876</v>
      </c>
      <c r="L852" s="84">
        <v>43111</v>
      </c>
      <c r="M852" t="s">
        <v>325</v>
      </c>
      <c r="N852" t="s">
        <v>1844</v>
      </c>
      <c r="O852">
        <v>3</v>
      </c>
      <c r="P852" t="s">
        <v>1877</v>
      </c>
      <c r="Q852" t="s">
        <v>1878</v>
      </c>
      <c r="R852" t="s">
        <v>2107</v>
      </c>
      <c r="S852" t="s">
        <v>2108</v>
      </c>
      <c r="T852" t="s">
        <v>34</v>
      </c>
      <c r="U852" t="s">
        <v>80</v>
      </c>
      <c r="V852">
        <v>70</v>
      </c>
      <c r="W852">
        <v>81</v>
      </c>
      <c r="X852">
        <v>121</v>
      </c>
      <c r="Y852">
        <v>106</v>
      </c>
      <c r="Z852">
        <v>190</v>
      </c>
      <c r="AA852">
        <v>172</v>
      </c>
      <c r="AB852" t="s">
        <v>209</v>
      </c>
      <c r="AC852" t="s">
        <v>243</v>
      </c>
      <c r="AD852" t="s">
        <v>210</v>
      </c>
      <c r="AE852" t="s">
        <v>183</v>
      </c>
      <c r="AF852">
        <v>0</v>
      </c>
    </row>
    <row r="853" spans="1:32">
      <c r="A853">
        <v>245</v>
      </c>
      <c r="B853">
        <v>1025</v>
      </c>
      <c r="C853" t="s">
        <v>1875</v>
      </c>
      <c r="D853" t="s">
        <v>747</v>
      </c>
      <c r="E853" t="s">
        <v>2165</v>
      </c>
      <c r="F853" t="s">
        <v>197</v>
      </c>
      <c r="G853" t="s">
        <v>1982</v>
      </c>
      <c r="H853" t="s">
        <v>212</v>
      </c>
      <c r="I853" t="s">
        <v>188</v>
      </c>
      <c r="J853" t="s">
        <v>212</v>
      </c>
      <c r="K853" t="s">
        <v>1876</v>
      </c>
      <c r="L853" s="84">
        <v>43111</v>
      </c>
      <c r="M853" t="s">
        <v>325</v>
      </c>
      <c r="N853" t="s">
        <v>1844</v>
      </c>
      <c r="O853">
        <v>3</v>
      </c>
      <c r="P853" t="s">
        <v>1877</v>
      </c>
      <c r="Q853" t="s">
        <v>1878</v>
      </c>
      <c r="R853" t="s">
        <v>2107</v>
      </c>
      <c r="S853" t="s">
        <v>2108</v>
      </c>
      <c r="T853" t="s">
        <v>38</v>
      </c>
      <c r="U853" t="s">
        <v>80</v>
      </c>
      <c r="V853">
        <v>70</v>
      </c>
      <c r="W853">
        <v>81</v>
      </c>
      <c r="X853">
        <v>121</v>
      </c>
      <c r="Y853">
        <v>106</v>
      </c>
      <c r="Z853">
        <v>190</v>
      </c>
      <c r="AA853">
        <v>172</v>
      </c>
      <c r="AB853" t="s">
        <v>209</v>
      </c>
      <c r="AC853" t="s">
        <v>243</v>
      </c>
      <c r="AD853" t="s">
        <v>210</v>
      </c>
      <c r="AE853" t="s">
        <v>183</v>
      </c>
      <c r="AF853">
        <v>0</v>
      </c>
    </row>
    <row r="854" spans="1:32">
      <c r="A854">
        <v>245</v>
      </c>
      <c r="B854">
        <v>1025</v>
      </c>
      <c r="C854" t="s">
        <v>1875</v>
      </c>
      <c r="D854" t="s">
        <v>747</v>
      </c>
      <c r="E854" t="s">
        <v>2165</v>
      </c>
      <c r="F854" t="s">
        <v>37</v>
      </c>
      <c r="G854" t="s">
        <v>2892</v>
      </c>
      <c r="H854" t="s">
        <v>212</v>
      </c>
      <c r="I854" t="s">
        <v>212</v>
      </c>
      <c r="J854" t="s">
        <v>212</v>
      </c>
      <c r="K854" t="s">
        <v>1876</v>
      </c>
      <c r="L854" s="84">
        <v>43111</v>
      </c>
      <c r="M854" t="s">
        <v>325</v>
      </c>
      <c r="N854" t="s">
        <v>1844</v>
      </c>
      <c r="O854">
        <v>3</v>
      </c>
      <c r="P854" t="s">
        <v>1877</v>
      </c>
      <c r="Q854" t="s">
        <v>1878</v>
      </c>
      <c r="R854" t="s">
        <v>2107</v>
      </c>
      <c r="S854" t="s">
        <v>2108</v>
      </c>
      <c r="T854" t="s">
        <v>37</v>
      </c>
      <c r="U854" t="s">
        <v>80</v>
      </c>
      <c r="V854">
        <v>70</v>
      </c>
      <c r="W854">
        <v>81</v>
      </c>
      <c r="X854">
        <v>121</v>
      </c>
      <c r="Y854">
        <v>106</v>
      </c>
      <c r="Z854">
        <v>190</v>
      </c>
      <c r="AA854">
        <v>172</v>
      </c>
      <c r="AB854" t="s">
        <v>209</v>
      </c>
      <c r="AC854" t="s">
        <v>243</v>
      </c>
      <c r="AD854" t="s">
        <v>210</v>
      </c>
      <c r="AE854" t="s">
        <v>183</v>
      </c>
      <c r="AF854">
        <v>0</v>
      </c>
    </row>
    <row r="855" spans="1:32">
      <c r="A855">
        <v>245</v>
      </c>
      <c r="B855">
        <v>1025</v>
      </c>
      <c r="C855" t="s">
        <v>1875</v>
      </c>
      <c r="D855" t="s">
        <v>747</v>
      </c>
      <c r="E855" t="s">
        <v>2165</v>
      </c>
      <c r="F855" t="s">
        <v>193</v>
      </c>
      <c r="G855" t="s">
        <v>2157</v>
      </c>
      <c r="H855" t="s">
        <v>212</v>
      </c>
      <c r="I855" t="s">
        <v>212</v>
      </c>
      <c r="J855" t="s">
        <v>192</v>
      </c>
      <c r="K855" t="s">
        <v>1876</v>
      </c>
      <c r="L855" s="84">
        <v>43111</v>
      </c>
      <c r="M855" t="s">
        <v>325</v>
      </c>
      <c r="N855" t="s">
        <v>1844</v>
      </c>
      <c r="O855">
        <v>3</v>
      </c>
      <c r="P855" t="s">
        <v>1877</v>
      </c>
      <c r="Q855" t="s">
        <v>1878</v>
      </c>
      <c r="R855" t="s">
        <v>2107</v>
      </c>
      <c r="S855" t="s">
        <v>2108</v>
      </c>
      <c r="T855" t="s">
        <v>36</v>
      </c>
      <c r="U855" t="s">
        <v>80</v>
      </c>
      <c r="V855">
        <v>70</v>
      </c>
      <c r="W855">
        <v>81</v>
      </c>
      <c r="X855">
        <v>121</v>
      </c>
      <c r="Y855">
        <v>106</v>
      </c>
      <c r="Z855">
        <v>190</v>
      </c>
      <c r="AA855">
        <v>172</v>
      </c>
      <c r="AB855" t="s">
        <v>209</v>
      </c>
      <c r="AC855" t="s">
        <v>243</v>
      </c>
      <c r="AD855" t="s">
        <v>210</v>
      </c>
      <c r="AE855" t="s">
        <v>183</v>
      </c>
      <c r="AF855">
        <v>0</v>
      </c>
    </row>
    <row r="856" spans="1:32">
      <c r="A856">
        <v>246</v>
      </c>
      <c r="B856">
        <v>871</v>
      </c>
      <c r="C856" t="s">
        <v>1879</v>
      </c>
      <c r="D856" t="s">
        <v>747</v>
      </c>
      <c r="E856" t="s">
        <v>2165</v>
      </c>
      <c r="F856" t="s">
        <v>193</v>
      </c>
      <c r="G856" t="s">
        <v>2158</v>
      </c>
      <c r="H856" t="s">
        <v>212</v>
      </c>
      <c r="I856" t="s">
        <v>212</v>
      </c>
      <c r="J856" t="s">
        <v>192</v>
      </c>
      <c r="K856" t="s">
        <v>1880</v>
      </c>
      <c r="L856" s="84">
        <v>42560</v>
      </c>
      <c r="M856" t="s">
        <v>381</v>
      </c>
      <c r="N856" t="s">
        <v>969</v>
      </c>
      <c r="O856">
        <v>3</v>
      </c>
      <c r="P856" t="s">
        <v>1881</v>
      </c>
      <c r="Q856" t="s">
        <v>1882</v>
      </c>
      <c r="R856" t="s">
        <v>1883</v>
      </c>
      <c r="S856" t="s">
        <v>1884</v>
      </c>
      <c r="T856" t="s">
        <v>36</v>
      </c>
      <c r="U856" t="s">
        <v>80</v>
      </c>
      <c r="V856">
        <v>68</v>
      </c>
      <c r="W856">
        <v>81</v>
      </c>
      <c r="X856">
        <v>121</v>
      </c>
      <c r="Y856">
        <v>97</v>
      </c>
      <c r="Z856">
        <v>190</v>
      </c>
      <c r="AA856">
        <v>159</v>
      </c>
      <c r="AB856" t="s">
        <v>2546</v>
      </c>
      <c r="AC856" t="s">
        <v>221</v>
      </c>
      <c r="AD856" t="s">
        <v>210</v>
      </c>
      <c r="AE856" t="s">
        <v>183</v>
      </c>
      <c r="AF856">
        <v>0</v>
      </c>
    </row>
    <row r="857" spans="1:32">
      <c r="A857">
        <v>246</v>
      </c>
      <c r="B857">
        <v>871</v>
      </c>
      <c r="C857" t="s">
        <v>1879</v>
      </c>
      <c r="D857" t="s">
        <v>747</v>
      </c>
      <c r="E857" t="s">
        <v>2165</v>
      </c>
      <c r="F857" t="s">
        <v>37</v>
      </c>
      <c r="G857" t="s">
        <v>2893</v>
      </c>
      <c r="H857" t="s">
        <v>212</v>
      </c>
      <c r="I857" t="s">
        <v>212</v>
      </c>
      <c r="J857" t="s">
        <v>212</v>
      </c>
      <c r="K857" t="s">
        <v>1880</v>
      </c>
      <c r="L857" s="84">
        <v>42560</v>
      </c>
      <c r="M857" t="s">
        <v>381</v>
      </c>
      <c r="N857" t="s">
        <v>969</v>
      </c>
      <c r="O857">
        <v>3</v>
      </c>
      <c r="P857" t="s">
        <v>1881</v>
      </c>
      <c r="Q857" t="s">
        <v>1882</v>
      </c>
      <c r="R857" t="s">
        <v>1883</v>
      </c>
      <c r="S857" t="s">
        <v>1884</v>
      </c>
      <c r="T857" t="s">
        <v>37</v>
      </c>
      <c r="U857" t="s">
        <v>80</v>
      </c>
      <c r="V857">
        <v>68</v>
      </c>
      <c r="W857">
        <v>81</v>
      </c>
      <c r="X857">
        <v>121</v>
      </c>
      <c r="Y857">
        <v>97</v>
      </c>
      <c r="Z857">
        <v>190</v>
      </c>
      <c r="AA857">
        <v>159</v>
      </c>
      <c r="AB857" t="s">
        <v>2546</v>
      </c>
      <c r="AC857" t="s">
        <v>221</v>
      </c>
      <c r="AD857" t="s">
        <v>210</v>
      </c>
      <c r="AE857" t="s">
        <v>183</v>
      </c>
      <c r="AF857">
        <v>0</v>
      </c>
    </row>
    <row r="858" spans="1:32">
      <c r="A858">
        <v>246</v>
      </c>
      <c r="B858">
        <v>871</v>
      </c>
      <c r="C858" t="s">
        <v>1879</v>
      </c>
      <c r="D858" t="s">
        <v>747</v>
      </c>
      <c r="E858" t="s">
        <v>2165</v>
      </c>
      <c r="F858" t="s">
        <v>197</v>
      </c>
      <c r="G858" t="s">
        <v>1985</v>
      </c>
      <c r="H858" t="s">
        <v>212</v>
      </c>
      <c r="I858" t="s">
        <v>188</v>
      </c>
      <c r="J858" t="s">
        <v>212</v>
      </c>
      <c r="K858" t="s">
        <v>1880</v>
      </c>
      <c r="L858" s="84">
        <v>42560</v>
      </c>
      <c r="M858" t="s">
        <v>381</v>
      </c>
      <c r="N858" t="s">
        <v>969</v>
      </c>
      <c r="O858">
        <v>3</v>
      </c>
      <c r="P858" t="s">
        <v>1881</v>
      </c>
      <c r="Q858" t="s">
        <v>1882</v>
      </c>
      <c r="R858" t="s">
        <v>1883</v>
      </c>
      <c r="S858" t="s">
        <v>1884</v>
      </c>
      <c r="T858" t="s">
        <v>38</v>
      </c>
      <c r="U858" t="s">
        <v>80</v>
      </c>
      <c r="V858">
        <v>68</v>
      </c>
      <c r="W858">
        <v>81</v>
      </c>
      <c r="X858">
        <v>121</v>
      </c>
      <c r="Y858">
        <v>97</v>
      </c>
      <c r="Z858">
        <v>190</v>
      </c>
      <c r="AA858">
        <v>159</v>
      </c>
      <c r="AB858" t="s">
        <v>2546</v>
      </c>
      <c r="AC858" t="s">
        <v>221</v>
      </c>
      <c r="AD858" t="s">
        <v>210</v>
      </c>
      <c r="AE858" t="s">
        <v>183</v>
      </c>
      <c r="AF858">
        <v>0</v>
      </c>
    </row>
    <row r="859" spans="1:32">
      <c r="A859">
        <v>246</v>
      </c>
      <c r="B859">
        <v>871</v>
      </c>
      <c r="C859" t="s">
        <v>1879</v>
      </c>
      <c r="D859" t="s">
        <v>747</v>
      </c>
      <c r="E859" t="s">
        <v>2165</v>
      </c>
      <c r="F859" t="s">
        <v>6</v>
      </c>
      <c r="G859" t="s">
        <v>1984</v>
      </c>
      <c r="H859" t="s">
        <v>228</v>
      </c>
      <c r="I859" t="s">
        <v>223</v>
      </c>
      <c r="J859" t="s">
        <v>226</v>
      </c>
      <c r="K859" t="s">
        <v>1880</v>
      </c>
      <c r="L859" s="84">
        <v>42560</v>
      </c>
      <c r="M859" t="s">
        <v>381</v>
      </c>
      <c r="N859" t="s">
        <v>969</v>
      </c>
      <c r="O859">
        <v>3</v>
      </c>
      <c r="P859" t="s">
        <v>1881</v>
      </c>
      <c r="Q859" t="s">
        <v>1882</v>
      </c>
      <c r="R859" t="s">
        <v>1883</v>
      </c>
      <c r="S859" t="s">
        <v>1884</v>
      </c>
      <c r="T859" t="s">
        <v>34</v>
      </c>
      <c r="U859" t="s">
        <v>80</v>
      </c>
      <c r="V859">
        <v>68</v>
      </c>
      <c r="W859">
        <v>81</v>
      </c>
      <c r="X859">
        <v>121</v>
      </c>
      <c r="Y859">
        <v>97</v>
      </c>
      <c r="Z859">
        <v>190</v>
      </c>
      <c r="AA859">
        <v>159</v>
      </c>
      <c r="AB859" t="s">
        <v>2546</v>
      </c>
      <c r="AC859" t="s">
        <v>221</v>
      </c>
      <c r="AD859" t="s">
        <v>210</v>
      </c>
      <c r="AE859" t="s">
        <v>183</v>
      </c>
      <c r="AF859">
        <v>0</v>
      </c>
    </row>
    <row r="860" spans="1:32">
      <c r="A860">
        <v>246</v>
      </c>
      <c r="B860">
        <v>871</v>
      </c>
      <c r="C860" t="s">
        <v>1879</v>
      </c>
      <c r="D860" t="s">
        <v>747</v>
      </c>
      <c r="E860" t="s">
        <v>2165</v>
      </c>
      <c r="F860" t="s">
        <v>7</v>
      </c>
      <c r="G860" t="s">
        <v>1988</v>
      </c>
      <c r="H860" t="s">
        <v>236</v>
      </c>
      <c r="I860" t="s">
        <v>220</v>
      </c>
      <c r="J860" t="s">
        <v>238</v>
      </c>
      <c r="K860" t="s">
        <v>1880</v>
      </c>
      <c r="L860" s="84">
        <v>42560</v>
      </c>
      <c r="M860" t="s">
        <v>381</v>
      </c>
      <c r="N860" t="s">
        <v>969</v>
      </c>
      <c r="O860">
        <v>3</v>
      </c>
      <c r="P860" t="s">
        <v>1881</v>
      </c>
      <c r="Q860" t="s">
        <v>1882</v>
      </c>
      <c r="R860" t="s">
        <v>1883</v>
      </c>
      <c r="S860" t="s">
        <v>1884</v>
      </c>
      <c r="T860" t="s">
        <v>32</v>
      </c>
      <c r="U860" t="s">
        <v>80</v>
      </c>
      <c r="V860">
        <v>68</v>
      </c>
      <c r="W860">
        <v>81</v>
      </c>
      <c r="X860">
        <v>121</v>
      </c>
      <c r="Y860">
        <v>97</v>
      </c>
      <c r="Z860">
        <v>190</v>
      </c>
      <c r="AA860">
        <v>159</v>
      </c>
      <c r="AB860" t="s">
        <v>2546</v>
      </c>
      <c r="AC860" t="s">
        <v>221</v>
      </c>
      <c r="AD860" t="s">
        <v>210</v>
      </c>
      <c r="AE860" t="s">
        <v>183</v>
      </c>
      <c r="AF860">
        <v>0</v>
      </c>
    </row>
    <row r="861" spans="1:32">
      <c r="A861">
        <v>246</v>
      </c>
      <c r="B861">
        <v>871</v>
      </c>
      <c r="C861" t="s">
        <v>1879</v>
      </c>
      <c r="D861" t="s">
        <v>747</v>
      </c>
      <c r="E861" t="s">
        <v>2165</v>
      </c>
      <c r="F861" t="s">
        <v>8</v>
      </c>
      <c r="G861" t="s">
        <v>1987</v>
      </c>
      <c r="H861" t="s">
        <v>212</v>
      </c>
      <c r="I861" t="s">
        <v>188</v>
      </c>
      <c r="J861" t="s">
        <v>226</v>
      </c>
      <c r="K861" t="s">
        <v>1880</v>
      </c>
      <c r="L861" s="84">
        <v>42560</v>
      </c>
      <c r="M861" t="s">
        <v>381</v>
      </c>
      <c r="N861" t="s">
        <v>969</v>
      </c>
      <c r="O861">
        <v>3</v>
      </c>
      <c r="P861" t="s">
        <v>1881</v>
      </c>
      <c r="Q861" t="s">
        <v>1882</v>
      </c>
      <c r="R861" t="s">
        <v>1883</v>
      </c>
      <c r="S861" t="s">
        <v>1884</v>
      </c>
      <c r="T861" t="s">
        <v>31</v>
      </c>
      <c r="U861" t="s">
        <v>80</v>
      </c>
      <c r="V861">
        <v>68</v>
      </c>
      <c r="W861">
        <v>81</v>
      </c>
      <c r="X861">
        <v>121</v>
      </c>
      <c r="Y861">
        <v>97</v>
      </c>
      <c r="Z861">
        <v>190</v>
      </c>
      <c r="AA861">
        <v>159</v>
      </c>
      <c r="AB861" t="s">
        <v>2546</v>
      </c>
      <c r="AC861" t="s">
        <v>221</v>
      </c>
      <c r="AD861" t="s">
        <v>210</v>
      </c>
      <c r="AE861" t="s">
        <v>183</v>
      </c>
      <c r="AF861">
        <v>0</v>
      </c>
    </row>
    <row r="862" spans="1:32">
      <c r="A862">
        <v>246</v>
      </c>
      <c r="B862">
        <v>871</v>
      </c>
      <c r="C862" t="s">
        <v>1879</v>
      </c>
      <c r="D862" t="s">
        <v>747</v>
      </c>
      <c r="E862" t="s">
        <v>2165</v>
      </c>
      <c r="F862" t="s">
        <v>5</v>
      </c>
      <c r="G862" t="s">
        <v>1986</v>
      </c>
      <c r="H862" t="s">
        <v>221</v>
      </c>
      <c r="I862" t="s">
        <v>228</v>
      </c>
      <c r="J862" t="s">
        <v>221</v>
      </c>
      <c r="K862" t="s">
        <v>1880</v>
      </c>
      <c r="L862" s="84">
        <v>42560</v>
      </c>
      <c r="M862" t="s">
        <v>381</v>
      </c>
      <c r="N862" t="s">
        <v>969</v>
      </c>
      <c r="O862">
        <v>3</v>
      </c>
      <c r="P862" t="s">
        <v>1881</v>
      </c>
      <c r="Q862" t="s">
        <v>1882</v>
      </c>
      <c r="R862" t="s">
        <v>1883</v>
      </c>
      <c r="S862" t="s">
        <v>1884</v>
      </c>
      <c r="T862" t="s">
        <v>33</v>
      </c>
      <c r="U862" t="s">
        <v>80</v>
      </c>
      <c r="V862">
        <v>68</v>
      </c>
      <c r="W862">
        <v>81</v>
      </c>
      <c r="X862">
        <v>121</v>
      </c>
      <c r="Y862">
        <v>97</v>
      </c>
      <c r="Z862">
        <v>190</v>
      </c>
      <c r="AA862">
        <v>159</v>
      </c>
      <c r="AB862" t="s">
        <v>2546</v>
      </c>
      <c r="AC862" t="s">
        <v>221</v>
      </c>
      <c r="AD862" t="s">
        <v>210</v>
      </c>
      <c r="AE862" t="s">
        <v>183</v>
      </c>
      <c r="AF862">
        <v>0</v>
      </c>
    </row>
    <row r="863" spans="1:32">
      <c r="A863">
        <v>247</v>
      </c>
      <c r="B863">
        <v>1046</v>
      </c>
      <c r="C863" t="s">
        <v>2902</v>
      </c>
      <c r="D863" t="s">
        <v>747</v>
      </c>
      <c r="E863" t="s">
        <v>2165</v>
      </c>
      <c r="F863" t="s">
        <v>5</v>
      </c>
      <c r="G863" t="s">
        <v>1991</v>
      </c>
      <c r="H863" t="s">
        <v>274</v>
      </c>
      <c r="I863" t="s">
        <v>189</v>
      </c>
      <c r="J863" t="s">
        <v>215</v>
      </c>
      <c r="K863" t="s">
        <v>1885</v>
      </c>
      <c r="L863" s="84">
        <v>42994</v>
      </c>
      <c r="M863" t="s">
        <v>381</v>
      </c>
      <c r="N863" t="s">
        <v>1886</v>
      </c>
      <c r="O863">
        <v>3</v>
      </c>
      <c r="P863" t="s">
        <v>1235</v>
      </c>
      <c r="Q863" t="s">
        <v>1887</v>
      </c>
      <c r="R863" t="s">
        <v>2109</v>
      </c>
      <c r="S863" t="s">
        <v>2110</v>
      </c>
      <c r="T863" t="s">
        <v>33</v>
      </c>
      <c r="U863" t="s">
        <v>80</v>
      </c>
      <c r="V863">
        <v>62</v>
      </c>
      <c r="W863">
        <v>81</v>
      </c>
      <c r="X863">
        <v>121</v>
      </c>
      <c r="Y863">
        <v>100</v>
      </c>
      <c r="Z863">
        <v>190</v>
      </c>
      <c r="AA863">
        <v>163</v>
      </c>
      <c r="AB863" t="s">
        <v>180</v>
      </c>
      <c r="AC863" t="s">
        <v>181</v>
      </c>
      <c r="AD863" t="s">
        <v>210</v>
      </c>
      <c r="AE863" t="s">
        <v>183</v>
      </c>
      <c r="AF863">
        <v>0</v>
      </c>
    </row>
    <row r="864" spans="1:32">
      <c r="A864">
        <v>247</v>
      </c>
      <c r="B864">
        <v>1046</v>
      </c>
      <c r="C864" t="s">
        <v>2902</v>
      </c>
      <c r="D864" t="s">
        <v>747</v>
      </c>
      <c r="E864" t="s">
        <v>2165</v>
      </c>
      <c r="F864" t="s">
        <v>8</v>
      </c>
      <c r="G864" t="s">
        <v>1990</v>
      </c>
      <c r="H864" t="s">
        <v>220</v>
      </c>
      <c r="I864" t="s">
        <v>221</v>
      </c>
      <c r="J864" t="s">
        <v>223</v>
      </c>
      <c r="K864" t="s">
        <v>1885</v>
      </c>
      <c r="L864" s="84">
        <v>42994</v>
      </c>
      <c r="M864" t="s">
        <v>381</v>
      </c>
      <c r="N864" t="s">
        <v>1886</v>
      </c>
      <c r="O864">
        <v>3</v>
      </c>
      <c r="P864" t="s">
        <v>1235</v>
      </c>
      <c r="Q864" t="s">
        <v>1887</v>
      </c>
      <c r="R864" t="s">
        <v>2109</v>
      </c>
      <c r="S864" t="s">
        <v>2110</v>
      </c>
      <c r="T864" t="s">
        <v>31</v>
      </c>
      <c r="U864" t="s">
        <v>80</v>
      </c>
      <c r="V864">
        <v>62</v>
      </c>
      <c r="W864">
        <v>81</v>
      </c>
      <c r="X864">
        <v>121</v>
      </c>
      <c r="Y864">
        <v>100</v>
      </c>
      <c r="Z864">
        <v>190</v>
      </c>
      <c r="AA864">
        <v>163</v>
      </c>
      <c r="AB864" t="s">
        <v>180</v>
      </c>
      <c r="AC864" t="s">
        <v>181</v>
      </c>
      <c r="AD864" t="s">
        <v>210</v>
      </c>
      <c r="AE864" t="s">
        <v>183</v>
      </c>
      <c r="AF864">
        <v>0</v>
      </c>
    </row>
    <row r="865" spans="1:32">
      <c r="A865">
        <v>247</v>
      </c>
      <c r="B865">
        <v>1046</v>
      </c>
      <c r="C865" t="s">
        <v>2902</v>
      </c>
      <c r="D865" t="s">
        <v>747</v>
      </c>
      <c r="E865" t="s">
        <v>2165</v>
      </c>
      <c r="F865" t="s">
        <v>7</v>
      </c>
      <c r="G865" t="s">
        <v>1989</v>
      </c>
      <c r="H865" t="s">
        <v>256</v>
      </c>
      <c r="I865" t="s">
        <v>297</v>
      </c>
      <c r="J865" t="s">
        <v>239</v>
      </c>
      <c r="K865" t="s">
        <v>1885</v>
      </c>
      <c r="L865" s="84">
        <v>42994</v>
      </c>
      <c r="M865" t="s">
        <v>381</v>
      </c>
      <c r="N865" t="s">
        <v>1886</v>
      </c>
      <c r="O865">
        <v>3</v>
      </c>
      <c r="P865" t="s">
        <v>1235</v>
      </c>
      <c r="Q865" t="s">
        <v>1887</v>
      </c>
      <c r="R865" t="s">
        <v>2109</v>
      </c>
      <c r="S865" t="s">
        <v>2110</v>
      </c>
      <c r="T865" t="s">
        <v>32</v>
      </c>
      <c r="U865" t="s">
        <v>80</v>
      </c>
      <c r="V865">
        <v>62</v>
      </c>
      <c r="W865">
        <v>81</v>
      </c>
      <c r="X865">
        <v>121</v>
      </c>
      <c r="Y865">
        <v>100</v>
      </c>
      <c r="Z865">
        <v>190</v>
      </c>
      <c r="AA865">
        <v>163</v>
      </c>
      <c r="AB865" t="s">
        <v>180</v>
      </c>
      <c r="AC865" t="s">
        <v>181</v>
      </c>
      <c r="AD865" t="s">
        <v>210</v>
      </c>
      <c r="AE865" t="s">
        <v>183</v>
      </c>
      <c r="AF865">
        <v>0</v>
      </c>
    </row>
    <row r="866" spans="1:32">
      <c r="A866">
        <v>247</v>
      </c>
      <c r="B866">
        <v>1046</v>
      </c>
      <c r="C866" t="s">
        <v>2902</v>
      </c>
      <c r="D866" t="s">
        <v>747</v>
      </c>
      <c r="E866" t="s">
        <v>2165</v>
      </c>
      <c r="F866" t="s">
        <v>6</v>
      </c>
      <c r="G866" t="s">
        <v>1993</v>
      </c>
      <c r="H866" t="s">
        <v>171</v>
      </c>
      <c r="I866" t="s">
        <v>216</v>
      </c>
      <c r="J866" t="s">
        <v>239</v>
      </c>
      <c r="K866" t="s">
        <v>1885</v>
      </c>
      <c r="L866" s="84">
        <v>42994</v>
      </c>
      <c r="M866" t="s">
        <v>381</v>
      </c>
      <c r="N866" t="s">
        <v>1886</v>
      </c>
      <c r="O866">
        <v>3</v>
      </c>
      <c r="P866" t="s">
        <v>1235</v>
      </c>
      <c r="Q866" t="s">
        <v>1887</v>
      </c>
      <c r="R866" t="s">
        <v>2109</v>
      </c>
      <c r="S866" t="s">
        <v>2110</v>
      </c>
      <c r="T866" t="s">
        <v>34</v>
      </c>
      <c r="U866" t="s">
        <v>80</v>
      </c>
      <c r="V866">
        <v>62</v>
      </c>
      <c r="W866">
        <v>81</v>
      </c>
      <c r="X866">
        <v>121</v>
      </c>
      <c r="Y866">
        <v>100</v>
      </c>
      <c r="Z866">
        <v>190</v>
      </c>
      <c r="AA866">
        <v>163</v>
      </c>
      <c r="AB866" t="s">
        <v>180</v>
      </c>
      <c r="AC866" t="s">
        <v>181</v>
      </c>
      <c r="AD866" t="s">
        <v>210</v>
      </c>
      <c r="AE866" t="s">
        <v>183</v>
      </c>
      <c r="AF866">
        <v>0</v>
      </c>
    </row>
    <row r="867" spans="1:32">
      <c r="A867">
        <v>247</v>
      </c>
      <c r="B867">
        <v>1046</v>
      </c>
      <c r="C867" t="s">
        <v>2902</v>
      </c>
      <c r="D867" t="s">
        <v>747</v>
      </c>
      <c r="E867" t="s">
        <v>2165</v>
      </c>
      <c r="F867" t="s">
        <v>197</v>
      </c>
      <c r="G867" t="s">
        <v>1992</v>
      </c>
      <c r="H867" t="s">
        <v>212</v>
      </c>
      <c r="I867" t="s">
        <v>188</v>
      </c>
      <c r="J867" t="s">
        <v>192</v>
      </c>
      <c r="K867" t="s">
        <v>1885</v>
      </c>
      <c r="L867" s="84">
        <v>42994</v>
      </c>
      <c r="M867" t="s">
        <v>381</v>
      </c>
      <c r="N867" t="s">
        <v>1886</v>
      </c>
      <c r="O867">
        <v>3</v>
      </c>
      <c r="P867" t="s">
        <v>1235</v>
      </c>
      <c r="Q867" t="s">
        <v>1887</v>
      </c>
      <c r="R867" t="s">
        <v>2109</v>
      </c>
      <c r="S867" t="s">
        <v>2110</v>
      </c>
      <c r="T867" t="s">
        <v>38</v>
      </c>
      <c r="U867" t="s">
        <v>80</v>
      </c>
      <c r="V867">
        <v>62</v>
      </c>
      <c r="W867">
        <v>81</v>
      </c>
      <c r="X867">
        <v>121</v>
      </c>
      <c r="Y867">
        <v>100</v>
      </c>
      <c r="Z867">
        <v>190</v>
      </c>
      <c r="AA867">
        <v>163</v>
      </c>
      <c r="AB867" t="s">
        <v>180</v>
      </c>
      <c r="AC867" t="s">
        <v>181</v>
      </c>
      <c r="AD867" t="s">
        <v>210</v>
      </c>
      <c r="AE867" t="s">
        <v>183</v>
      </c>
      <c r="AF867">
        <v>0</v>
      </c>
    </row>
    <row r="868" spans="1:32">
      <c r="A868">
        <v>247</v>
      </c>
      <c r="B868">
        <v>1046</v>
      </c>
      <c r="C868" t="s">
        <v>2902</v>
      </c>
      <c r="D868" t="s">
        <v>747</v>
      </c>
      <c r="E868" t="s">
        <v>2165</v>
      </c>
      <c r="F868" t="s">
        <v>37</v>
      </c>
      <c r="G868" t="s">
        <v>2894</v>
      </c>
      <c r="H868" t="s">
        <v>212</v>
      </c>
      <c r="I868" t="s">
        <v>212</v>
      </c>
      <c r="J868" t="s">
        <v>212</v>
      </c>
      <c r="K868" t="s">
        <v>1885</v>
      </c>
      <c r="L868" s="84">
        <v>42994</v>
      </c>
      <c r="M868" t="s">
        <v>381</v>
      </c>
      <c r="N868" t="s">
        <v>1886</v>
      </c>
      <c r="O868">
        <v>3</v>
      </c>
      <c r="P868" t="s">
        <v>1235</v>
      </c>
      <c r="Q868" t="s">
        <v>1887</v>
      </c>
      <c r="R868" t="s">
        <v>2109</v>
      </c>
      <c r="S868" t="s">
        <v>2110</v>
      </c>
      <c r="T868" t="s">
        <v>37</v>
      </c>
      <c r="U868" t="s">
        <v>80</v>
      </c>
      <c r="V868">
        <v>62</v>
      </c>
      <c r="W868">
        <v>81</v>
      </c>
      <c r="X868">
        <v>121</v>
      </c>
      <c r="Y868">
        <v>100</v>
      </c>
      <c r="Z868">
        <v>190</v>
      </c>
      <c r="AA868">
        <v>163</v>
      </c>
      <c r="AB868" t="s">
        <v>180</v>
      </c>
      <c r="AC868" t="s">
        <v>181</v>
      </c>
      <c r="AD868" t="s">
        <v>210</v>
      </c>
      <c r="AE868" t="s">
        <v>183</v>
      </c>
      <c r="AF868">
        <v>0</v>
      </c>
    </row>
    <row r="869" spans="1:32">
      <c r="A869">
        <v>247</v>
      </c>
      <c r="B869">
        <v>1046</v>
      </c>
      <c r="C869" t="s">
        <v>2902</v>
      </c>
      <c r="D869" t="s">
        <v>747</v>
      </c>
      <c r="E869" t="s">
        <v>2165</v>
      </c>
      <c r="F869" t="s">
        <v>193</v>
      </c>
      <c r="G869" t="s">
        <v>2159</v>
      </c>
      <c r="H869" t="s">
        <v>212</v>
      </c>
      <c r="I869" t="s">
        <v>212</v>
      </c>
      <c r="J869" t="s">
        <v>212</v>
      </c>
      <c r="K869" t="s">
        <v>1885</v>
      </c>
      <c r="L869" s="84">
        <v>42994</v>
      </c>
      <c r="M869" t="s">
        <v>381</v>
      </c>
      <c r="N869" t="s">
        <v>1886</v>
      </c>
      <c r="O869">
        <v>3</v>
      </c>
      <c r="P869" t="s">
        <v>1235</v>
      </c>
      <c r="Q869" t="s">
        <v>1887</v>
      </c>
      <c r="R869" t="s">
        <v>2109</v>
      </c>
      <c r="S869" t="s">
        <v>2110</v>
      </c>
      <c r="T869" t="s">
        <v>36</v>
      </c>
      <c r="U869" t="s">
        <v>80</v>
      </c>
      <c r="V869">
        <v>62</v>
      </c>
      <c r="W869">
        <v>81</v>
      </c>
      <c r="X869">
        <v>121</v>
      </c>
      <c r="Y869">
        <v>100</v>
      </c>
      <c r="Z869">
        <v>190</v>
      </c>
      <c r="AA869">
        <v>163</v>
      </c>
      <c r="AB869" t="s">
        <v>180</v>
      </c>
      <c r="AC869" t="s">
        <v>181</v>
      </c>
      <c r="AD869" t="s">
        <v>210</v>
      </c>
      <c r="AE869" t="s">
        <v>183</v>
      </c>
      <c r="AF869">
        <v>0</v>
      </c>
    </row>
    <row r="870" spans="1:32">
      <c r="A870">
        <v>248</v>
      </c>
      <c r="B870">
        <v>803</v>
      </c>
      <c r="C870" t="s">
        <v>688</v>
      </c>
      <c r="D870" t="s">
        <v>747</v>
      </c>
      <c r="E870" t="s">
        <v>2165</v>
      </c>
      <c r="F870" t="s">
        <v>193</v>
      </c>
      <c r="G870" t="s">
        <v>2160</v>
      </c>
      <c r="H870" t="s">
        <v>212</v>
      </c>
      <c r="I870" t="s">
        <v>212</v>
      </c>
      <c r="J870" t="s">
        <v>192</v>
      </c>
      <c r="K870" t="s">
        <v>690</v>
      </c>
      <c r="L870" s="84">
        <v>42342</v>
      </c>
      <c r="M870" t="s">
        <v>325</v>
      </c>
      <c r="N870" t="s">
        <v>691</v>
      </c>
      <c r="O870">
        <v>1</v>
      </c>
      <c r="P870" t="s">
        <v>692</v>
      </c>
      <c r="Q870" t="s">
        <v>693</v>
      </c>
      <c r="R870" t="s">
        <v>694</v>
      </c>
      <c r="S870" t="s">
        <v>695</v>
      </c>
      <c r="T870" t="s">
        <v>36</v>
      </c>
      <c r="U870" t="s">
        <v>78</v>
      </c>
      <c r="V870">
        <v>69</v>
      </c>
      <c r="W870">
        <v>81</v>
      </c>
      <c r="X870">
        <v>121</v>
      </c>
      <c r="Y870">
        <v>105</v>
      </c>
      <c r="Z870">
        <v>190</v>
      </c>
      <c r="AA870">
        <v>173</v>
      </c>
      <c r="AB870" t="s">
        <v>1098</v>
      </c>
      <c r="AC870" t="s">
        <v>2547</v>
      </c>
      <c r="AD870" t="s">
        <v>210</v>
      </c>
      <c r="AE870" t="s">
        <v>183</v>
      </c>
      <c r="AF870">
        <v>1</v>
      </c>
    </row>
    <row r="871" spans="1:32">
      <c r="A871">
        <v>248</v>
      </c>
      <c r="B871">
        <v>803</v>
      </c>
      <c r="C871" t="s">
        <v>688</v>
      </c>
      <c r="D871" t="s">
        <v>747</v>
      </c>
      <c r="E871" t="s">
        <v>2165</v>
      </c>
      <c r="F871" t="s">
        <v>37</v>
      </c>
      <c r="G871" t="s">
        <v>2895</v>
      </c>
      <c r="H871" t="s">
        <v>212</v>
      </c>
      <c r="I871" t="s">
        <v>212</v>
      </c>
      <c r="J871" t="s">
        <v>212</v>
      </c>
      <c r="K871" t="s">
        <v>690</v>
      </c>
      <c r="L871" s="84">
        <v>42342</v>
      </c>
      <c r="M871" t="s">
        <v>325</v>
      </c>
      <c r="N871" t="s">
        <v>691</v>
      </c>
      <c r="O871">
        <v>1</v>
      </c>
      <c r="P871" t="s">
        <v>692</v>
      </c>
      <c r="Q871" t="s">
        <v>693</v>
      </c>
      <c r="R871" t="s">
        <v>694</v>
      </c>
      <c r="S871" t="s">
        <v>695</v>
      </c>
      <c r="T871" t="s">
        <v>37</v>
      </c>
      <c r="U871" t="s">
        <v>78</v>
      </c>
      <c r="V871">
        <v>69</v>
      </c>
      <c r="W871">
        <v>81</v>
      </c>
      <c r="X871">
        <v>121</v>
      </c>
      <c r="Y871">
        <v>105</v>
      </c>
      <c r="Z871">
        <v>190</v>
      </c>
      <c r="AA871">
        <v>173</v>
      </c>
      <c r="AB871" t="s">
        <v>1098</v>
      </c>
      <c r="AC871" t="s">
        <v>2547</v>
      </c>
      <c r="AD871" t="s">
        <v>210</v>
      </c>
      <c r="AE871" t="s">
        <v>183</v>
      </c>
      <c r="AF871">
        <v>1</v>
      </c>
    </row>
    <row r="872" spans="1:32">
      <c r="A872">
        <v>248</v>
      </c>
      <c r="B872">
        <v>803</v>
      </c>
      <c r="C872" t="s">
        <v>688</v>
      </c>
      <c r="D872" t="s">
        <v>747</v>
      </c>
      <c r="E872" t="s">
        <v>2165</v>
      </c>
      <c r="F872" t="s">
        <v>197</v>
      </c>
      <c r="G872" t="s">
        <v>1995</v>
      </c>
      <c r="H872" t="s">
        <v>212</v>
      </c>
      <c r="I872" t="s">
        <v>188</v>
      </c>
      <c r="J872" t="s">
        <v>192</v>
      </c>
      <c r="K872" t="s">
        <v>690</v>
      </c>
      <c r="L872" s="84">
        <v>42342</v>
      </c>
      <c r="M872" t="s">
        <v>325</v>
      </c>
      <c r="N872" t="s">
        <v>691</v>
      </c>
      <c r="O872">
        <v>1</v>
      </c>
      <c r="P872" t="s">
        <v>692</v>
      </c>
      <c r="Q872" t="s">
        <v>693</v>
      </c>
      <c r="R872" t="s">
        <v>694</v>
      </c>
      <c r="S872" t="s">
        <v>695</v>
      </c>
      <c r="T872" t="s">
        <v>38</v>
      </c>
      <c r="U872" t="s">
        <v>78</v>
      </c>
      <c r="V872">
        <v>69</v>
      </c>
      <c r="W872">
        <v>81</v>
      </c>
      <c r="X872">
        <v>121</v>
      </c>
      <c r="Y872">
        <v>105</v>
      </c>
      <c r="Z872">
        <v>190</v>
      </c>
      <c r="AA872">
        <v>173</v>
      </c>
      <c r="AB872" t="s">
        <v>1098</v>
      </c>
      <c r="AC872" t="s">
        <v>2547</v>
      </c>
      <c r="AD872" t="s">
        <v>210</v>
      </c>
      <c r="AE872" t="s">
        <v>183</v>
      </c>
      <c r="AF872">
        <v>1</v>
      </c>
    </row>
    <row r="873" spans="1:32">
      <c r="A873">
        <v>248</v>
      </c>
      <c r="B873">
        <v>803</v>
      </c>
      <c r="C873" t="s">
        <v>688</v>
      </c>
      <c r="D873" t="s">
        <v>747</v>
      </c>
      <c r="E873" t="s">
        <v>2165</v>
      </c>
      <c r="F873" t="s">
        <v>6</v>
      </c>
      <c r="G873" t="s">
        <v>1994</v>
      </c>
      <c r="H873" t="s">
        <v>192</v>
      </c>
      <c r="I873" t="s">
        <v>237</v>
      </c>
      <c r="J873" t="s">
        <v>243</v>
      </c>
      <c r="K873" t="s">
        <v>690</v>
      </c>
      <c r="L873" s="84">
        <v>42342</v>
      </c>
      <c r="M873" t="s">
        <v>325</v>
      </c>
      <c r="N873" t="s">
        <v>691</v>
      </c>
      <c r="O873">
        <v>1</v>
      </c>
      <c r="P873" t="s">
        <v>692</v>
      </c>
      <c r="Q873" t="s">
        <v>693</v>
      </c>
      <c r="R873" t="s">
        <v>694</v>
      </c>
      <c r="S873" t="s">
        <v>695</v>
      </c>
      <c r="T873" t="s">
        <v>34</v>
      </c>
      <c r="U873" t="s">
        <v>78</v>
      </c>
      <c r="V873">
        <v>69</v>
      </c>
      <c r="W873">
        <v>81</v>
      </c>
      <c r="X873">
        <v>121</v>
      </c>
      <c r="Y873">
        <v>105</v>
      </c>
      <c r="Z873">
        <v>190</v>
      </c>
      <c r="AA873">
        <v>173</v>
      </c>
      <c r="AB873" t="s">
        <v>1098</v>
      </c>
      <c r="AC873" t="s">
        <v>2547</v>
      </c>
      <c r="AD873" t="s">
        <v>210</v>
      </c>
      <c r="AE873" t="s">
        <v>183</v>
      </c>
      <c r="AF873">
        <v>1</v>
      </c>
    </row>
    <row r="874" spans="1:32">
      <c r="A874">
        <v>248</v>
      </c>
      <c r="B874">
        <v>803</v>
      </c>
      <c r="C874" t="s">
        <v>688</v>
      </c>
      <c r="D874" t="s">
        <v>747</v>
      </c>
      <c r="E874" t="s">
        <v>2165</v>
      </c>
      <c r="F874" t="s">
        <v>7</v>
      </c>
      <c r="G874" t="s">
        <v>1998</v>
      </c>
      <c r="H874" t="s">
        <v>243</v>
      </c>
      <c r="I874" t="s">
        <v>274</v>
      </c>
      <c r="J874" t="s">
        <v>212</v>
      </c>
      <c r="K874" t="s">
        <v>690</v>
      </c>
      <c r="L874" s="84">
        <v>42342</v>
      </c>
      <c r="M874" t="s">
        <v>325</v>
      </c>
      <c r="N874" t="s">
        <v>691</v>
      </c>
      <c r="O874">
        <v>1</v>
      </c>
      <c r="P874" t="s">
        <v>692</v>
      </c>
      <c r="Q874" t="s">
        <v>693</v>
      </c>
      <c r="R874" t="s">
        <v>694</v>
      </c>
      <c r="S874" t="s">
        <v>695</v>
      </c>
      <c r="T874" t="s">
        <v>32</v>
      </c>
      <c r="U874" t="s">
        <v>78</v>
      </c>
      <c r="V874">
        <v>69</v>
      </c>
      <c r="W874">
        <v>81</v>
      </c>
      <c r="X874">
        <v>121</v>
      </c>
      <c r="Y874">
        <v>105</v>
      </c>
      <c r="Z874">
        <v>190</v>
      </c>
      <c r="AA874">
        <v>173</v>
      </c>
      <c r="AB874" t="s">
        <v>1098</v>
      </c>
      <c r="AC874" t="s">
        <v>2547</v>
      </c>
      <c r="AD874" t="s">
        <v>210</v>
      </c>
      <c r="AE874" t="s">
        <v>183</v>
      </c>
      <c r="AF874">
        <v>1</v>
      </c>
    </row>
    <row r="875" spans="1:32">
      <c r="A875">
        <v>248</v>
      </c>
      <c r="B875">
        <v>803</v>
      </c>
      <c r="C875" t="s">
        <v>688</v>
      </c>
      <c r="D875" t="s">
        <v>747</v>
      </c>
      <c r="E875" t="s">
        <v>2165</v>
      </c>
      <c r="F875" t="s">
        <v>8</v>
      </c>
      <c r="G875" t="s">
        <v>1997</v>
      </c>
      <c r="H875" t="s">
        <v>226</v>
      </c>
      <c r="I875" t="s">
        <v>223</v>
      </c>
      <c r="J875" t="s">
        <v>171</v>
      </c>
      <c r="K875" t="s">
        <v>690</v>
      </c>
      <c r="L875" s="84">
        <v>42342</v>
      </c>
      <c r="M875" t="s">
        <v>325</v>
      </c>
      <c r="N875" t="s">
        <v>691</v>
      </c>
      <c r="O875">
        <v>1</v>
      </c>
      <c r="P875" t="s">
        <v>692</v>
      </c>
      <c r="Q875" t="s">
        <v>693</v>
      </c>
      <c r="R875" t="s">
        <v>694</v>
      </c>
      <c r="S875" t="s">
        <v>695</v>
      </c>
      <c r="T875" t="s">
        <v>31</v>
      </c>
      <c r="U875" t="s">
        <v>78</v>
      </c>
      <c r="V875">
        <v>69</v>
      </c>
      <c r="W875">
        <v>81</v>
      </c>
      <c r="X875">
        <v>121</v>
      </c>
      <c r="Y875">
        <v>105</v>
      </c>
      <c r="Z875">
        <v>190</v>
      </c>
      <c r="AA875">
        <v>173</v>
      </c>
      <c r="AB875" t="s">
        <v>1098</v>
      </c>
      <c r="AC875" t="s">
        <v>2547</v>
      </c>
      <c r="AD875" t="s">
        <v>210</v>
      </c>
      <c r="AE875" t="s">
        <v>183</v>
      </c>
      <c r="AF875">
        <v>1</v>
      </c>
    </row>
    <row r="876" spans="1:32">
      <c r="A876">
        <v>248</v>
      </c>
      <c r="B876">
        <v>803</v>
      </c>
      <c r="C876" t="s">
        <v>688</v>
      </c>
      <c r="D876" t="s">
        <v>747</v>
      </c>
      <c r="E876" t="s">
        <v>2165</v>
      </c>
      <c r="F876" t="s">
        <v>5</v>
      </c>
      <c r="G876" t="s">
        <v>1996</v>
      </c>
      <c r="H876" t="s">
        <v>2047</v>
      </c>
      <c r="I876" t="s">
        <v>228</v>
      </c>
      <c r="J876" t="s">
        <v>237</v>
      </c>
      <c r="K876" t="s">
        <v>690</v>
      </c>
      <c r="L876" s="84">
        <v>42342</v>
      </c>
      <c r="M876" t="s">
        <v>325</v>
      </c>
      <c r="N876" t="s">
        <v>691</v>
      </c>
      <c r="O876">
        <v>1</v>
      </c>
      <c r="P876" t="s">
        <v>692</v>
      </c>
      <c r="Q876" t="s">
        <v>693</v>
      </c>
      <c r="R876" t="s">
        <v>694</v>
      </c>
      <c r="S876" t="s">
        <v>695</v>
      </c>
      <c r="T876" t="s">
        <v>33</v>
      </c>
      <c r="U876" t="s">
        <v>78</v>
      </c>
      <c r="V876">
        <v>69</v>
      </c>
      <c r="W876">
        <v>81</v>
      </c>
      <c r="X876">
        <v>121</v>
      </c>
      <c r="Y876">
        <v>105</v>
      </c>
      <c r="Z876">
        <v>190</v>
      </c>
      <c r="AA876">
        <v>173</v>
      </c>
      <c r="AB876" t="s">
        <v>1098</v>
      </c>
      <c r="AC876" t="s">
        <v>2547</v>
      </c>
      <c r="AD876" t="s">
        <v>210</v>
      </c>
      <c r="AE876" t="s">
        <v>2048</v>
      </c>
      <c r="AF876">
        <v>1</v>
      </c>
    </row>
    <row r="877" spans="1:32">
      <c r="A877">
        <v>249</v>
      </c>
      <c r="B877">
        <v>944</v>
      </c>
      <c r="C877" t="s">
        <v>1888</v>
      </c>
      <c r="D877" t="s">
        <v>747</v>
      </c>
      <c r="E877" t="s">
        <v>2165</v>
      </c>
      <c r="F877" t="s">
        <v>5</v>
      </c>
      <c r="G877" t="s">
        <v>2001</v>
      </c>
      <c r="H877" t="s">
        <v>185</v>
      </c>
      <c r="I877" t="s">
        <v>256</v>
      </c>
      <c r="J877" t="s">
        <v>226</v>
      </c>
      <c r="K877" t="s">
        <v>1889</v>
      </c>
      <c r="L877" s="84">
        <v>43034</v>
      </c>
      <c r="M877" t="s">
        <v>381</v>
      </c>
      <c r="N877" t="s">
        <v>365</v>
      </c>
      <c r="O877">
        <v>3</v>
      </c>
      <c r="P877" t="s">
        <v>1890</v>
      </c>
      <c r="Q877" t="s">
        <v>1891</v>
      </c>
      <c r="R877" t="s">
        <v>1892</v>
      </c>
      <c r="S877" t="s">
        <v>1893</v>
      </c>
      <c r="T877" t="s">
        <v>33</v>
      </c>
      <c r="U877" t="s">
        <v>80</v>
      </c>
      <c r="V877">
        <v>76</v>
      </c>
      <c r="W877">
        <v>81</v>
      </c>
      <c r="X877">
        <v>121</v>
      </c>
      <c r="Y877">
        <v>113</v>
      </c>
      <c r="Z877">
        <v>190</v>
      </c>
      <c r="AA877">
        <v>177</v>
      </c>
      <c r="AB877" t="s">
        <v>413</v>
      </c>
      <c r="AC877" t="s">
        <v>212</v>
      </c>
      <c r="AD877" t="s">
        <v>210</v>
      </c>
      <c r="AE877" t="s">
        <v>183</v>
      </c>
      <c r="AF877">
        <v>1</v>
      </c>
    </row>
    <row r="878" spans="1:32">
      <c r="A878">
        <v>249</v>
      </c>
      <c r="B878">
        <v>944</v>
      </c>
      <c r="C878" t="s">
        <v>1888</v>
      </c>
      <c r="D878" t="s">
        <v>747</v>
      </c>
      <c r="E878" t="s">
        <v>2165</v>
      </c>
      <c r="F878" t="s">
        <v>8</v>
      </c>
      <c r="G878" t="s">
        <v>2000</v>
      </c>
      <c r="H878" t="s">
        <v>181</v>
      </c>
      <c r="I878" t="s">
        <v>243</v>
      </c>
      <c r="J878" t="s">
        <v>228</v>
      </c>
      <c r="K878" t="s">
        <v>1889</v>
      </c>
      <c r="L878" s="84">
        <v>43034</v>
      </c>
      <c r="M878" t="s">
        <v>381</v>
      </c>
      <c r="N878" t="s">
        <v>365</v>
      </c>
      <c r="O878">
        <v>3</v>
      </c>
      <c r="P878" t="s">
        <v>1890</v>
      </c>
      <c r="Q878" t="s">
        <v>1891</v>
      </c>
      <c r="R878" t="s">
        <v>1892</v>
      </c>
      <c r="S878" t="s">
        <v>1893</v>
      </c>
      <c r="T878" t="s">
        <v>31</v>
      </c>
      <c r="U878" t="s">
        <v>80</v>
      </c>
      <c r="V878">
        <v>76</v>
      </c>
      <c r="W878">
        <v>81</v>
      </c>
      <c r="X878">
        <v>121</v>
      </c>
      <c r="Y878">
        <v>113</v>
      </c>
      <c r="Z878">
        <v>190</v>
      </c>
      <c r="AA878">
        <v>177</v>
      </c>
      <c r="AB878" t="s">
        <v>413</v>
      </c>
      <c r="AC878" t="s">
        <v>212</v>
      </c>
      <c r="AD878" t="s">
        <v>210</v>
      </c>
      <c r="AE878" t="s">
        <v>183</v>
      </c>
      <c r="AF878">
        <v>1</v>
      </c>
    </row>
    <row r="879" spans="1:32">
      <c r="A879">
        <v>249</v>
      </c>
      <c r="B879">
        <v>944</v>
      </c>
      <c r="C879" t="s">
        <v>1888</v>
      </c>
      <c r="D879" t="s">
        <v>747</v>
      </c>
      <c r="E879" t="s">
        <v>2165</v>
      </c>
      <c r="F879" t="s">
        <v>7</v>
      </c>
      <c r="G879" t="s">
        <v>1999</v>
      </c>
      <c r="H879" t="s">
        <v>173</v>
      </c>
      <c r="I879" t="s">
        <v>237</v>
      </c>
      <c r="J879" t="s">
        <v>223</v>
      </c>
      <c r="K879" t="s">
        <v>1889</v>
      </c>
      <c r="L879" s="84">
        <v>43034</v>
      </c>
      <c r="M879" t="s">
        <v>381</v>
      </c>
      <c r="N879" t="s">
        <v>365</v>
      </c>
      <c r="O879">
        <v>3</v>
      </c>
      <c r="P879" t="s">
        <v>1890</v>
      </c>
      <c r="Q879" t="s">
        <v>1891</v>
      </c>
      <c r="R879" t="s">
        <v>1892</v>
      </c>
      <c r="S879" t="s">
        <v>1893</v>
      </c>
      <c r="T879" t="s">
        <v>32</v>
      </c>
      <c r="U879" t="s">
        <v>80</v>
      </c>
      <c r="V879">
        <v>76</v>
      </c>
      <c r="W879">
        <v>81</v>
      </c>
      <c r="X879">
        <v>121</v>
      </c>
      <c r="Y879">
        <v>113</v>
      </c>
      <c r="Z879">
        <v>190</v>
      </c>
      <c r="AA879">
        <v>177</v>
      </c>
      <c r="AB879" t="s">
        <v>413</v>
      </c>
      <c r="AC879" t="s">
        <v>212</v>
      </c>
      <c r="AD879" t="s">
        <v>210</v>
      </c>
      <c r="AE879" t="s">
        <v>183</v>
      </c>
      <c r="AF879">
        <v>1</v>
      </c>
    </row>
    <row r="880" spans="1:32">
      <c r="A880">
        <v>249</v>
      </c>
      <c r="B880">
        <v>944</v>
      </c>
      <c r="C880" t="s">
        <v>1888</v>
      </c>
      <c r="D880" t="s">
        <v>747</v>
      </c>
      <c r="E880" t="s">
        <v>2165</v>
      </c>
      <c r="F880" t="s">
        <v>6</v>
      </c>
      <c r="G880" t="s">
        <v>2003</v>
      </c>
      <c r="H880" t="s">
        <v>2045</v>
      </c>
      <c r="I880" t="s">
        <v>188</v>
      </c>
      <c r="J880" t="s">
        <v>187</v>
      </c>
      <c r="K880" t="s">
        <v>1889</v>
      </c>
      <c r="L880" s="84">
        <v>43034</v>
      </c>
      <c r="M880" t="s">
        <v>381</v>
      </c>
      <c r="N880" t="s">
        <v>365</v>
      </c>
      <c r="O880">
        <v>3</v>
      </c>
      <c r="P880" t="s">
        <v>1890</v>
      </c>
      <c r="Q880" t="s">
        <v>1891</v>
      </c>
      <c r="R880" t="s">
        <v>1892</v>
      </c>
      <c r="S880" t="s">
        <v>1893</v>
      </c>
      <c r="T880" t="s">
        <v>34</v>
      </c>
      <c r="U880" t="s">
        <v>80</v>
      </c>
      <c r="V880">
        <v>76</v>
      </c>
      <c r="W880">
        <v>81</v>
      </c>
      <c r="X880">
        <v>121</v>
      </c>
      <c r="Y880">
        <v>113</v>
      </c>
      <c r="Z880">
        <v>190</v>
      </c>
      <c r="AA880">
        <v>177</v>
      </c>
      <c r="AB880" t="s">
        <v>413</v>
      </c>
      <c r="AC880" t="s">
        <v>212</v>
      </c>
      <c r="AD880" t="s">
        <v>210</v>
      </c>
      <c r="AE880" t="s">
        <v>2046</v>
      </c>
      <c r="AF880">
        <v>1</v>
      </c>
    </row>
    <row r="881" spans="1:32">
      <c r="A881">
        <v>249</v>
      </c>
      <c r="B881">
        <v>944</v>
      </c>
      <c r="C881" t="s">
        <v>1888</v>
      </c>
      <c r="D881" t="s">
        <v>747</v>
      </c>
      <c r="E881" t="s">
        <v>2165</v>
      </c>
      <c r="F881" t="s">
        <v>197</v>
      </c>
      <c r="G881" t="s">
        <v>2002</v>
      </c>
      <c r="H881" t="s">
        <v>212</v>
      </c>
      <c r="I881" t="s">
        <v>188</v>
      </c>
      <c r="J881" t="s">
        <v>212</v>
      </c>
      <c r="K881" t="s">
        <v>1889</v>
      </c>
      <c r="L881" s="84">
        <v>43034</v>
      </c>
      <c r="M881" t="s">
        <v>381</v>
      </c>
      <c r="N881" t="s">
        <v>365</v>
      </c>
      <c r="O881">
        <v>3</v>
      </c>
      <c r="P881" t="s">
        <v>1890</v>
      </c>
      <c r="Q881" t="s">
        <v>1891</v>
      </c>
      <c r="R881" t="s">
        <v>1892</v>
      </c>
      <c r="S881" t="s">
        <v>1893</v>
      </c>
      <c r="T881" t="s">
        <v>38</v>
      </c>
      <c r="U881" t="s">
        <v>80</v>
      </c>
      <c r="V881">
        <v>76</v>
      </c>
      <c r="W881">
        <v>81</v>
      </c>
      <c r="X881">
        <v>121</v>
      </c>
      <c r="Y881">
        <v>113</v>
      </c>
      <c r="Z881">
        <v>190</v>
      </c>
      <c r="AA881">
        <v>177</v>
      </c>
      <c r="AB881" t="s">
        <v>413</v>
      </c>
      <c r="AC881" t="s">
        <v>212</v>
      </c>
      <c r="AD881" t="s">
        <v>210</v>
      </c>
      <c r="AE881" t="s">
        <v>183</v>
      </c>
      <c r="AF881">
        <v>1</v>
      </c>
    </row>
    <row r="882" spans="1:32">
      <c r="A882">
        <v>249</v>
      </c>
      <c r="B882">
        <v>944</v>
      </c>
      <c r="C882" t="s">
        <v>1888</v>
      </c>
      <c r="D882" t="s">
        <v>747</v>
      </c>
      <c r="E882" t="s">
        <v>2165</v>
      </c>
      <c r="F882" t="s">
        <v>37</v>
      </c>
      <c r="G882" t="s">
        <v>2896</v>
      </c>
      <c r="H882" t="s">
        <v>212</v>
      </c>
      <c r="I882" t="s">
        <v>212</v>
      </c>
      <c r="J882" t="s">
        <v>212</v>
      </c>
      <c r="K882" t="s">
        <v>1889</v>
      </c>
      <c r="L882" s="84">
        <v>43034</v>
      </c>
      <c r="M882" t="s">
        <v>381</v>
      </c>
      <c r="N882" t="s">
        <v>365</v>
      </c>
      <c r="O882">
        <v>3</v>
      </c>
      <c r="P882" t="s">
        <v>1890</v>
      </c>
      <c r="Q882" t="s">
        <v>1891</v>
      </c>
      <c r="R882" t="s">
        <v>1892</v>
      </c>
      <c r="S882" t="s">
        <v>1893</v>
      </c>
      <c r="T882" t="s">
        <v>37</v>
      </c>
      <c r="U882" t="s">
        <v>80</v>
      </c>
      <c r="V882">
        <v>76</v>
      </c>
      <c r="W882">
        <v>81</v>
      </c>
      <c r="X882">
        <v>121</v>
      </c>
      <c r="Y882">
        <v>113</v>
      </c>
      <c r="Z882">
        <v>190</v>
      </c>
      <c r="AA882">
        <v>177</v>
      </c>
      <c r="AB882" t="s">
        <v>413</v>
      </c>
      <c r="AC882" t="s">
        <v>212</v>
      </c>
      <c r="AD882" t="s">
        <v>210</v>
      </c>
      <c r="AE882" t="s">
        <v>183</v>
      </c>
      <c r="AF882">
        <v>1</v>
      </c>
    </row>
    <row r="883" spans="1:32">
      <c r="A883">
        <v>249</v>
      </c>
      <c r="B883">
        <v>944</v>
      </c>
      <c r="C883" t="s">
        <v>1888</v>
      </c>
      <c r="D883" t="s">
        <v>747</v>
      </c>
      <c r="E883" t="s">
        <v>2165</v>
      </c>
      <c r="F883" t="s">
        <v>193</v>
      </c>
      <c r="G883" t="s">
        <v>2161</v>
      </c>
      <c r="H883" t="s">
        <v>212</v>
      </c>
      <c r="I883" t="s">
        <v>212</v>
      </c>
      <c r="J883" t="s">
        <v>192</v>
      </c>
      <c r="K883" t="s">
        <v>1889</v>
      </c>
      <c r="L883" s="84">
        <v>43034</v>
      </c>
      <c r="M883" t="s">
        <v>381</v>
      </c>
      <c r="N883" t="s">
        <v>365</v>
      </c>
      <c r="O883">
        <v>3</v>
      </c>
      <c r="P883" t="s">
        <v>1890</v>
      </c>
      <c r="Q883" t="s">
        <v>1891</v>
      </c>
      <c r="R883" t="s">
        <v>1892</v>
      </c>
      <c r="S883" t="s">
        <v>1893</v>
      </c>
      <c r="T883" t="s">
        <v>36</v>
      </c>
      <c r="U883" t="s">
        <v>80</v>
      </c>
      <c r="V883">
        <v>76</v>
      </c>
      <c r="W883">
        <v>81</v>
      </c>
      <c r="X883">
        <v>121</v>
      </c>
      <c r="Y883">
        <v>113</v>
      </c>
      <c r="Z883">
        <v>190</v>
      </c>
      <c r="AA883">
        <v>177</v>
      </c>
      <c r="AB883" t="s">
        <v>413</v>
      </c>
      <c r="AC883" t="s">
        <v>212</v>
      </c>
      <c r="AD883" t="s">
        <v>210</v>
      </c>
      <c r="AE883" t="s">
        <v>183</v>
      </c>
      <c r="AF883">
        <v>1</v>
      </c>
    </row>
    <row r="884" spans="1:32">
      <c r="A884">
        <v>250</v>
      </c>
      <c r="B884">
        <v>1242</v>
      </c>
      <c r="C884" t="s">
        <v>2548</v>
      </c>
      <c r="D884" t="s">
        <v>747</v>
      </c>
      <c r="E884" t="s">
        <v>2165</v>
      </c>
      <c r="F884" t="s">
        <v>193</v>
      </c>
      <c r="G884" t="s">
        <v>2162</v>
      </c>
      <c r="H884" t="s">
        <v>212</v>
      </c>
      <c r="I884" t="s">
        <v>212</v>
      </c>
      <c r="J884" t="s">
        <v>192</v>
      </c>
      <c r="K884" t="s">
        <v>2549</v>
      </c>
      <c r="L884" s="84">
        <v>42297</v>
      </c>
      <c r="M884" t="s">
        <v>381</v>
      </c>
      <c r="N884" t="s">
        <v>365</v>
      </c>
      <c r="O884">
        <v>1</v>
      </c>
      <c r="P884" t="s">
        <v>2550</v>
      </c>
      <c r="Q884" t="s">
        <v>2551</v>
      </c>
      <c r="R884" t="s">
        <v>2552</v>
      </c>
      <c r="S884" t="s">
        <v>2553</v>
      </c>
      <c r="T884" t="s">
        <v>36</v>
      </c>
      <c r="U884" t="s">
        <v>78</v>
      </c>
      <c r="V884">
        <v>52</v>
      </c>
      <c r="W884">
        <v>81</v>
      </c>
      <c r="X884">
        <v>121</v>
      </c>
      <c r="Y884">
        <v>87</v>
      </c>
      <c r="Z884">
        <v>190</v>
      </c>
      <c r="AA884">
        <v>146</v>
      </c>
      <c r="AB884" t="s">
        <v>398</v>
      </c>
      <c r="AC884" t="s">
        <v>212</v>
      </c>
      <c r="AD884" t="s">
        <v>210</v>
      </c>
      <c r="AE884" t="s">
        <v>183</v>
      </c>
      <c r="AF884">
        <v>3</v>
      </c>
    </row>
    <row r="885" spans="1:32">
      <c r="A885">
        <v>250</v>
      </c>
      <c r="B885">
        <v>1242</v>
      </c>
      <c r="C885" t="s">
        <v>2548</v>
      </c>
      <c r="D885" t="s">
        <v>747</v>
      </c>
      <c r="E885" t="s">
        <v>2165</v>
      </c>
      <c r="F885" t="s">
        <v>37</v>
      </c>
      <c r="G885" t="s">
        <v>2897</v>
      </c>
      <c r="H885" t="s">
        <v>212</v>
      </c>
      <c r="I885" t="s">
        <v>212</v>
      </c>
      <c r="J885" t="s">
        <v>212</v>
      </c>
      <c r="K885" t="s">
        <v>2549</v>
      </c>
      <c r="L885" s="84">
        <v>42297</v>
      </c>
      <c r="M885" t="s">
        <v>381</v>
      </c>
      <c r="N885" t="s">
        <v>365</v>
      </c>
      <c r="O885">
        <v>1</v>
      </c>
      <c r="P885" t="s">
        <v>2550</v>
      </c>
      <c r="Q885" t="s">
        <v>2551</v>
      </c>
      <c r="R885" t="s">
        <v>2552</v>
      </c>
      <c r="S885" t="s">
        <v>2553</v>
      </c>
      <c r="T885" t="s">
        <v>37</v>
      </c>
      <c r="U885" t="s">
        <v>78</v>
      </c>
      <c r="V885">
        <v>52</v>
      </c>
      <c r="W885">
        <v>81</v>
      </c>
      <c r="X885">
        <v>121</v>
      </c>
      <c r="Y885">
        <v>87</v>
      </c>
      <c r="Z885">
        <v>190</v>
      </c>
      <c r="AA885">
        <v>146</v>
      </c>
      <c r="AB885" t="s">
        <v>398</v>
      </c>
      <c r="AC885" t="s">
        <v>212</v>
      </c>
      <c r="AD885" t="s">
        <v>210</v>
      </c>
      <c r="AE885" t="s">
        <v>183</v>
      </c>
      <c r="AF885">
        <v>3</v>
      </c>
    </row>
    <row r="886" spans="1:32">
      <c r="A886">
        <v>250</v>
      </c>
      <c r="B886">
        <v>1242</v>
      </c>
      <c r="C886" t="s">
        <v>2548</v>
      </c>
      <c r="D886" t="s">
        <v>747</v>
      </c>
      <c r="E886" t="s">
        <v>2165</v>
      </c>
      <c r="F886" t="s">
        <v>197</v>
      </c>
      <c r="G886" t="s">
        <v>2005</v>
      </c>
      <c r="H886" t="s">
        <v>212</v>
      </c>
      <c r="I886" t="s">
        <v>188</v>
      </c>
      <c r="J886" t="s">
        <v>212</v>
      </c>
      <c r="K886" t="s">
        <v>2549</v>
      </c>
      <c r="L886" s="84">
        <v>42297</v>
      </c>
      <c r="M886" t="s">
        <v>381</v>
      </c>
      <c r="N886" t="s">
        <v>365</v>
      </c>
      <c r="O886">
        <v>1</v>
      </c>
      <c r="P886" t="s">
        <v>2550</v>
      </c>
      <c r="Q886" t="s">
        <v>2551</v>
      </c>
      <c r="R886" t="s">
        <v>2552</v>
      </c>
      <c r="S886" t="s">
        <v>2553</v>
      </c>
      <c r="T886" t="s">
        <v>38</v>
      </c>
      <c r="U886" t="s">
        <v>78</v>
      </c>
      <c r="V886">
        <v>52</v>
      </c>
      <c r="W886">
        <v>81</v>
      </c>
      <c r="X886">
        <v>121</v>
      </c>
      <c r="Y886">
        <v>87</v>
      </c>
      <c r="Z886">
        <v>190</v>
      </c>
      <c r="AA886">
        <v>146</v>
      </c>
      <c r="AB886" t="s">
        <v>398</v>
      </c>
      <c r="AC886" t="s">
        <v>212</v>
      </c>
      <c r="AD886" t="s">
        <v>210</v>
      </c>
      <c r="AE886" t="s">
        <v>183</v>
      </c>
      <c r="AF886">
        <v>3</v>
      </c>
    </row>
    <row r="887" spans="1:32">
      <c r="A887">
        <v>250</v>
      </c>
      <c r="B887">
        <v>1242</v>
      </c>
      <c r="C887" t="s">
        <v>2548</v>
      </c>
      <c r="D887" t="s">
        <v>747</v>
      </c>
      <c r="E887" t="s">
        <v>2165</v>
      </c>
      <c r="F887" t="s">
        <v>6</v>
      </c>
      <c r="G887" t="s">
        <v>2004</v>
      </c>
      <c r="H887" t="s">
        <v>376</v>
      </c>
      <c r="I887" t="s">
        <v>462</v>
      </c>
      <c r="J887" t="s">
        <v>227</v>
      </c>
      <c r="K887" t="s">
        <v>2549</v>
      </c>
      <c r="L887" s="84">
        <v>42297</v>
      </c>
      <c r="M887" t="s">
        <v>381</v>
      </c>
      <c r="N887" t="s">
        <v>365</v>
      </c>
      <c r="O887">
        <v>1</v>
      </c>
      <c r="P887" t="s">
        <v>2550</v>
      </c>
      <c r="Q887" t="s">
        <v>2551</v>
      </c>
      <c r="R887" t="s">
        <v>2552</v>
      </c>
      <c r="S887" t="s">
        <v>2553</v>
      </c>
      <c r="T887" t="s">
        <v>34</v>
      </c>
      <c r="U887" t="s">
        <v>78</v>
      </c>
      <c r="V887">
        <v>52</v>
      </c>
      <c r="W887">
        <v>81</v>
      </c>
      <c r="X887">
        <v>121</v>
      </c>
      <c r="Y887">
        <v>87</v>
      </c>
      <c r="Z887">
        <v>190</v>
      </c>
      <c r="AA887">
        <v>146</v>
      </c>
      <c r="AB887" t="s">
        <v>398</v>
      </c>
      <c r="AC887" t="s">
        <v>212</v>
      </c>
      <c r="AD887" t="s">
        <v>210</v>
      </c>
      <c r="AE887" t="s">
        <v>183</v>
      </c>
      <c r="AF887">
        <v>3</v>
      </c>
    </row>
    <row r="888" spans="1:32">
      <c r="A888">
        <v>250</v>
      </c>
      <c r="B888">
        <v>1242</v>
      </c>
      <c r="C888" t="s">
        <v>2548</v>
      </c>
      <c r="D888" t="s">
        <v>747</v>
      </c>
      <c r="E888" t="s">
        <v>2165</v>
      </c>
      <c r="F888" t="s">
        <v>7</v>
      </c>
      <c r="G888" t="s">
        <v>2008</v>
      </c>
      <c r="H888" t="s">
        <v>376</v>
      </c>
      <c r="I888" t="s">
        <v>914</v>
      </c>
      <c r="J888" t="s">
        <v>329</v>
      </c>
      <c r="K888" t="s">
        <v>2549</v>
      </c>
      <c r="L888" s="84">
        <v>42297</v>
      </c>
      <c r="M888" t="s">
        <v>381</v>
      </c>
      <c r="N888" t="s">
        <v>365</v>
      </c>
      <c r="O888">
        <v>1</v>
      </c>
      <c r="P888" t="s">
        <v>2550</v>
      </c>
      <c r="Q888" t="s">
        <v>2551</v>
      </c>
      <c r="R888" t="s">
        <v>2552</v>
      </c>
      <c r="S888" t="s">
        <v>2553</v>
      </c>
      <c r="T888" t="s">
        <v>32</v>
      </c>
      <c r="U888" t="s">
        <v>78</v>
      </c>
      <c r="V888">
        <v>52</v>
      </c>
      <c r="W888">
        <v>81</v>
      </c>
      <c r="X888">
        <v>121</v>
      </c>
      <c r="Y888">
        <v>87</v>
      </c>
      <c r="Z888">
        <v>190</v>
      </c>
      <c r="AA888">
        <v>146</v>
      </c>
      <c r="AB888" t="s">
        <v>398</v>
      </c>
      <c r="AC888" t="s">
        <v>212</v>
      </c>
      <c r="AD888" t="s">
        <v>210</v>
      </c>
      <c r="AE888" t="s">
        <v>183</v>
      </c>
      <c r="AF888">
        <v>3</v>
      </c>
    </row>
    <row r="889" spans="1:32">
      <c r="A889">
        <v>250</v>
      </c>
      <c r="B889">
        <v>1242</v>
      </c>
      <c r="C889" t="s">
        <v>2548</v>
      </c>
      <c r="D889" t="s">
        <v>747</v>
      </c>
      <c r="E889" t="s">
        <v>2165</v>
      </c>
      <c r="F889" t="s">
        <v>8</v>
      </c>
      <c r="G889" t="s">
        <v>2007</v>
      </c>
      <c r="H889" t="s">
        <v>186</v>
      </c>
      <c r="I889" t="s">
        <v>1054</v>
      </c>
      <c r="J889" t="s">
        <v>417</v>
      </c>
      <c r="K889" t="s">
        <v>2549</v>
      </c>
      <c r="L889" s="84">
        <v>42297</v>
      </c>
      <c r="M889" t="s">
        <v>381</v>
      </c>
      <c r="N889" t="s">
        <v>365</v>
      </c>
      <c r="O889">
        <v>1</v>
      </c>
      <c r="P889" t="s">
        <v>2550</v>
      </c>
      <c r="Q889" t="s">
        <v>2551</v>
      </c>
      <c r="R889" t="s">
        <v>2552</v>
      </c>
      <c r="S889" t="s">
        <v>2553</v>
      </c>
      <c r="T889" t="s">
        <v>31</v>
      </c>
      <c r="U889" t="s">
        <v>78</v>
      </c>
      <c r="V889">
        <v>52</v>
      </c>
      <c r="W889">
        <v>81</v>
      </c>
      <c r="X889">
        <v>121</v>
      </c>
      <c r="Y889">
        <v>87</v>
      </c>
      <c r="Z889">
        <v>190</v>
      </c>
      <c r="AA889">
        <v>146</v>
      </c>
      <c r="AB889" t="s">
        <v>398</v>
      </c>
      <c r="AC889" t="s">
        <v>212</v>
      </c>
      <c r="AD889" t="s">
        <v>210</v>
      </c>
      <c r="AE889" t="s">
        <v>183</v>
      </c>
      <c r="AF889">
        <v>3</v>
      </c>
    </row>
    <row r="890" spans="1:32">
      <c r="A890">
        <v>250</v>
      </c>
      <c r="B890">
        <v>1242</v>
      </c>
      <c r="C890" t="s">
        <v>2548</v>
      </c>
      <c r="D890" t="s">
        <v>747</v>
      </c>
      <c r="E890" t="s">
        <v>2165</v>
      </c>
      <c r="F890" t="s">
        <v>5</v>
      </c>
      <c r="G890" t="s">
        <v>2006</v>
      </c>
      <c r="H890" t="s">
        <v>192</v>
      </c>
      <c r="I890" t="s">
        <v>407</v>
      </c>
      <c r="J890" t="s">
        <v>374</v>
      </c>
      <c r="K890" t="s">
        <v>2549</v>
      </c>
      <c r="L890" s="84">
        <v>42297</v>
      </c>
      <c r="M890" t="s">
        <v>381</v>
      </c>
      <c r="N890" t="s">
        <v>365</v>
      </c>
      <c r="O890">
        <v>1</v>
      </c>
      <c r="P890" t="s">
        <v>2550</v>
      </c>
      <c r="Q890" t="s">
        <v>2551</v>
      </c>
      <c r="R890" t="s">
        <v>2552</v>
      </c>
      <c r="S890" t="s">
        <v>2553</v>
      </c>
      <c r="T890" t="s">
        <v>33</v>
      </c>
      <c r="U890" t="s">
        <v>78</v>
      </c>
      <c r="V890">
        <v>52</v>
      </c>
      <c r="W890">
        <v>81</v>
      </c>
      <c r="X890">
        <v>121</v>
      </c>
      <c r="Y890">
        <v>87</v>
      </c>
      <c r="Z890">
        <v>190</v>
      </c>
      <c r="AA890">
        <v>146</v>
      </c>
      <c r="AB890" t="s">
        <v>398</v>
      </c>
      <c r="AC890" t="s">
        <v>212</v>
      </c>
      <c r="AD890" t="s">
        <v>210</v>
      </c>
      <c r="AE890" t="s">
        <v>183</v>
      </c>
      <c r="AF890">
        <v>3</v>
      </c>
    </row>
    <row r="891" spans="1:32">
      <c r="A891">
        <v>301</v>
      </c>
      <c r="B891">
        <v>838</v>
      </c>
      <c r="C891" t="s">
        <v>168</v>
      </c>
      <c r="D891" t="s">
        <v>1059</v>
      </c>
      <c r="E891" t="s">
        <v>2165</v>
      </c>
      <c r="F891" t="s">
        <v>5</v>
      </c>
      <c r="G891" t="s">
        <v>1062</v>
      </c>
      <c r="H891" t="s">
        <v>274</v>
      </c>
      <c r="I891" t="s">
        <v>215</v>
      </c>
      <c r="J891" t="s">
        <v>185</v>
      </c>
      <c r="K891" t="s">
        <v>174</v>
      </c>
      <c r="L891" s="84">
        <v>42504</v>
      </c>
      <c r="M891" t="s">
        <v>175</v>
      </c>
      <c r="N891" t="s">
        <v>1351</v>
      </c>
      <c r="O891">
        <v>3</v>
      </c>
      <c r="P891" t="s">
        <v>176</v>
      </c>
      <c r="Q891" t="s">
        <v>177</v>
      </c>
      <c r="R891" t="s">
        <v>178</v>
      </c>
      <c r="S891" t="s">
        <v>179</v>
      </c>
      <c r="T891" t="s">
        <v>33</v>
      </c>
      <c r="U891" t="s">
        <v>80</v>
      </c>
      <c r="V891">
        <v>66</v>
      </c>
      <c r="W891">
        <v>82</v>
      </c>
      <c r="X891">
        <v>122</v>
      </c>
      <c r="Y891">
        <v>101</v>
      </c>
      <c r="Z891">
        <v>184</v>
      </c>
      <c r="AA891">
        <v>161</v>
      </c>
      <c r="AB891" t="s">
        <v>370</v>
      </c>
      <c r="AC891" t="s">
        <v>212</v>
      </c>
      <c r="AD891" t="s">
        <v>210</v>
      </c>
      <c r="AE891" t="s">
        <v>183</v>
      </c>
      <c r="AF891">
        <v>0</v>
      </c>
    </row>
    <row r="892" spans="1:32">
      <c r="A892">
        <v>301</v>
      </c>
      <c r="B892">
        <v>838</v>
      </c>
      <c r="C892" t="s">
        <v>168</v>
      </c>
      <c r="D892" t="s">
        <v>1059</v>
      </c>
      <c r="E892" t="s">
        <v>2165</v>
      </c>
      <c r="F892" t="s">
        <v>8</v>
      </c>
      <c r="G892" t="s">
        <v>1061</v>
      </c>
      <c r="H892" t="s">
        <v>188</v>
      </c>
      <c r="I892" t="s">
        <v>376</v>
      </c>
      <c r="J892" t="s">
        <v>415</v>
      </c>
      <c r="K892" t="s">
        <v>174</v>
      </c>
      <c r="L892" s="84">
        <v>42504</v>
      </c>
      <c r="M892" t="s">
        <v>175</v>
      </c>
      <c r="N892" t="s">
        <v>1351</v>
      </c>
      <c r="O892">
        <v>3</v>
      </c>
      <c r="P892" t="s">
        <v>176</v>
      </c>
      <c r="Q892" t="s">
        <v>177</v>
      </c>
      <c r="R892" t="s">
        <v>178</v>
      </c>
      <c r="S892" t="s">
        <v>179</v>
      </c>
      <c r="T892" t="s">
        <v>31</v>
      </c>
      <c r="U892" t="s">
        <v>80</v>
      </c>
      <c r="V892">
        <v>66</v>
      </c>
      <c r="W892">
        <v>82</v>
      </c>
      <c r="X892">
        <v>122</v>
      </c>
      <c r="Y892">
        <v>101</v>
      </c>
      <c r="Z892">
        <v>184</v>
      </c>
      <c r="AA892">
        <v>161</v>
      </c>
      <c r="AB892" t="s">
        <v>370</v>
      </c>
      <c r="AC892" t="s">
        <v>212</v>
      </c>
      <c r="AD892" t="s">
        <v>210</v>
      </c>
      <c r="AE892" t="s">
        <v>183</v>
      </c>
      <c r="AF892">
        <v>0</v>
      </c>
    </row>
    <row r="893" spans="1:32">
      <c r="A893">
        <v>301</v>
      </c>
      <c r="B893">
        <v>838</v>
      </c>
      <c r="C893" t="s">
        <v>168</v>
      </c>
      <c r="D893" t="s">
        <v>1059</v>
      </c>
      <c r="E893" t="s">
        <v>2165</v>
      </c>
      <c r="F893" t="s">
        <v>7</v>
      </c>
      <c r="G893" t="s">
        <v>1060</v>
      </c>
      <c r="H893" t="s">
        <v>173</v>
      </c>
      <c r="I893" t="s">
        <v>187</v>
      </c>
      <c r="J893" t="s">
        <v>376</v>
      </c>
      <c r="K893" t="s">
        <v>174</v>
      </c>
      <c r="L893" s="84">
        <v>42504</v>
      </c>
      <c r="M893" t="s">
        <v>175</v>
      </c>
      <c r="N893" t="s">
        <v>1351</v>
      </c>
      <c r="O893">
        <v>3</v>
      </c>
      <c r="P893" t="s">
        <v>176</v>
      </c>
      <c r="Q893" t="s">
        <v>177</v>
      </c>
      <c r="R893" t="s">
        <v>178</v>
      </c>
      <c r="S893" t="s">
        <v>179</v>
      </c>
      <c r="T893" t="s">
        <v>32</v>
      </c>
      <c r="U893" t="s">
        <v>80</v>
      </c>
      <c r="V893">
        <v>66</v>
      </c>
      <c r="W893">
        <v>82</v>
      </c>
      <c r="X893">
        <v>122</v>
      </c>
      <c r="Y893">
        <v>101</v>
      </c>
      <c r="Z893">
        <v>184</v>
      </c>
      <c r="AA893">
        <v>161</v>
      </c>
      <c r="AB893" t="s">
        <v>370</v>
      </c>
      <c r="AC893" t="s">
        <v>212</v>
      </c>
      <c r="AD893" t="s">
        <v>210</v>
      </c>
      <c r="AE893" t="s">
        <v>183</v>
      </c>
      <c r="AF893">
        <v>0</v>
      </c>
    </row>
    <row r="894" spans="1:32">
      <c r="A894">
        <v>301</v>
      </c>
      <c r="B894">
        <v>838</v>
      </c>
      <c r="C894" t="s">
        <v>168</v>
      </c>
      <c r="D894" t="s">
        <v>1059</v>
      </c>
      <c r="E894" t="s">
        <v>2165</v>
      </c>
      <c r="F894" t="s">
        <v>6</v>
      </c>
      <c r="G894" t="s">
        <v>1063</v>
      </c>
      <c r="H894" t="s">
        <v>223</v>
      </c>
      <c r="I894" t="s">
        <v>228</v>
      </c>
      <c r="J894" t="s">
        <v>415</v>
      </c>
      <c r="K894" t="s">
        <v>174</v>
      </c>
      <c r="L894" s="84">
        <v>42504</v>
      </c>
      <c r="M894" t="s">
        <v>175</v>
      </c>
      <c r="N894" t="s">
        <v>1351</v>
      </c>
      <c r="O894">
        <v>3</v>
      </c>
      <c r="P894" t="s">
        <v>176</v>
      </c>
      <c r="Q894" t="s">
        <v>177</v>
      </c>
      <c r="R894" t="s">
        <v>178</v>
      </c>
      <c r="S894" t="s">
        <v>179</v>
      </c>
      <c r="T894" t="s">
        <v>34</v>
      </c>
      <c r="U894" t="s">
        <v>80</v>
      </c>
      <c r="V894">
        <v>66</v>
      </c>
      <c r="W894">
        <v>82</v>
      </c>
      <c r="X894">
        <v>122</v>
      </c>
      <c r="Y894">
        <v>101</v>
      </c>
      <c r="Z894">
        <v>184</v>
      </c>
      <c r="AA894">
        <v>161</v>
      </c>
      <c r="AB894" t="s">
        <v>370</v>
      </c>
      <c r="AC894" t="s">
        <v>212</v>
      </c>
      <c r="AD894" t="s">
        <v>210</v>
      </c>
      <c r="AE894" t="s">
        <v>183</v>
      </c>
      <c r="AF894">
        <v>0</v>
      </c>
    </row>
    <row r="895" spans="1:32">
      <c r="A895">
        <v>301</v>
      </c>
      <c r="B895">
        <v>838</v>
      </c>
      <c r="C895" t="s">
        <v>168</v>
      </c>
      <c r="D895" t="s">
        <v>1059</v>
      </c>
      <c r="E895" t="s">
        <v>2165</v>
      </c>
      <c r="F895" t="s">
        <v>197</v>
      </c>
      <c r="G895" t="s">
        <v>1066</v>
      </c>
      <c r="H895" t="s">
        <v>188</v>
      </c>
      <c r="I895" t="s">
        <v>192</v>
      </c>
      <c r="J895" t="s">
        <v>192</v>
      </c>
      <c r="K895" t="s">
        <v>174</v>
      </c>
      <c r="L895" s="84">
        <v>42504</v>
      </c>
      <c r="M895" t="s">
        <v>175</v>
      </c>
      <c r="N895" t="s">
        <v>1351</v>
      </c>
      <c r="O895">
        <v>3</v>
      </c>
      <c r="P895" t="s">
        <v>176</v>
      </c>
      <c r="Q895" t="s">
        <v>177</v>
      </c>
      <c r="R895" t="s">
        <v>178</v>
      </c>
      <c r="S895" t="s">
        <v>179</v>
      </c>
      <c r="T895" t="s">
        <v>38</v>
      </c>
      <c r="U895" t="s">
        <v>80</v>
      </c>
      <c r="V895">
        <v>66</v>
      </c>
      <c r="W895">
        <v>82</v>
      </c>
      <c r="X895">
        <v>122</v>
      </c>
      <c r="Y895">
        <v>101</v>
      </c>
      <c r="Z895">
        <v>184</v>
      </c>
      <c r="AA895">
        <v>161</v>
      </c>
      <c r="AB895" t="s">
        <v>370</v>
      </c>
      <c r="AC895" t="s">
        <v>212</v>
      </c>
      <c r="AD895" t="s">
        <v>210</v>
      </c>
      <c r="AE895" t="s">
        <v>183</v>
      </c>
      <c r="AF895">
        <v>0</v>
      </c>
    </row>
    <row r="896" spans="1:32">
      <c r="A896">
        <v>301</v>
      </c>
      <c r="B896">
        <v>838</v>
      </c>
      <c r="C896" t="s">
        <v>168</v>
      </c>
      <c r="D896" t="s">
        <v>1059</v>
      </c>
      <c r="E896" t="s">
        <v>2165</v>
      </c>
      <c r="F896" t="s">
        <v>193</v>
      </c>
      <c r="G896" t="s">
        <v>1064</v>
      </c>
      <c r="H896" t="s">
        <v>188</v>
      </c>
      <c r="I896" t="s">
        <v>212</v>
      </c>
      <c r="J896" t="s">
        <v>223</v>
      </c>
      <c r="K896" t="s">
        <v>174</v>
      </c>
      <c r="L896" s="84">
        <v>42504</v>
      </c>
      <c r="M896" t="s">
        <v>175</v>
      </c>
      <c r="N896" t="s">
        <v>1351</v>
      </c>
      <c r="O896">
        <v>3</v>
      </c>
      <c r="P896" t="s">
        <v>176</v>
      </c>
      <c r="Q896" t="s">
        <v>177</v>
      </c>
      <c r="R896" t="s">
        <v>178</v>
      </c>
      <c r="S896" t="s">
        <v>179</v>
      </c>
      <c r="T896" t="s">
        <v>36</v>
      </c>
      <c r="U896" t="s">
        <v>80</v>
      </c>
      <c r="V896">
        <v>66</v>
      </c>
      <c r="W896">
        <v>82</v>
      </c>
      <c r="X896">
        <v>122</v>
      </c>
      <c r="Y896">
        <v>101</v>
      </c>
      <c r="Z896">
        <v>184</v>
      </c>
      <c r="AA896">
        <v>161</v>
      </c>
      <c r="AB896" t="s">
        <v>370</v>
      </c>
      <c r="AC896" t="s">
        <v>212</v>
      </c>
      <c r="AD896" t="s">
        <v>210</v>
      </c>
      <c r="AE896" t="s">
        <v>183</v>
      </c>
      <c r="AF896">
        <v>0</v>
      </c>
    </row>
    <row r="897" spans="1:32">
      <c r="A897">
        <v>301</v>
      </c>
      <c r="B897">
        <v>838</v>
      </c>
      <c r="C897" t="s">
        <v>168</v>
      </c>
      <c r="D897" t="s">
        <v>1059</v>
      </c>
      <c r="E897" t="s">
        <v>2165</v>
      </c>
      <c r="F897" t="s">
        <v>37</v>
      </c>
      <c r="G897" t="s">
        <v>1065</v>
      </c>
      <c r="H897" t="s">
        <v>1701</v>
      </c>
      <c r="I897" t="s">
        <v>212</v>
      </c>
      <c r="J897" t="s">
        <v>212</v>
      </c>
      <c r="K897" t="s">
        <v>174</v>
      </c>
      <c r="L897" s="84">
        <v>42504</v>
      </c>
      <c r="M897" t="s">
        <v>175</v>
      </c>
      <c r="N897" t="s">
        <v>1351</v>
      </c>
      <c r="O897">
        <v>3</v>
      </c>
      <c r="P897" t="s">
        <v>176</v>
      </c>
      <c r="Q897" t="s">
        <v>177</v>
      </c>
      <c r="R897" t="s">
        <v>178</v>
      </c>
      <c r="S897" t="s">
        <v>179</v>
      </c>
      <c r="T897" t="s">
        <v>37</v>
      </c>
      <c r="U897" t="s">
        <v>80</v>
      </c>
      <c r="V897">
        <v>66</v>
      </c>
      <c r="W897">
        <v>82</v>
      </c>
      <c r="X897">
        <v>122</v>
      </c>
      <c r="Y897">
        <v>101</v>
      </c>
      <c r="Z897">
        <v>184</v>
      </c>
      <c r="AA897">
        <v>161</v>
      </c>
      <c r="AB897" t="s">
        <v>370</v>
      </c>
      <c r="AC897" t="s">
        <v>212</v>
      </c>
      <c r="AD897" t="s">
        <v>210</v>
      </c>
      <c r="AE897" t="s">
        <v>183</v>
      </c>
      <c r="AF897">
        <v>0</v>
      </c>
    </row>
    <row r="898" spans="1:32">
      <c r="A898">
        <v>302</v>
      </c>
      <c r="B898">
        <v>839</v>
      </c>
      <c r="C898" t="s">
        <v>199</v>
      </c>
      <c r="D898" t="s">
        <v>1059</v>
      </c>
      <c r="E898" t="s">
        <v>2165</v>
      </c>
      <c r="F898" t="s">
        <v>37</v>
      </c>
      <c r="G898" t="s">
        <v>1070</v>
      </c>
      <c r="H898" t="s">
        <v>1701</v>
      </c>
      <c r="I898" t="s">
        <v>212</v>
      </c>
      <c r="J898" t="s">
        <v>192</v>
      </c>
      <c r="K898" t="s">
        <v>202</v>
      </c>
      <c r="L898" s="84">
        <v>42645</v>
      </c>
      <c r="M898" t="s">
        <v>203</v>
      </c>
      <c r="N898" t="s">
        <v>1352</v>
      </c>
      <c r="O898">
        <v>3</v>
      </c>
      <c r="P898" t="s">
        <v>205</v>
      </c>
      <c r="Q898" t="s">
        <v>206</v>
      </c>
      <c r="R898" t="s">
        <v>207</v>
      </c>
      <c r="S898" t="s">
        <v>208</v>
      </c>
      <c r="T898" t="s">
        <v>37</v>
      </c>
      <c r="U898" t="s">
        <v>80</v>
      </c>
      <c r="V898">
        <v>70</v>
      </c>
      <c r="W898">
        <v>82</v>
      </c>
      <c r="X898">
        <v>122</v>
      </c>
      <c r="Y898">
        <v>99</v>
      </c>
      <c r="Z898">
        <v>184</v>
      </c>
      <c r="AA898">
        <v>147</v>
      </c>
      <c r="AB898" t="s">
        <v>398</v>
      </c>
      <c r="AC898" t="s">
        <v>188</v>
      </c>
      <c r="AD898" t="s">
        <v>210</v>
      </c>
      <c r="AE898" t="s">
        <v>183</v>
      </c>
      <c r="AF898">
        <v>0</v>
      </c>
    </row>
    <row r="899" spans="1:32">
      <c r="A899">
        <v>302</v>
      </c>
      <c r="B899">
        <v>839</v>
      </c>
      <c r="C899" t="s">
        <v>199</v>
      </c>
      <c r="D899" t="s">
        <v>1059</v>
      </c>
      <c r="E899" t="s">
        <v>2165</v>
      </c>
      <c r="F899" t="s">
        <v>193</v>
      </c>
      <c r="G899" t="s">
        <v>1071</v>
      </c>
      <c r="H899" t="s">
        <v>188</v>
      </c>
      <c r="I899" t="s">
        <v>212</v>
      </c>
      <c r="J899" t="s">
        <v>192</v>
      </c>
      <c r="K899" t="s">
        <v>202</v>
      </c>
      <c r="L899" s="84">
        <v>42645</v>
      </c>
      <c r="M899" t="s">
        <v>203</v>
      </c>
      <c r="N899" t="s">
        <v>1352</v>
      </c>
      <c r="O899">
        <v>3</v>
      </c>
      <c r="P899" t="s">
        <v>205</v>
      </c>
      <c r="Q899" t="s">
        <v>206</v>
      </c>
      <c r="R899" t="s">
        <v>207</v>
      </c>
      <c r="S899" t="s">
        <v>208</v>
      </c>
      <c r="T899" t="s">
        <v>36</v>
      </c>
      <c r="U899" t="s">
        <v>80</v>
      </c>
      <c r="V899">
        <v>70</v>
      </c>
      <c r="W899">
        <v>82</v>
      </c>
      <c r="X899">
        <v>122</v>
      </c>
      <c r="Y899">
        <v>99</v>
      </c>
      <c r="Z899">
        <v>184</v>
      </c>
      <c r="AA899">
        <v>147</v>
      </c>
      <c r="AB899" t="s">
        <v>398</v>
      </c>
      <c r="AC899" t="s">
        <v>188</v>
      </c>
      <c r="AD899" t="s">
        <v>210</v>
      </c>
      <c r="AE899" t="s">
        <v>183</v>
      </c>
      <c r="AF899">
        <v>0</v>
      </c>
    </row>
    <row r="900" spans="1:32">
      <c r="A900">
        <v>302</v>
      </c>
      <c r="B900">
        <v>839</v>
      </c>
      <c r="C900" t="s">
        <v>199</v>
      </c>
      <c r="D900" t="s">
        <v>1059</v>
      </c>
      <c r="E900" t="s">
        <v>2165</v>
      </c>
      <c r="F900" t="s">
        <v>197</v>
      </c>
      <c r="G900" t="s">
        <v>1067</v>
      </c>
      <c r="H900" t="s">
        <v>192</v>
      </c>
      <c r="I900" t="s">
        <v>192</v>
      </c>
      <c r="J900" t="s">
        <v>192</v>
      </c>
      <c r="K900" t="s">
        <v>202</v>
      </c>
      <c r="L900" s="84">
        <v>42645</v>
      </c>
      <c r="M900" t="s">
        <v>203</v>
      </c>
      <c r="N900" t="s">
        <v>1352</v>
      </c>
      <c r="O900">
        <v>3</v>
      </c>
      <c r="P900" t="s">
        <v>205</v>
      </c>
      <c r="Q900" t="s">
        <v>206</v>
      </c>
      <c r="R900" t="s">
        <v>207</v>
      </c>
      <c r="S900" t="s">
        <v>208</v>
      </c>
      <c r="T900" t="s">
        <v>38</v>
      </c>
      <c r="U900" t="s">
        <v>80</v>
      </c>
      <c r="V900">
        <v>70</v>
      </c>
      <c r="W900">
        <v>82</v>
      </c>
      <c r="X900">
        <v>122</v>
      </c>
      <c r="Y900">
        <v>99</v>
      </c>
      <c r="Z900">
        <v>184</v>
      </c>
      <c r="AA900">
        <v>147</v>
      </c>
      <c r="AB900" t="s">
        <v>398</v>
      </c>
      <c r="AC900" t="s">
        <v>188</v>
      </c>
      <c r="AD900" t="s">
        <v>210</v>
      </c>
      <c r="AE900" t="s">
        <v>183</v>
      </c>
      <c r="AF900">
        <v>0</v>
      </c>
    </row>
    <row r="901" spans="1:32">
      <c r="A901">
        <v>302</v>
      </c>
      <c r="B901">
        <v>839</v>
      </c>
      <c r="C901" t="s">
        <v>199</v>
      </c>
      <c r="D901" t="s">
        <v>1059</v>
      </c>
      <c r="E901" t="s">
        <v>2165</v>
      </c>
      <c r="F901" t="s">
        <v>6</v>
      </c>
      <c r="G901" t="s">
        <v>1072</v>
      </c>
      <c r="H901" t="s">
        <v>256</v>
      </c>
      <c r="I901" t="s">
        <v>192</v>
      </c>
      <c r="J901" t="s">
        <v>181</v>
      </c>
      <c r="K901" t="s">
        <v>202</v>
      </c>
      <c r="L901" s="84">
        <v>42645</v>
      </c>
      <c r="M901" t="s">
        <v>203</v>
      </c>
      <c r="N901" t="s">
        <v>1352</v>
      </c>
      <c r="O901">
        <v>3</v>
      </c>
      <c r="P901" t="s">
        <v>205</v>
      </c>
      <c r="Q901" t="s">
        <v>206</v>
      </c>
      <c r="R901" t="s">
        <v>207</v>
      </c>
      <c r="S901" t="s">
        <v>208</v>
      </c>
      <c r="T901" t="s">
        <v>34</v>
      </c>
      <c r="U901" t="s">
        <v>80</v>
      </c>
      <c r="V901">
        <v>70</v>
      </c>
      <c r="W901">
        <v>82</v>
      </c>
      <c r="X901">
        <v>122</v>
      </c>
      <c r="Y901">
        <v>99</v>
      </c>
      <c r="Z901">
        <v>184</v>
      </c>
      <c r="AA901">
        <v>147</v>
      </c>
      <c r="AB901" t="s">
        <v>398</v>
      </c>
      <c r="AC901" t="s">
        <v>188</v>
      </c>
      <c r="AD901" t="s">
        <v>210</v>
      </c>
      <c r="AE901" t="s">
        <v>183</v>
      </c>
      <c r="AF901">
        <v>0</v>
      </c>
    </row>
    <row r="902" spans="1:32">
      <c r="A902">
        <v>302</v>
      </c>
      <c r="B902">
        <v>839</v>
      </c>
      <c r="C902" t="s">
        <v>199</v>
      </c>
      <c r="D902" t="s">
        <v>1059</v>
      </c>
      <c r="E902" t="s">
        <v>2165</v>
      </c>
      <c r="F902" t="s">
        <v>7</v>
      </c>
      <c r="G902" t="s">
        <v>1075</v>
      </c>
      <c r="H902" t="s">
        <v>191</v>
      </c>
      <c r="I902" t="s">
        <v>256</v>
      </c>
      <c r="J902" t="s">
        <v>185</v>
      </c>
      <c r="K902" t="s">
        <v>202</v>
      </c>
      <c r="L902" s="84">
        <v>42645</v>
      </c>
      <c r="M902" t="s">
        <v>203</v>
      </c>
      <c r="N902" t="s">
        <v>1352</v>
      </c>
      <c r="O902">
        <v>3</v>
      </c>
      <c r="P902" t="s">
        <v>205</v>
      </c>
      <c r="Q902" t="s">
        <v>206</v>
      </c>
      <c r="R902" t="s">
        <v>207</v>
      </c>
      <c r="S902" t="s">
        <v>208</v>
      </c>
      <c r="T902" t="s">
        <v>32</v>
      </c>
      <c r="U902" t="s">
        <v>80</v>
      </c>
      <c r="V902">
        <v>70</v>
      </c>
      <c r="W902">
        <v>82</v>
      </c>
      <c r="X902">
        <v>122</v>
      </c>
      <c r="Y902">
        <v>99</v>
      </c>
      <c r="Z902">
        <v>184</v>
      </c>
      <c r="AA902">
        <v>147</v>
      </c>
      <c r="AB902" t="s">
        <v>398</v>
      </c>
      <c r="AC902" t="s">
        <v>188</v>
      </c>
      <c r="AD902" t="s">
        <v>210</v>
      </c>
      <c r="AE902" t="s">
        <v>183</v>
      </c>
      <c r="AF902">
        <v>0</v>
      </c>
    </row>
    <row r="903" spans="1:32">
      <c r="A903">
        <v>302</v>
      </c>
      <c r="B903">
        <v>839</v>
      </c>
      <c r="C903" t="s">
        <v>199</v>
      </c>
      <c r="D903" t="s">
        <v>1059</v>
      </c>
      <c r="E903" t="s">
        <v>2165</v>
      </c>
      <c r="F903" t="s">
        <v>8</v>
      </c>
      <c r="G903" t="s">
        <v>1074</v>
      </c>
      <c r="H903" t="s">
        <v>171</v>
      </c>
      <c r="I903" t="s">
        <v>192</v>
      </c>
      <c r="J903" t="s">
        <v>185</v>
      </c>
      <c r="K903" t="s">
        <v>202</v>
      </c>
      <c r="L903" s="84">
        <v>42645</v>
      </c>
      <c r="M903" t="s">
        <v>203</v>
      </c>
      <c r="N903" t="s">
        <v>1352</v>
      </c>
      <c r="O903">
        <v>3</v>
      </c>
      <c r="P903" t="s">
        <v>205</v>
      </c>
      <c r="Q903" t="s">
        <v>206</v>
      </c>
      <c r="R903" t="s">
        <v>207</v>
      </c>
      <c r="S903" t="s">
        <v>208</v>
      </c>
      <c r="T903" t="s">
        <v>31</v>
      </c>
      <c r="U903" t="s">
        <v>80</v>
      </c>
      <c r="V903">
        <v>70</v>
      </c>
      <c r="W903">
        <v>82</v>
      </c>
      <c r="X903">
        <v>122</v>
      </c>
      <c r="Y903">
        <v>99</v>
      </c>
      <c r="Z903">
        <v>184</v>
      </c>
      <c r="AA903">
        <v>147</v>
      </c>
      <c r="AB903" t="s">
        <v>398</v>
      </c>
      <c r="AC903" t="s">
        <v>188</v>
      </c>
      <c r="AD903" t="s">
        <v>210</v>
      </c>
      <c r="AE903" t="s">
        <v>183</v>
      </c>
      <c r="AF903">
        <v>0</v>
      </c>
    </row>
    <row r="904" spans="1:32">
      <c r="A904">
        <v>302</v>
      </c>
      <c r="B904">
        <v>839</v>
      </c>
      <c r="C904" t="s">
        <v>199</v>
      </c>
      <c r="D904" t="s">
        <v>1059</v>
      </c>
      <c r="E904" t="s">
        <v>2165</v>
      </c>
      <c r="F904" t="s">
        <v>5</v>
      </c>
      <c r="G904" t="s">
        <v>1073</v>
      </c>
      <c r="H904" t="s">
        <v>259</v>
      </c>
      <c r="I904" t="s">
        <v>191</v>
      </c>
      <c r="J904" t="s">
        <v>215</v>
      </c>
      <c r="K904" t="s">
        <v>202</v>
      </c>
      <c r="L904" s="84">
        <v>42645</v>
      </c>
      <c r="M904" t="s">
        <v>203</v>
      </c>
      <c r="N904" t="s">
        <v>1352</v>
      </c>
      <c r="O904">
        <v>3</v>
      </c>
      <c r="P904" t="s">
        <v>205</v>
      </c>
      <c r="Q904" t="s">
        <v>206</v>
      </c>
      <c r="R904" t="s">
        <v>207</v>
      </c>
      <c r="S904" t="s">
        <v>208</v>
      </c>
      <c r="T904" t="s">
        <v>33</v>
      </c>
      <c r="U904" t="s">
        <v>80</v>
      </c>
      <c r="V904">
        <v>70</v>
      </c>
      <c r="W904">
        <v>82</v>
      </c>
      <c r="X904">
        <v>122</v>
      </c>
      <c r="Y904">
        <v>99</v>
      </c>
      <c r="Z904">
        <v>184</v>
      </c>
      <c r="AA904">
        <v>147</v>
      </c>
      <c r="AB904" t="s">
        <v>398</v>
      </c>
      <c r="AC904" t="s">
        <v>188</v>
      </c>
      <c r="AD904" t="s">
        <v>210</v>
      </c>
      <c r="AE904" t="s">
        <v>183</v>
      </c>
      <c r="AF904">
        <v>0</v>
      </c>
    </row>
    <row r="905" spans="1:32">
      <c r="A905">
        <v>303</v>
      </c>
      <c r="B905">
        <v>813</v>
      </c>
      <c r="C905" t="s">
        <v>224</v>
      </c>
      <c r="D905" t="s">
        <v>1059</v>
      </c>
      <c r="E905" t="s">
        <v>2165</v>
      </c>
      <c r="F905" t="s">
        <v>5</v>
      </c>
      <c r="G905" t="s">
        <v>1086</v>
      </c>
      <c r="H905" t="s">
        <v>212</v>
      </c>
      <c r="I905" t="s">
        <v>191</v>
      </c>
      <c r="J905" t="s">
        <v>185</v>
      </c>
      <c r="K905" t="s">
        <v>229</v>
      </c>
      <c r="L905" s="84">
        <v>42081</v>
      </c>
      <c r="M905" t="s">
        <v>203</v>
      </c>
      <c r="N905" t="s">
        <v>503</v>
      </c>
      <c r="O905">
        <v>3</v>
      </c>
      <c r="P905" t="s">
        <v>230</v>
      </c>
      <c r="Q905" t="s">
        <v>231</v>
      </c>
      <c r="R905" t="s">
        <v>232</v>
      </c>
      <c r="S905" t="s">
        <v>233</v>
      </c>
      <c r="T905" t="s">
        <v>33</v>
      </c>
      <c r="U905" t="s">
        <v>80</v>
      </c>
      <c r="V905">
        <v>66</v>
      </c>
      <c r="W905">
        <v>82</v>
      </c>
      <c r="X905">
        <v>122</v>
      </c>
      <c r="Y905">
        <v>102</v>
      </c>
      <c r="Z905">
        <v>184</v>
      </c>
      <c r="AA905">
        <v>160</v>
      </c>
      <c r="AB905" t="s">
        <v>696</v>
      </c>
      <c r="AC905" t="s">
        <v>223</v>
      </c>
      <c r="AD905" t="s">
        <v>609</v>
      </c>
      <c r="AE905" t="s">
        <v>183</v>
      </c>
      <c r="AF905">
        <v>1</v>
      </c>
    </row>
    <row r="906" spans="1:32">
      <c r="A906">
        <v>303</v>
      </c>
      <c r="B906">
        <v>813</v>
      </c>
      <c r="C906" t="s">
        <v>224</v>
      </c>
      <c r="D906" t="s">
        <v>1059</v>
      </c>
      <c r="E906" t="s">
        <v>2165</v>
      </c>
      <c r="F906" t="s">
        <v>8</v>
      </c>
      <c r="G906" t="s">
        <v>1085</v>
      </c>
      <c r="H906" t="s">
        <v>237</v>
      </c>
      <c r="I906" t="s">
        <v>212</v>
      </c>
      <c r="J906" t="s">
        <v>191</v>
      </c>
      <c r="K906" t="s">
        <v>229</v>
      </c>
      <c r="L906" s="84">
        <v>42081</v>
      </c>
      <c r="M906" t="s">
        <v>203</v>
      </c>
      <c r="N906" t="s">
        <v>503</v>
      </c>
      <c r="O906">
        <v>3</v>
      </c>
      <c r="P906" t="s">
        <v>230</v>
      </c>
      <c r="Q906" t="s">
        <v>231</v>
      </c>
      <c r="R906" t="s">
        <v>232</v>
      </c>
      <c r="S906" t="s">
        <v>233</v>
      </c>
      <c r="T906" t="s">
        <v>31</v>
      </c>
      <c r="U906" t="s">
        <v>80</v>
      </c>
      <c r="V906">
        <v>66</v>
      </c>
      <c r="W906">
        <v>82</v>
      </c>
      <c r="X906">
        <v>122</v>
      </c>
      <c r="Y906">
        <v>102</v>
      </c>
      <c r="Z906">
        <v>184</v>
      </c>
      <c r="AA906">
        <v>160</v>
      </c>
      <c r="AB906" t="s">
        <v>696</v>
      </c>
      <c r="AC906" t="s">
        <v>223</v>
      </c>
      <c r="AD906" t="s">
        <v>609</v>
      </c>
      <c r="AE906" t="s">
        <v>183</v>
      </c>
      <c r="AF906">
        <v>1</v>
      </c>
    </row>
    <row r="907" spans="1:32">
      <c r="A907">
        <v>303</v>
      </c>
      <c r="B907">
        <v>813</v>
      </c>
      <c r="C907" t="s">
        <v>224</v>
      </c>
      <c r="D907" t="s">
        <v>1059</v>
      </c>
      <c r="E907" t="s">
        <v>2165</v>
      </c>
      <c r="F907" t="s">
        <v>7</v>
      </c>
      <c r="G907" t="s">
        <v>1077</v>
      </c>
      <c r="H907" t="s">
        <v>2554</v>
      </c>
      <c r="I907" t="s">
        <v>186</v>
      </c>
      <c r="J907" t="s">
        <v>228</v>
      </c>
      <c r="K907" t="s">
        <v>229</v>
      </c>
      <c r="L907" s="84">
        <v>42081</v>
      </c>
      <c r="M907" t="s">
        <v>203</v>
      </c>
      <c r="N907" t="s">
        <v>503</v>
      </c>
      <c r="O907">
        <v>3</v>
      </c>
      <c r="P907" t="s">
        <v>230</v>
      </c>
      <c r="Q907" t="s">
        <v>231</v>
      </c>
      <c r="R907" t="s">
        <v>232</v>
      </c>
      <c r="S907" t="s">
        <v>233</v>
      </c>
      <c r="T907" t="s">
        <v>32</v>
      </c>
      <c r="U907" t="s">
        <v>80</v>
      </c>
      <c r="V907">
        <v>66</v>
      </c>
      <c r="W907">
        <v>82</v>
      </c>
      <c r="X907">
        <v>122</v>
      </c>
      <c r="Y907">
        <v>102</v>
      </c>
      <c r="Z907">
        <v>184</v>
      </c>
      <c r="AA907">
        <v>160</v>
      </c>
      <c r="AB907" t="s">
        <v>696</v>
      </c>
      <c r="AC907" t="s">
        <v>223</v>
      </c>
      <c r="AD907" t="s">
        <v>609</v>
      </c>
      <c r="AE907" t="s">
        <v>2555</v>
      </c>
      <c r="AF907">
        <v>1</v>
      </c>
    </row>
    <row r="908" spans="1:32">
      <c r="A908">
        <v>303</v>
      </c>
      <c r="B908">
        <v>813</v>
      </c>
      <c r="C908" t="s">
        <v>224</v>
      </c>
      <c r="D908" t="s">
        <v>1059</v>
      </c>
      <c r="E908" t="s">
        <v>2165</v>
      </c>
      <c r="F908" t="s">
        <v>6</v>
      </c>
      <c r="G908" t="s">
        <v>1087</v>
      </c>
      <c r="H908" t="s">
        <v>181</v>
      </c>
      <c r="I908" t="s">
        <v>226</v>
      </c>
      <c r="J908" t="s">
        <v>243</v>
      </c>
      <c r="K908" t="s">
        <v>229</v>
      </c>
      <c r="L908" s="84">
        <v>42081</v>
      </c>
      <c r="M908" t="s">
        <v>203</v>
      </c>
      <c r="N908" t="s">
        <v>503</v>
      </c>
      <c r="O908">
        <v>3</v>
      </c>
      <c r="P908" t="s">
        <v>230</v>
      </c>
      <c r="Q908" t="s">
        <v>231</v>
      </c>
      <c r="R908" t="s">
        <v>232</v>
      </c>
      <c r="S908" t="s">
        <v>233</v>
      </c>
      <c r="T908" t="s">
        <v>34</v>
      </c>
      <c r="U908" t="s">
        <v>80</v>
      </c>
      <c r="V908">
        <v>66</v>
      </c>
      <c r="W908">
        <v>82</v>
      </c>
      <c r="X908">
        <v>122</v>
      </c>
      <c r="Y908">
        <v>102</v>
      </c>
      <c r="Z908">
        <v>184</v>
      </c>
      <c r="AA908">
        <v>160</v>
      </c>
      <c r="AB908" t="s">
        <v>696</v>
      </c>
      <c r="AC908" t="s">
        <v>223</v>
      </c>
      <c r="AD908" t="s">
        <v>609</v>
      </c>
      <c r="AE908" t="s">
        <v>183</v>
      </c>
      <c r="AF908">
        <v>1</v>
      </c>
    </row>
    <row r="909" spans="1:32">
      <c r="A909">
        <v>303</v>
      </c>
      <c r="B909">
        <v>813</v>
      </c>
      <c r="C909" t="s">
        <v>224</v>
      </c>
      <c r="D909" t="s">
        <v>1059</v>
      </c>
      <c r="E909" t="s">
        <v>2165</v>
      </c>
      <c r="F909" t="s">
        <v>197</v>
      </c>
      <c r="G909" t="s">
        <v>1090</v>
      </c>
      <c r="H909" t="s">
        <v>188</v>
      </c>
      <c r="I909" t="s">
        <v>192</v>
      </c>
      <c r="J909" t="s">
        <v>192</v>
      </c>
      <c r="K909" t="s">
        <v>229</v>
      </c>
      <c r="L909" s="84">
        <v>42081</v>
      </c>
      <c r="M909" t="s">
        <v>203</v>
      </c>
      <c r="N909" t="s">
        <v>503</v>
      </c>
      <c r="O909">
        <v>3</v>
      </c>
      <c r="P909" t="s">
        <v>230</v>
      </c>
      <c r="Q909" t="s">
        <v>231</v>
      </c>
      <c r="R909" t="s">
        <v>232</v>
      </c>
      <c r="S909" t="s">
        <v>233</v>
      </c>
      <c r="T909" t="s">
        <v>38</v>
      </c>
      <c r="U909" t="s">
        <v>80</v>
      </c>
      <c r="V909">
        <v>66</v>
      </c>
      <c r="W909">
        <v>82</v>
      </c>
      <c r="X909">
        <v>122</v>
      </c>
      <c r="Y909">
        <v>102</v>
      </c>
      <c r="Z909">
        <v>184</v>
      </c>
      <c r="AA909">
        <v>160</v>
      </c>
      <c r="AB909" t="s">
        <v>696</v>
      </c>
      <c r="AC909" t="s">
        <v>223</v>
      </c>
      <c r="AD909" t="s">
        <v>609</v>
      </c>
      <c r="AE909" t="s">
        <v>183</v>
      </c>
      <c r="AF909">
        <v>1</v>
      </c>
    </row>
    <row r="910" spans="1:32">
      <c r="A910">
        <v>303</v>
      </c>
      <c r="B910">
        <v>813</v>
      </c>
      <c r="C910" t="s">
        <v>224</v>
      </c>
      <c r="D910" t="s">
        <v>1059</v>
      </c>
      <c r="E910" t="s">
        <v>2165</v>
      </c>
      <c r="F910" t="s">
        <v>193</v>
      </c>
      <c r="G910" t="s">
        <v>1088</v>
      </c>
      <c r="H910" t="s">
        <v>192</v>
      </c>
      <c r="I910" t="s">
        <v>212</v>
      </c>
      <c r="J910" t="s">
        <v>192</v>
      </c>
      <c r="K910" t="s">
        <v>229</v>
      </c>
      <c r="L910" s="84">
        <v>42081</v>
      </c>
      <c r="M910" t="s">
        <v>203</v>
      </c>
      <c r="N910" t="s">
        <v>503</v>
      </c>
      <c r="O910">
        <v>3</v>
      </c>
      <c r="P910" t="s">
        <v>230</v>
      </c>
      <c r="Q910" t="s">
        <v>231</v>
      </c>
      <c r="R910" t="s">
        <v>232</v>
      </c>
      <c r="S910" t="s">
        <v>233</v>
      </c>
      <c r="T910" t="s">
        <v>36</v>
      </c>
      <c r="U910" t="s">
        <v>80</v>
      </c>
      <c r="V910">
        <v>66</v>
      </c>
      <c r="W910">
        <v>82</v>
      </c>
      <c r="X910">
        <v>122</v>
      </c>
      <c r="Y910">
        <v>102</v>
      </c>
      <c r="Z910">
        <v>184</v>
      </c>
      <c r="AA910">
        <v>160</v>
      </c>
      <c r="AB910" t="s">
        <v>696</v>
      </c>
      <c r="AC910" t="s">
        <v>223</v>
      </c>
      <c r="AD910" t="s">
        <v>609</v>
      </c>
      <c r="AE910" t="s">
        <v>183</v>
      </c>
      <c r="AF910">
        <v>1</v>
      </c>
    </row>
    <row r="911" spans="1:32">
      <c r="A911">
        <v>303</v>
      </c>
      <c r="B911">
        <v>813</v>
      </c>
      <c r="C911" t="s">
        <v>224</v>
      </c>
      <c r="D911" t="s">
        <v>1059</v>
      </c>
      <c r="E911" t="s">
        <v>2165</v>
      </c>
      <c r="F911" t="s">
        <v>37</v>
      </c>
      <c r="G911" t="s">
        <v>1089</v>
      </c>
      <c r="H911" t="s">
        <v>1701</v>
      </c>
      <c r="I911" t="s">
        <v>212</v>
      </c>
      <c r="J911" t="s">
        <v>212</v>
      </c>
      <c r="K911" t="s">
        <v>229</v>
      </c>
      <c r="L911" s="84">
        <v>42081</v>
      </c>
      <c r="M911" t="s">
        <v>203</v>
      </c>
      <c r="N911" t="s">
        <v>503</v>
      </c>
      <c r="O911">
        <v>3</v>
      </c>
      <c r="P911" t="s">
        <v>230</v>
      </c>
      <c r="Q911" t="s">
        <v>231</v>
      </c>
      <c r="R911" t="s">
        <v>232</v>
      </c>
      <c r="S911" t="s">
        <v>233</v>
      </c>
      <c r="T911" t="s">
        <v>37</v>
      </c>
      <c r="U911" t="s">
        <v>80</v>
      </c>
      <c r="V911">
        <v>66</v>
      </c>
      <c r="W911">
        <v>82</v>
      </c>
      <c r="X911">
        <v>122</v>
      </c>
      <c r="Y911">
        <v>102</v>
      </c>
      <c r="Z911">
        <v>184</v>
      </c>
      <c r="AA911">
        <v>160</v>
      </c>
      <c r="AB911" t="s">
        <v>696</v>
      </c>
      <c r="AC911" t="s">
        <v>223</v>
      </c>
      <c r="AD911" t="s">
        <v>609</v>
      </c>
      <c r="AE911" t="s">
        <v>183</v>
      </c>
      <c r="AF911">
        <v>1</v>
      </c>
    </row>
    <row r="912" spans="1:32">
      <c r="A912">
        <v>304</v>
      </c>
      <c r="B912">
        <v>826</v>
      </c>
      <c r="C912" t="s">
        <v>246</v>
      </c>
      <c r="D912" t="s">
        <v>1059</v>
      </c>
      <c r="E912" t="s">
        <v>2165</v>
      </c>
      <c r="F912" t="s">
        <v>37</v>
      </c>
      <c r="G912" t="s">
        <v>1099</v>
      </c>
      <c r="H912" t="s">
        <v>1701</v>
      </c>
      <c r="I912" t="s">
        <v>212</v>
      </c>
      <c r="J912" t="s">
        <v>192</v>
      </c>
      <c r="K912" t="s">
        <v>248</v>
      </c>
      <c r="L912" s="84">
        <v>42669</v>
      </c>
      <c r="M912" t="s">
        <v>203</v>
      </c>
      <c r="N912" t="s">
        <v>266</v>
      </c>
      <c r="O912">
        <v>3</v>
      </c>
      <c r="P912" t="s">
        <v>249</v>
      </c>
      <c r="Q912" t="s">
        <v>250</v>
      </c>
      <c r="R912" t="s">
        <v>251</v>
      </c>
      <c r="S912" t="s">
        <v>252</v>
      </c>
      <c r="T912" t="s">
        <v>37</v>
      </c>
      <c r="U912" t="s">
        <v>80</v>
      </c>
      <c r="V912">
        <v>69</v>
      </c>
      <c r="W912">
        <v>82</v>
      </c>
      <c r="X912">
        <v>122</v>
      </c>
      <c r="Y912">
        <v>101</v>
      </c>
      <c r="Z912">
        <v>184</v>
      </c>
      <c r="AA912">
        <v>158</v>
      </c>
      <c r="AB912" t="s">
        <v>234</v>
      </c>
      <c r="AC912" t="s">
        <v>228</v>
      </c>
      <c r="AD912" t="s">
        <v>210</v>
      </c>
      <c r="AE912" t="s">
        <v>183</v>
      </c>
      <c r="AF912">
        <v>1</v>
      </c>
    </row>
    <row r="913" spans="1:32">
      <c r="A913">
        <v>304</v>
      </c>
      <c r="B913">
        <v>826</v>
      </c>
      <c r="C913" t="s">
        <v>246</v>
      </c>
      <c r="D913" t="s">
        <v>1059</v>
      </c>
      <c r="E913" t="s">
        <v>2165</v>
      </c>
      <c r="F913" t="s">
        <v>193</v>
      </c>
      <c r="G913" t="s">
        <v>1100</v>
      </c>
      <c r="H913" t="s">
        <v>212</v>
      </c>
      <c r="I913" t="s">
        <v>212</v>
      </c>
      <c r="J913" t="s">
        <v>223</v>
      </c>
      <c r="K913" t="s">
        <v>248</v>
      </c>
      <c r="L913" s="84">
        <v>42669</v>
      </c>
      <c r="M913" t="s">
        <v>203</v>
      </c>
      <c r="N913" t="s">
        <v>266</v>
      </c>
      <c r="O913">
        <v>3</v>
      </c>
      <c r="P913" t="s">
        <v>249</v>
      </c>
      <c r="Q913" t="s">
        <v>250</v>
      </c>
      <c r="R913" t="s">
        <v>251</v>
      </c>
      <c r="S913" t="s">
        <v>252</v>
      </c>
      <c r="T913" t="s">
        <v>36</v>
      </c>
      <c r="U913" t="s">
        <v>80</v>
      </c>
      <c r="V913">
        <v>69</v>
      </c>
      <c r="W913">
        <v>82</v>
      </c>
      <c r="X913">
        <v>122</v>
      </c>
      <c r="Y913">
        <v>101</v>
      </c>
      <c r="Z913">
        <v>184</v>
      </c>
      <c r="AA913">
        <v>158</v>
      </c>
      <c r="AB913" t="s">
        <v>234</v>
      </c>
      <c r="AC913" t="s">
        <v>228</v>
      </c>
      <c r="AD913" t="s">
        <v>210</v>
      </c>
      <c r="AE913" t="s">
        <v>183</v>
      </c>
      <c r="AF913">
        <v>1</v>
      </c>
    </row>
    <row r="914" spans="1:32">
      <c r="A914">
        <v>304</v>
      </c>
      <c r="B914">
        <v>826</v>
      </c>
      <c r="C914" t="s">
        <v>246</v>
      </c>
      <c r="D914" t="s">
        <v>1059</v>
      </c>
      <c r="E914" t="s">
        <v>2165</v>
      </c>
      <c r="F914" t="s">
        <v>197</v>
      </c>
      <c r="G914" t="s">
        <v>1092</v>
      </c>
      <c r="H914" t="s">
        <v>192</v>
      </c>
      <c r="I914" t="s">
        <v>192</v>
      </c>
      <c r="J914" t="s">
        <v>192</v>
      </c>
      <c r="K914" t="s">
        <v>248</v>
      </c>
      <c r="L914" s="84">
        <v>42669</v>
      </c>
      <c r="M914" t="s">
        <v>203</v>
      </c>
      <c r="N914" t="s">
        <v>266</v>
      </c>
      <c r="O914">
        <v>3</v>
      </c>
      <c r="P914" t="s">
        <v>249</v>
      </c>
      <c r="Q914" t="s">
        <v>250</v>
      </c>
      <c r="R914" t="s">
        <v>251</v>
      </c>
      <c r="S914" t="s">
        <v>252</v>
      </c>
      <c r="T914" t="s">
        <v>38</v>
      </c>
      <c r="U914" t="s">
        <v>80</v>
      </c>
      <c r="V914">
        <v>69</v>
      </c>
      <c r="W914">
        <v>82</v>
      </c>
      <c r="X914">
        <v>122</v>
      </c>
      <c r="Y914">
        <v>101</v>
      </c>
      <c r="Z914">
        <v>184</v>
      </c>
      <c r="AA914">
        <v>158</v>
      </c>
      <c r="AB914" t="s">
        <v>234</v>
      </c>
      <c r="AC914" t="s">
        <v>228</v>
      </c>
      <c r="AD914" t="s">
        <v>210</v>
      </c>
      <c r="AE914" t="s">
        <v>183</v>
      </c>
      <c r="AF914">
        <v>1</v>
      </c>
    </row>
    <row r="915" spans="1:32">
      <c r="A915">
        <v>304</v>
      </c>
      <c r="B915">
        <v>826</v>
      </c>
      <c r="C915" t="s">
        <v>246</v>
      </c>
      <c r="D915" t="s">
        <v>1059</v>
      </c>
      <c r="E915" t="s">
        <v>2165</v>
      </c>
      <c r="F915" t="s">
        <v>6</v>
      </c>
      <c r="G915" t="s">
        <v>1101</v>
      </c>
      <c r="H915" t="s">
        <v>2045</v>
      </c>
      <c r="I915" t="s">
        <v>185</v>
      </c>
      <c r="J915" t="s">
        <v>192</v>
      </c>
      <c r="K915" t="s">
        <v>248</v>
      </c>
      <c r="L915" s="84">
        <v>42669</v>
      </c>
      <c r="M915" t="s">
        <v>203</v>
      </c>
      <c r="N915" t="s">
        <v>266</v>
      </c>
      <c r="O915">
        <v>3</v>
      </c>
      <c r="P915" t="s">
        <v>249</v>
      </c>
      <c r="Q915" t="s">
        <v>250</v>
      </c>
      <c r="R915" t="s">
        <v>251</v>
      </c>
      <c r="S915" t="s">
        <v>252</v>
      </c>
      <c r="T915" t="s">
        <v>34</v>
      </c>
      <c r="U915" t="s">
        <v>80</v>
      </c>
      <c r="V915">
        <v>69</v>
      </c>
      <c r="W915">
        <v>82</v>
      </c>
      <c r="X915">
        <v>122</v>
      </c>
      <c r="Y915">
        <v>101</v>
      </c>
      <c r="Z915">
        <v>184</v>
      </c>
      <c r="AA915">
        <v>158</v>
      </c>
      <c r="AB915" t="s">
        <v>234</v>
      </c>
      <c r="AC915" t="s">
        <v>228</v>
      </c>
      <c r="AD915" t="s">
        <v>210</v>
      </c>
      <c r="AE915" t="s">
        <v>2046</v>
      </c>
      <c r="AF915">
        <v>1</v>
      </c>
    </row>
    <row r="916" spans="1:32">
      <c r="A916">
        <v>304</v>
      </c>
      <c r="B916">
        <v>826</v>
      </c>
      <c r="C916" t="s">
        <v>246</v>
      </c>
      <c r="D916" t="s">
        <v>1059</v>
      </c>
      <c r="E916" t="s">
        <v>2165</v>
      </c>
      <c r="F916" t="s">
        <v>7</v>
      </c>
      <c r="G916" t="s">
        <v>1104</v>
      </c>
      <c r="H916" t="s">
        <v>260</v>
      </c>
      <c r="I916" t="s">
        <v>216</v>
      </c>
      <c r="J916" t="s">
        <v>216</v>
      </c>
      <c r="K916" t="s">
        <v>248</v>
      </c>
      <c r="L916" s="84">
        <v>42669</v>
      </c>
      <c r="M916" t="s">
        <v>203</v>
      </c>
      <c r="N916" t="s">
        <v>266</v>
      </c>
      <c r="O916">
        <v>3</v>
      </c>
      <c r="P916" t="s">
        <v>249</v>
      </c>
      <c r="Q916" t="s">
        <v>250</v>
      </c>
      <c r="R916" t="s">
        <v>251</v>
      </c>
      <c r="S916" t="s">
        <v>252</v>
      </c>
      <c r="T916" t="s">
        <v>32</v>
      </c>
      <c r="U916" t="s">
        <v>80</v>
      </c>
      <c r="V916">
        <v>69</v>
      </c>
      <c r="W916">
        <v>82</v>
      </c>
      <c r="X916">
        <v>122</v>
      </c>
      <c r="Y916">
        <v>101</v>
      </c>
      <c r="Z916">
        <v>184</v>
      </c>
      <c r="AA916">
        <v>158</v>
      </c>
      <c r="AB916" t="s">
        <v>234</v>
      </c>
      <c r="AC916" t="s">
        <v>228</v>
      </c>
      <c r="AD916" t="s">
        <v>210</v>
      </c>
      <c r="AE916" t="s">
        <v>183</v>
      </c>
      <c r="AF916">
        <v>1</v>
      </c>
    </row>
    <row r="917" spans="1:32">
      <c r="A917">
        <v>304</v>
      </c>
      <c r="B917">
        <v>826</v>
      </c>
      <c r="C917" t="s">
        <v>246</v>
      </c>
      <c r="D917" t="s">
        <v>1059</v>
      </c>
      <c r="E917" t="s">
        <v>2165</v>
      </c>
      <c r="F917" t="s">
        <v>8</v>
      </c>
      <c r="G917" t="s">
        <v>1103</v>
      </c>
      <c r="H917" t="s">
        <v>256</v>
      </c>
      <c r="I917" t="s">
        <v>274</v>
      </c>
      <c r="J917" t="s">
        <v>220</v>
      </c>
      <c r="K917" t="s">
        <v>248</v>
      </c>
      <c r="L917" s="84">
        <v>42669</v>
      </c>
      <c r="M917" t="s">
        <v>203</v>
      </c>
      <c r="N917" t="s">
        <v>266</v>
      </c>
      <c r="O917">
        <v>3</v>
      </c>
      <c r="P917" t="s">
        <v>249</v>
      </c>
      <c r="Q917" t="s">
        <v>250</v>
      </c>
      <c r="R917" t="s">
        <v>251</v>
      </c>
      <c r="S917" t="s">
        <v>252</v>
      </c>
      <c r="T917" t="s">
        <v>31</v>
      </c>
      <c r="U917" t="s">
        <v>80</v>
      </c>
      <c r="V917">
        <v>69</v>
      </c>
      <c r="W917">
        <v>82</v>
      </c>
      <c r="X917">
        <v>122</v>
      </c>
      <c r="Y917">
        <v>101</v>
      </c>
      <c r="Z917">
        <v>184</v>
      </c>
      <c r="AA917">
        <v>158</v>
      </c>
      <c r="AB917" t="s">
        <v>234</v>
      </c>
      <c r="AC917" t="s">
        <v>228</v>
      </c>
      <c r="AD917" t="s">
        <v>210</v>
      </c>
      <c r="AE917" t="s">
        <v>183</v>
      </c>
      <c r="AF917">
        <v>1</v>
      </c>
    </row>
    <row r="918" spans="1:32">
      <c r="A918">
        <v>304</v>
      </c>
      <c r="B918">
        <v>826</v>
      </c>
      <c r="C918" t="s">
        <v>246</v>
      </c>
      <c r="D918" t="s">
        <v>1059</v>
      </c>
      <c r="E918" t="s">
        <v>2165</v>
      </c>
      <c r="F918" t="s">
        <v>5</v>
      </c>
      <c r="G918" t="s">
        <v>1102</v>
      </c>
      <c r="H918" t="s">
        <v>191</v>
      </c>
      <c r="I918" t="s">
        <v>189</v>
      </c>
      <c r="J918" t="s">
        <v>221</v>
      </c>
      <c r="K918" t="s">
        <v>248</v>
      </c>
      <c r="L918" s="84">
        <v>42669</v>
      </c>
      <c r="M918" t="s">
        <v>203</v>
      </c>
      <c r="N918" t="s">
        <v>266</v>
      </c>
      <c r="O918">
        <v>3</v>
      </c>
      <c r="P918" t="s">
        <v>249</v>
      </c>
      <c r="Q918" t="s">
        <v>250</v>
      </c>
      <c r="R918" t="s">
        <v>251</v>
      </c>
      <c r="S918" t="s">
        <v>252</v>
      </c>
      <c r="T918" t="s">
        <v>33</v>
      </c>
      <c r="U918" t="s">
        <v>80</v>
      </c>
      <c r="V918">
        <v>69</v>
      </c>
      <c r="W918">
        <v>82</v>
      </c>
      <c r="X918">
        <v>122</v>
      </c>
      <c r="Y918">
        <v>101</v>
      </c>
      <c r="Z918">
        <v>184</v>
      </c>
      <c r="AA918">
        <v>158</v>
      </c>
      <c r="AB918" t="s">
        <v>234</v>
      </c>
      <c r="AC918" t="s">
        <v>228</v>
      </c>
      <c r="AD918" t="s">
        <v>210</v>
      </c>
      <c r="AE918" t="s">
        <v>183</v>
      </c>
      <c r="AF918">
        <v>1</v>
      </c>
    </row>
    <row r="919" spans="1:32">
      <c r="A919">
        <v>305</v>
      </c>
      <c r="B919">
        <v>832</v>
      </c>
      <c r="C919" t="s">
        <v>263</v>
      </c>
      <c r="D919" t="s">
        <v>1059</v>
      </c>
      <c r="E919" t="s">
        <v>2165</v>
      </c>
      <c r="F919" t="s">
        <v>5</v>
      </c>
      <c r="G919" t="s">
        <v>1107</v>
      </c>
      <c r="H919" t="s">
        <v>256</v>
      </c>
      <c r="I919" t="s">
        <v>191</v>
      </c>
      <c r="J919" t="s">
        <v>185</v>
      </c>
      <c r="K919" t="s">
        <v>265</v>
      </c>
      <c r="L919" s="84">
        <v>42797</v>
      </c>
      <c r="M919" t="s">
        <v>175</v>
      </c>
      <c r="N919" t="s">
        <v>266</v>
      </c>
      <c r="O919">
        <v>1</v>
      </c>
      <c r="P919" t="s">
        <v>267</v>
      </c>
      <c r="Q919" t="s">
        <v>268</v>
      </c>
      <c r="R919" t="s">
        <v>269</v>
      </c>
      <c r="S919" t="s">
        <v>270</v>
      </c>
      <c r="T919" t="s">
        <v>33</v>
      </c>
      <c r="U919" t="s">
        <v>78</v>
      </c>
      <c r="V919">
        <v>55</v>
      </c>
      <c r="W919">
        <v>82</v>
      </c>
      <c r="X919">
        <v>122</v>
      </c>
      <c r="Y919">
        <v>87</v>
      </c>
      <c r="Z919">
        <v>184</v>
      </c>
      <c r="AA919">
        <v>135</v>
      </c>
      <c r="AB919" t="s">
        <v>1069</v>
      </c>
      <c r="AC919" t="s">
        <v>212</v>
      </c>
      <c r="AD919" t="s">
        <v>210</v>
      </c>
      <c r="AE919" t="s">
        <v>183</v>
      </c>
      <c r="AF919">
        <v>0</v>
      </c>
    </row>
    <row r="920" spans="1:32">
      <c r="A920">
        <v>305</v>
      </c>
      <c r="B920">
        <v>832</v>
      </c>
      <c r="C920" t="s">
        <v>263</v>
      </c>
      <c r="D920" t="s">
        <v>1059</v>
      </c>
      <c r="E920" t="s">
        <v>2165</v>
      </c>
      <c r="F920" t="s">
        <v>8</v>
      </c>
      <c r="G920" t="s">
        <v>1106</v>
      </c>
      <c r="H920" t="s">
        <v>216</v>
      </c>
      <c r="I920" t="s">
        <v>260</v>
      </c>
      <c r="J920" t="s">
        <v>238</v>
      </c>
      <c r="K920" t="s">
        <v>265</v>
      </c>
      <c r="L920" s="84">
        <v>42797</v>
      </c>
      <c r="M920" t="s">
        <v>175</v>
      </c>
      <c r="N920" t="s">
        <v>266</v>
      </c>
      <c r="O920">
        <v>1</v>
      </c>
      <c r="P920" t="s">
        <v>267</v>
      </c>
      <c r="Q920" t="s">
        <v>268</v>
      </c>
      <c r="R920" t="s">
        <v>269</v>
      </c>
      <c r="S920" t="s">
        <v>270</v>
      </c>
      <c r="T920" t="s">
        <v>31</v>
      </c>
      <c r="U920" t="s">
        <v>78</v>
      </c>
      <c r="V920">
        <v>55</v>
      </c>
      <c r="W920">
        <v>82</v>
      </c>
      <c r="X920">
        <v>122</v>
      </c>
      <c r="Y920">
        <v>87</v>
      </c>
      <c r="Z920">
        <v>184</v>
      </c>
      <c r="AA920">
        <v>135</v>
      </c>
      <c r="AB920" t="s">
        <v>1069</v>
      </c>
      <c r="AC920" t="s">
        <v>212</v>
      </c>
      <c r="AD920" t="s">
        <v>210</v>
      </c>
      <c r="AE920" t="s">
        <v>183</v>
      </c>
      <c r="AF920">
        <v>0</v>
      </c>
    </row>
    <row r="921" spans="1:32">
      <c r="A921">
        <v>305</v>
      </c>
      <c r="B921">
        <v>832</v>
      </c>
      <c r="C921" t="s">
        <v>263</v>
      </c>
      <c r="D921" t="s">
        <v>1059</v>
      </c>
      <c r="E921" t="s">
        <v>2165</v>
      </c>
      <c r="F921" t="s">
        <v>7</v>
      </c>
      <c r="G921" t="s">
        <v>1105</v>
      </c>
      <c r="H921" t="s">
        <v>171</v>
      </c>
      <c r="I921" t="s">
        <v>215</v>
      </c>
      <c r="J921" t="s">
        <v>185</v>
      </c>
      <c r="K921" t="s">
        <v>265</v>
      </c>
      <c r="L921" s="84">
        <v>42797</v>
      </c>
      <c r="M921" t="s">
        <v>175</v>
      </c>
      <c r="N921" t="s">
        <v>266</v>
      </c>
      <c r="O921">
        <v>1</v>
      </c>
      <c r="P921" t="s">
        <v>267</v>
      </c>
      <c r="Q921" t="s">
        <v>268</v>
      </c>
      <c r="R921" t="s">
        <v>269</v>
      </c>
      <c r="S921" t="s">
        <v>270</v>
      </c>
      <c r="T921" t="s">
        <v>32</v>
      </c>
      <c r="U921" t="s">
        <v>78</v>
      </c>
      <c r="V921">
        <v>55</v>
      </c>
      <c r="W921">
        <v>82</v>
      </c>
      <c r="X921">
        <v>122</v>
      </c>
      <c r="Y921">
        <v>87</v>
      </c>
      <c r="Z921">
        <v>184</v>
      </c>
      <c r="AA921">
        <v>135</v>
      </c>
      <c r="AB921" t="s">
        <v>1069</v>
      </c>
      <c r="AC921" t="s">
        <v>212</v>
      </c>
      <c r="AD921" t="s">
        <v>210</v>
      </c>
      <c r="AE921" t="s">
        <v>183</v>
      </c>
      <c r="AF921">
        <v>0</v>
      </c>
    </row>
    <row r="922" spans="1:32">
      <c r="A922">
        <v>305</v>
      </c>
      <c r="B922">
        <v>832</v>
      </c>
      <c r="C922" t="s">
        <v>263</v>
      </c>
      <c r="D922" t="s">
        <v>1059</v>
      </c>
      <c r="E922" t="s">
        <v>2165</v>
      </c>
      <c r="F922" t="s">
        <v>6</v>
      </c>
      <c r="G922" t="s">
        <v>1108</v>
      </c>
      <c r="H922" t="s">
        <v>212</v>
      </c>
      <c r="I922" t="s">
        <v>216</v>
      </c>
      <c r="J922" t="s">
        <v>192</v>
      </c>
      <c r="K922" t="s">
        <v>265</v>
      </c>
      <c r="L922" s="84">
        <v>42797</v>
      </c>
      <c r="M922" t="s">
        <v>175</v>
      </c>
      <c r="N922" t="s">
        <v>266</v>
      </c>
      <c r="O922">
        <v>1</v>
      </c>
      <c r="P922" t="s">
        <v>267</v>
      </c>
      <c r="Q922" t="s">
        <v>268</v>
      </c>
      <c r="R922" t="s">
        <v>269</v>
      </c>
      <c r="S922" t="s">
        <v>270</v>
      </c>
      <c r="T922" t="s">
        <v>34</v>
      </c>
      <c r="U922" t="s">
        <v>78</v>
      </c>
      <c r="V922">
        <v>55</v>
      </c>
      <c r="W922">
        <v>82</v>
      </c>
      <c r="X922">
        <v>122</v>
      </c>
      <c r="Y922">
        <v>87</v>
      </c>
      <c r="Z922">
        <v>184</v>
      </c>
      <c r="AA922">
        <v>135</v>
      </c>
      <c r="AB922" t="s">
        <v>1069</v>
      </c>
      <c r="AC922" t="s">
        <v>212</v>
      </c>
      <c r="AD922" t="s">
        <v>210</v>
      </c>
      <c r="AE922" t="s">
        <v>183</v>
      </c>
      <c r="AF922">
        <v>0</v>
      </c>
    </row>
    <row r="923" spans="1:32">
      <c r="A923">
        <v>305</v>
      </c>
      <c r="B923">
        <v>832</v>
      </c>
      <c r="C923" t="s">
        <v>263</v>
      </c>
      <c r="D923" t="s">
        <v>1059</v>
      </c>
      <c r="E923" t="s">
        <v>2165</v>
      </c>
      <c r="F923" t="s">
        <v>197</v>
      </c>
      <c r="G923" t="s">
        <v>1111</v>
      </c>
      <c r="H923" t="s">
        <v>188</v>
      </c>
      <c r="I923" t="s">
        <v>192</v>
      </c>
      <c r="J923" t="s">
        <v>223</v>
      </c>
      <c r="K923" t="s">
        <v>265</v>
      </c>
      <c r="L923" s="84">
        <v>42797</v>
      </c>
      <c r="M923" t="s">
        <v>175</v>
      </c>
      <c r="N923" t="s">
        <v>266</v>
      </c>
      <c r="O923">
        <v>1</v>
      </c>
      <c r="P923" t="s">
        <v>267</v>
      </c>
      <c r="Q923" t="s">
        <v>268</v>
      </c>
      <c r="R923" t="s">
        <v>269</v>
      </c>
      <c r="S923" t="s">
        <v>270</v>
      </c>
      <c r="T923" t="s">
        <v>38</v>
      </c>
      <c r="U923" t="s">
        <v>78</v>
      </c>
      <c r="V923">
        <v>55</v>
      </c>
      <c r="W923">
        <v>82</v>
      </c>
      <c r="X923">
        <v>122</v>
      </c>
      <c r="Y923">
        <v>87</v>
      </c>
      <c r="Z923">
        <v>184</v>
      </c>
      <c r="AA923">
        <v>135</v>
      </c>
      <c r="AB923" t="s">
        <v>1069</v>
      </c>
      <c r="AC923" t="s">
        <v>212</v>
      </c>
      <c r="AD923" t="s">
        <v>210</v>
      </c>
      <c r="AE923" t="s">
        <v>183</v>
      </c>
      <c r="AF923">
        <v>0</v>
      </c>
    </row>
    <row r="924" spans="1:32">
      <c r="A924">
        <v>305</v>
      </c>
      <c r="B924">
        <v>832</v>
      </c>
      <c r="C924" t="s">
        <v>263</v>
      </c>
      <c r="D924" t="s">
        <v>1059</v>
      </c>
      <c r="E924" t="s">
        <v>2165</v>
      </c>
      <c r="F924" t="s">
        <v>193</v>
      </c>
      <c r="G924" t="s">
        <v>1109</v>
      </c>
      <c r="H924" t="s">
        <v>223</v>
      </c>
      <c r="I924" t="s">
        <v>212</v>
      </c>
      <c r="J924" t="s">
        <v>192</v>
      </c>
      <c r="K924" t="s">
        <v>265</v>
      </c>
      <c r="L924" s="84">
        <v>42797</v>
      </c>
      <c r="M924" t="s">
        <v>175</v>
      </c>
      <c r="N924" t="s">
        <v>266</v>
      </c>
      <c r="O924">
        <v>1</v>
      </c>
      <c r="P924" t="s">
        <v>267</v>
      </c>
      <c r="Q924" t="s">
        <v>268</v>
      </c>
      <c r="R924" t="s">
        <v>269</v>
      </c>
      <c r="S924" t="s">
        <v>270</v>
      </c>
      <c r="T924" t="s">
        <v>36</v>
      </c>
      <c r="U924" t="s">
        <v>78</v>
      </c>
      <c r="V924">
        <v>55</v>
      </c>
      <c r="W924">
        <v>82</v>
      </c>
      <c r="X924">
        <v>122</v>
      </c>
      <c r="Y924">
        <v>87</v>
      </c>
      <c r="Z924">
        <v>184</v>
      </c>
      <c r="AA924">
        <v>135</v>
      </c>
      <c r="AB924" t="s">
        <v>1069</v>
      </c>
      <c r="AC924" t="s">
        <v>212</v>
      </c>
      <c r="AD924" t="s">
        <v>210</v>
      </c>
      <c r="AE924" t="s">
        <v>183</v>
      </c>
      <c r="AF924">
        <v>0</v>
      </c>
    </row>
    <row r="925" spans="1:32">
      <c r="A925">
        <v>305</v>
      </c>
      <c r="B925">
        <v>832</v>
      </c>
      <c r="C925" t="s">
        <v>263</v>
      </c>
      <c r="D925" t="s">
        <v>1059</v>
      </c>
      <c r="E925" t="s">
        <v>2165</v>
      </c>
      <c r="F925" t="s">
        <v>37</v>
      </c>
      <c r="G925" t="s">
        <v>1110</v>
      </c>
      <c r="H925" t="s">
        <v>1701</v>
      </c>
      <c r="I925" t="s">
        <v>212</v>
      </c>
      <c r="J925" t="s">
        <v>192</v>
      </c>
      <c r="K925" t="s">
        <v>265</v>
      </c>
      <c r="L925" s="84">
        <v>42797</v>
      </c>
      <c r="M925" t="s">
        <v>175</v>
      </c>
      <c r="N925" t="s">
        <v>266</v>
      </c>
      <c r="O925">
        <v>1</v>
      </c>
      <c r="P925" t="s">
        <v>267</v>
      </c>
      <c r="Q925" t="s">
        <v>268</v>
      </c>
      <c r="R925" t="s">
        <v>269</v>
      </c>
      <c r="S925" t="s">
        <v>270</v>
      </c>
      <c r="T925" t="s">
        <v>37</v>
      </c>
      <c r="U925" t="s">
        <v>78</v>
      </c>
      <c r="V925">
        <v>55</v>
      </c>
      <c r="W925">
        <v>82</v>
      </c>
      <c r="X925">
        <v>122</v>
      </c>
      <c r="Y925">
        <v>87</v>
      </c>
      <c r="Z925">
        <v>184</v>
      </c>
      <c r="AA925">
        <v>135</v>
      </c>
      <c r="AB925" t="s">
        <v>1069</v>
      </c>
      <c r="AC925" t="s">
        <v>212</v>
      </c>
      <c r="AD925" t="s">
        <v>210</v>
      </c>
      <c r="AE925" t="s">
        <v>183</v>
      </c>
      <c r="AF925">
        <v>0</v>
      </c>
    </row>
    <row r="926" spans="1:32">
      <c r="A926">
        <v>306</v>
      </c>
      <c r="B926">
        <v>796</v>
      </c>
      <c r="C926" t="s">
        <v>281</v>
      </c>
      <c r="D926" t="s">
        <v>1059</v>
      </c>
      <c r="E926" t="s">
        <v>2165</v>
      </c>
      <c r="F926" t="s">
        <v>37</v>
      </c>
      <c r="G926" t="s">
        <v>1114</v>
      </c>
      <c r="H926" t="s">
        <v>1701</v>
      </c>
      <c r="I926" t="s">
        <v>212</v>
      </c>
      <c r="J926" t="s">
        <v>192</v>
      </c>
      <c r="K926" t="s">
        <v>283</v>
      </c>
      <c r="L926" s="84">
        <v>42285</v>
      </c>
      <c r="M926" t="s">
        <v>284</v>
      </c>
      <c r="N926" t="s">
        <v>285</v>
      </c>
      <c r="O926">
        <v>3</v>
      </c>
      <c r="P926" t="s">
        <v>286</v>
      </c>
      <c r="Q926" t="s">
        <v>287</v>
      </c>
      <c r="R926" t="s">
        <v>288</v>
      </c>
      <c r="S926" t="s">
        <v>289</v>
      </c>
      <c r="T926" t="s">
        <v>37</v>
      </c>
      <c r="U926" t="s">
        <v>80</v>
      </c>
      <c r="V926">
        <v>64</v>
      </c>
      <c r="W926">
        <v>82</v>
      </c>
      <c r="X926">
        <v>122</v>
      </c>
      <c r="Y926">
        <v>100</v>
      </c>
      <c r="Z926">
        <v>184</v>
      </c>
      <c r="AA926">
        <v>160</v>
      </c>
      <c r="AB926" t="s">
        <v>2556</v>
      </c>
      <c r="AC926" t="s">
        <v>237</v>
      </c>
      <c r="AD926" t="s">
        <v>609</v>
      </c>
      <c r="AE926" t="s">
        <v>183</v>
      </c>
      <c r="AF926">
        <v>0</v>
      </c>
    </row>
    <row r="927" spans="1:32">
      <c r="A927">
        <v>306</v>
      </c>
      <c r="B927">
        <v>796</v>
      </c>
      <c r="C927" t="s">
        <v>281</v>
      </c>
      <c r="D927" t="s">
        <v>1059</v>
      </c>
      <c r="E927" t="s">
        <v>2165</v>
      </c>
      <c r="F927" t="s">
        <v>193</v>
      </c>
      <c r="G927" t="s">
        <v>1115</v>
      </c>
      <c r="H927" t="s">
        <v>212</v>
      </c>
      <c r="I927" t="s">
        <v>212</v>
      </c>
      <c r="J927" t="s">
        <v>192</v>
      </c>
      <c r="K927" t="s">
        <v>283</v>
      </c>
      <c r="L927" s="84">
        <v>42285</v>
      </c>
      <c r="M927" t="s">
        <v>284</v>
      </c>
      <c r="N927" t="s">
        <v>285</v>
      </c>
      <c r="O927">
        <v>3</v>
      </c>
      <c r="P927" t="s">
        <v>286</v>
      </c>
      <c r="Q927" t="s">
        <v>287</v>
      </c>
      <c r="R927" t="s">
        <v>288</v>
      </c>
      <c r="S927" t="s">
        <v>289</v>
      </c>
      <c r="T927" t="s">
        <v>36</v>
      </c>
      <c r="U927" t="s">
        <v>80</v>
      </c>
      <c r="V927">
        <v>64</v>
      </c>
      <c r="W927">
        <v>82</v>
      </c>
      <c r="X927">
        <v>122</v>
      </c>
      <c r="Y927">
        <v>100</v>
      </c>
      <c r="Z927">
        <v>184</v>
      </c>
      <c r="AA927">
        <v>160</v>
      </c>
      <c r="AB927" t="s">
        <v>2556</v>
      </c>
      <c r="AC927" t="s">
        <v>237</v>
      </c>
      <c r="AD927" t="s">
        <v>609</v>
      </c>
      <c r="AE927" t="s">
        <v>183</v>
      </c>
      <c r="AF927">
        <v>0</v>
      </c>
    </row>
    <row r="928" spans="1:32">
      <c r="A928">
        <v>306</v>
      </c>
      <c r="B928">
        <v>796</v>
      </c>
      <c r="C928" t="s">
        <v>281</v>
      </c>
      <c r="D928" t="s">
        <v>1059</v>
      </c>
      <c r="E928" t="s">
        <v>2165</v>
      </c>
      <c r="F928" t="s">
        <v>197</v>
      </c>
      <c r="G928" t="s">
        <v>1112</v>
      </c>
      <c r="H928" t="s">
        <v>212</v>
      </c>
      <c r="I928" t="s">
        <v>192</v>
      </c>
      <c r="J928" t="s">
        <v>223</v>
      </c>
      <c r="K928" t="s">
        <v>283</v>
      </c>
      <c r="L928" s="84">
        <v>42285</v>
      </c>
      <c r="M928" t="s">
        <v>284</v>
      </c>
      <c r="N928" t="s">
        <v>285</v>
      </c>
      <c r="O928">
        <v>3</v>
      </c>
      <c r="P928" t="s">
        <v>286</v>
      </c>
      <c r="Q928" t="s">
        <v>287</v>
      </c>
      <c r="R928" t="s">
        <v>288</v>
      </c>
      <c r="S928" t="s">
        <v>289</v>
      </c>
      <c r="T928" t="s">
        <v>38</v>
      </c>
      <c r="U928" t="s">
        <v>80</v>
      </c>
      <c r="V928">
        <v>64</v>
      </c>
      <c r="W928">
        <v>82</v>
      </c>
      <c r="X928">
        <v>122</v>
      </c>
      <c r="Y928">
        <v>100</v>
      </c>
      <c r="Z928">
        <v>184</v>
      </c>
      <c r="AA928">
        <v>160</v>
      </c>
      <c r="AB928" t="s">
        <v>2556</v>
      </c>
      <c r="AC928" t="s">
        <v>237</v>
      </c>
      <c r="AD928" t="s">
        <v>609</v>
      </c>
      <c r="AE928" t="s">
        <v>183</v>
      </c>
      <c r="AF928">
        <v>0</v>
      </c>
    </row>
    <row r="929" spans="1:32">
      <c r="A929">
        <v>306</v>
      </c>
      <c r="B929">
        <v>796</v>
      </c>
      <c r="C929" t="s">
        <v>281</v>
      </c>
      <c r="D929" t="s">
        <v>1059</v>
      </c>
      <c r="E929" t="s">
        <v>2165</v>
      </c>
      <c r="F929" t="s">
        <v>6</v>
      </c>
      <c r="G929" t="s">
        <v>1116</v>
      </c>
      <c r="H929" t="s">
        <v>223</v>
      </c>
      <c r="I929" t="s">
        <v>237</v>
      </c>
      <c r="J929" t="s">
        <v>181</v>
      </c>
      <c r="K929" t="s">
        <v>283</v>
      </c>
      <c r="L929" s="84">
        <v>42285</v>
      </c>
      <c r="M929" t="s">
        <v>284</v>
      </c>
      <c r="N929" t="s">
        <v>285</v>
      </c>
      <c r="O929">
        <v>3</v>
      </c>
      <c r="P929" t="s">
        <v>286</v>
      </c>
      <c r="Q929" t="s">
        <v>287</v>
      </c>
      <c r="R929" t="s">
        <v>288</v>
      </c>
      <c r="S929" t="s">
        <v>289</v>
      </c>
      <c r="T929" t="s">
        <v>34</v>
      </c>
      <c r="U929" t="s">
        <v>80</v>
      </c>
      <c r="V929">
        <v>64</v>
      </c>
      <c r="W929">
        <v>82</v>
      </c>
      <c r="X929">
        <v>122</v>
      </c>
      <c r="Y929">
        <v>100</v>
      </c>
      <c r="Z929">
        <v>184</v>
      </c>
      <c r="AA929">
        <v>160</v>
      </c>
      <c r="AB929" t="s">
        <v>2556</v>
      </c>
      <c r="AC929" t="s">
        <v>237</v>
      </c>
      <c r="AD929" t="s">
        <v>609</v>
      </c>
      <c r="AE929" t="s">
        <v>183</v>
      </c>
      <c r="AF929">
        <v>0</v>
      </c>
    </row>
    <row r="930" spans="1:32">
      <c r="A930">
        <v>306</v>
      </c>
      <c r="B930">
        <v>796</v>
      </c>
      <c r="C930" t="s">
        <v>281</v>
      </c>
      <c r="D930" t="s">
        <v>1059</v>
      </c>
      <c r="E930" t="s">
        <v>2165</v>
      </c>
      <c r="F930" t="s">
        <v>7</v>
      </c>
      <c r="G930" t="s">
        <v>1119</v>
      </c>
      <c r="H930" t="s">
        <v>215</v>
      </c>
      <c r="I930" t="s">
        <v>275</v>
      </c>
      <c r="J930" t="s">
        <v>236</v>
      </c>
      <c r="K930" t="s">
        <v>283</v>
      </c>
      <c r="L930" s="84">
        <v>42285</v>
      </c>
      <c r="M930" t="s">
        <v>284</v>
      </c>
      <c r="N930" t="s">
        <v>285</v>
      </c>
      <c r="O930">
        <v>3</v>
      </c>
      <c r="P930" t="s">
        <v>286</v>
      </c>
      <c r="Q930" t="s">
        <v>287</v>
      </c>
      <c r="R930" t="s">
        <v>288</v>
      </c>
      <c r="S930" t="s">
        <v>289</v>
      </c>
      <c r="T930" t="s">
        <v>32</v>
      </c>
      <c r="U930" t="s">
        <v>80</v>
      </c>
      <c r="V930">
        <v>64</v>
      </c>
      <c r="W930">
        <v>82</v>
      </c>
      <c r="X930">
        <v>122</v>
      </c>
      <c r="Y930">
        <v>100</v>
      </c>
      <c r="Z930">
        <v>184</v>
      </c>
      <c r="AA930">
        <v>160</v>
      </c>
      <c r="AB930" t="s">
        <v>2556</v>
      </c>
      <c r="AC930" t="s">
        <v>237</v>
      </c>
      <c r="AD930" t="s">
        <v>609</v>
      </c>
      <c r="AE930" t="s">
        <v>183</v>
      </c>
      <c r="AF930">
        <v>0</v>
      </c>
    </row>
    <row r="931" spans="1:32">
      <c r="A931">
        <v>306</v>
      </c>
      <c r="B931">
        <v>796</v>
      </c>
      <c r="C931" t="s">
        <v>281</v>
      </c>
      <c r="D931" t="s">
        <v>1059</v>
      </c>
      <c r="E931" t="s">
        <v>2165</v>
      </c>
      <c r="F931" t="s">
        <v>8</v>
      </c>
      <c r="G931" t="s">
        <v>1118</v>
      </c>
      <c r="H931" t="s">
        <v>239</v>
      </c>
      <c r="I931" t="s">
        <v>260</v>
      </c>
      <c r="J931" t="s">
        <v>223</v>
      </c>
      <c r="K931" t="s">
        <v>283</v>
      </c>
      <c r="L931" s="84">
        <v>42285</v>
      </c>
      <c r="M931" t="s">
        <v>284</v>
      </c>
      <c r="N931" t="s">
        <v>285</v>
      </c>
      <c r="O931">
        <v>3</v>
      </c>
      <c r="P931" t="s">
        <v>286</v>
      </c>
      <c r="Q931" t="s">
        <v>287</v>
      </c>
      <c r="R931" t="s">
        <v>288</v>
      </c>
      <c r="S931" t="s">
        <v>289</v>
      </c>
      <c r="T931" t="s">
        <v>31</v>
      </c>
      <c r="U931" t="s">
        <v>80</v>
      </c>
      <c r="V931">
        <v>64</v>
      </c>
      <c r="W931">
        <v>82</v>
      </c>
      <c r="X931">
        <v>122</v>
      </c>
      <c r="Y931">
        <v>100</v>
      </c>
      <c r="Z931">
        <v>184</v>
      </c>
      <c r="AA931">
        <v>160</v>
      </c>
      <c r="AB931" t="s">
        <v>2556</v>
      </c>
      <c r="AC931" t="s">
        <v>237</v>
      </c>
      <c r="AD931" t="s">
        <v>609</v>
      </c>
      <c r="AE931" t="s">
        <v>183</v>
      </c>
      <c r="AF931">
        <v>0</v>
      </c>
    </row>
    <row r="932" spans="1:32">
      <c r="A932">
        <v>306</v>
      </c>
      <c r="B932">
        <v>796</v>
      </c>
      <c r="C932" t="s">
        <v>281</v>
      </c>
      <c r="D932" t="s">
        <v>1059</v>
      </c>
      <c r="E932" t="s">
        <v>2165</v>
      </c>
      <c r="F932" t="s">
        <v>5</v>
      </c>
      <c r="G932" t="s">
        <v>1117</v>
      </c>
      <c r="H932" t="s">
        <v>259</v>
      </c>
      <c r="I932" t="s">
        <v>497</v>
      </c>
      <c r="J932" t="s">
        <v>226</v>
      </c>
      <c r="K932" t="s">
        <v>283</v>
      </c>
      <c r="L932" s="84">
        <v>42285</v>
      </c>
      <c r="M932" t="s">
        <v>284</v>
      </c>
      <c r="N932" t="s">
        <v>285</v>
      </c>
      <c r="O932">
        <v>3</v>
      </c>
      <c r="P932" t="s">
        <v>286</v>
      </c>
      <c r="Q932" t="s">
        <v>287</v>
      </c>
      <c r="R932" t="s">
        <v>288</v>
      </c>
      <c r="S932" t="s">
        <v>289</v>
      </c>
      <c r="T932" t="s">
        <v>33</v>
      </c>
      <c r="U932" t="s">
        <v>80</v>
      </c>
      <c r="V932">
        <v>64</v>
      </c>
      <c r="W932">
        <v>82</v>
      </c>
      <c r="X932">
        <v>122</v>
      </c>
      <c r="Y932">
        <v>100</v>
      </c>
      <c r="Z932">
        <v>184</v>
      </c>
      <c r="AA932">
        <v>160</v>
      </c>
      <c r="AB932" t="s">
        <v>2556</v>
      </c>
      <c r="AC932" t="s">
        <v>237</v>
      </c>
      <c r="AD932" t="s">
        <v>609</v>
      </c>
      <c r="AE932" t="s">
        <v>183</v>
      </c>
      <c r="AF932">
        <v>0</v>
      </c>
    </row>
    <row r="933" spans="1:32">
      <c r="A933">
        <v>307</v>
      </c>
      <c r="B933">
        <v>941</v>
      </c>
      <c r="C933" t="s">
        <v>295</v>
      </c>
      <c r="D933" t="s">
        <v>1059</v>
      </c>
      <c r="E933" t="s">
        <v>2165</v>
      </c>
      <c r="F933" t="s">
        <v>5</v>
      </c>
      <c r="G933" t="s">
        <v>1122</v>
      </c>
      <c r="H933" t="s">
        <v>218</v>
      </c>
      <c r="I933" t="s">
        <v>218</v>
      </c>
      <c r="J933" t="s">
        <v>217</v>
      </c>
      <c r="K933" t="s">
        <v>298</v>
      </c>
      <c r="L933" s="84">
        <v>42209</v>
      </c>
      <c r="M933" t="s">
        <v>203</v>
      </c>
      <c r="N933" t="s">
        <v>1353</v>
      </c>
      <c r="O933">
        <v>3</v>
      </c>
      <c r="P933" t="s">
        <v>299</v>
      </c>
      <c r="Q933" t="s">
        <v>300</v>
      </c>
      <c r="R933" t="s">
        <v>301</v>
      </c>
      <c r="S933" t="s">
        <v>302</v>
      </c>
      <c r="T933" t="s">
        <v>33</v>
      </c>
      <c r="U933" t="s">
        <v>80</v>
      </c>
      <c r="V933">
        <v>68</v>
      </c>
      <c r="W933">
        <v>82</v>
      </c>
      <c r="X933">
        <v>122</v>
      </c>
      <c r="Y933">
        <v>103</v>
      </c>
      <c r="Z933">
        <v>184</v>
      </c>
      <c r="AA933">
        <v>153</v>
      </c>
      <c r="AB933" t="s">
        <v>1049</v>
      </c>
      <c r="AC933" t="s">
        <v>228</v>
      </c>
      <c r="AD933" t="s">
        <v>609</v>
      </c>
      <c r="AE933" t="s">
        <v>183</v>
      </c>
      <c r="AF933">
        <v>0</v>
      </c>
    </row>
    <row r="934" spans="1:32">
      <c r="A934">
        <v>307</v>
      </c>
      <c r="B934">
        <v>941</v>
      </c>
      <c r="C934" t="s">
        <v>295</v>
      </c>
      <c r="D934" t="s">
        <v>1059</v>
      </c>
      <c r="E934" t="s">
        <v>2165</v>
      </c>
      <c r="F934" t="s">
        <v>8</v>
      </c>
      <c r="G934" t="s">
        <v>1121</v>
      </c>
      <c r="H934" t="s">
        <v>218</v>
      </c>
      <c r="I934" t="s">
        <v>305</v>
      </c>
      <c r="J934" t="s">
        <v>259</v>
      </c>
      <c r="K934" t="s">
        <v>298</v>
      </c>
      <c r="L934" s="84">
        <v>42209</v>
      </c>
      <c r="M934" t="s">
        <v>203</v>
      </c>
      <c r="N934" t="s">
        <v>1353</v>
      </c>
      <c r="O934">
        <v>3</v>
      </c>
      <c r="P934" t="s">
        <v>299</v>
      </c>
      <c r="Q934" t="s">
        <v>300</v>
      </c>
      <c r="R934" t="s">
        <v>301</v>
      </c>
      <c r="S934" t="s">
        <v>302</v>
      </c>
      <c r="T934" t="s">
        <v>31</v>
      </c>
      <c r="U934" t="s">
        <v>80</v>
      </c>
      <c r="V934">
        <v>68</v>
      </c>
      <c r="W934">
        <v>82</v>
      </c>
      <c r="X934">
        <v>122</v>
      </c>
      <c r="Y934">
        <v>103</v>
      </c>
      <c r="Z934">
        <v>184</v>
      </c>
      <c r="AA934">
        <v>153</v>
      </c>
      <c r="AB934" t="s">
        <v>1049</v>
      </c>
      <c r="AC934" t="s">
        <v>228</v>
      </c>
      <c r="AD934" t="s">
        <v>609</v>
      </c>
      <c r="AE934" t="s">
        <v>183</v>
      </c>
      <c r="AF934">
        <v>0</v>
      </c>
    </row>
    <row r="935" spans="1:32">
      <c r="A935">
        <v>307</v>
      </c>
      <c r="B935">
        <v>941</v>
      </c>
      <c r="C935" t="s">
        <v>295</v>
      </c>
      <c r="D935" t="s">
        <v>1059</v>
      </c>
      <c r="E935" t="s">
        <v>2165</v>
      </c>
      <c r="F935" t="s">
        <v>7</v>
      </c>
      <c r="G935" t="s">
        <v>1120</v>
      </c>
      <c r="H935" t="s">
        <v>189</v>
      </c>
      <c r="I935" t="s">
        <v>217</v>
      </c>
      <c r="J935" t="s">
        <v>497</v>
      </c>
      <c r="K935" t="s">
        <v>298</v>
      </c>
      <c r="L935" s="84">
        <v>42209</v>
      </c>
      <c r="M935" t="s">
        <v>203</v>
      </c>
      <c r="N935" t="s">
        <v>1353</v>
      </c>
      <c r="O935">
        <v>3</v>
      </c>
      <c r="P935" t="s">
        <v>299</v>
      </c>
      <c r="Q935" t="s">
        <v>300</v>
      </c>
      <c r="R935" t="s">
        <v>301</v>
      </c>
      <c r="S935" t="s">
        <v>302</v>
      </c>
      <c r="T935" t="s">
        <v>32</v>
      </c>
      <c r="U935" t="s">
        <v>80</v>
      </c>
      <c r="V935">
        <v>68</v>
      </c>
      <c r="W935">
        <v>82</v>
      </c>
      <c r="X935">
        <v>122</v>
      </c>
      <c r="Y935">
        <v>103</v>
      </c>
      <c r="Z935">
        <v>184</v>
      </c>
      <c r="AA935">
        <v>153</v>
      </c>
      <c r="AB935" t="s">
        <v>1049</v>
      </c>
      <c r="AC935" t="s">
        <v>228</v>
      </c>
      <c r="AD935" t="s">
        <v>609</v>
      </c>
      <c r="AE935" t="s">
        <v>183</v>
      </c>
      <c r="AF935">
        <v>0</v>
      </c>
    </row>
    <row r="936" spans="1:32">
      <c r="A936">
        <v>307</v>
      </c>
      <c r="B936">
        <v>941</v>
      </c>
      <c r="C936" t="s">
        <v>295</v>
      </c>
      <c r="D936" t="s">
        <v>1059</v>
      </c>
      <c r="E936" t="s">
        <v>2165</v>
      </c>
      <c r="F936" t="s">
        <v>6</v>
      </c>
      <c r="G936" t="s">
        <v>1123</v>
      </c>
      <c r="H936" t="s">
        <v>260</v>
      </c>
      <c r="I936" t="s">
        <v>215</v>
      </c>
      <c r="J936" t="s">
        <v>215</v>
      </c>
      <c r="K936" t="s">
        <v>298</v>
      </c>
      <c r="L936" s="84">
        <v>42209</v>
      </c>
      <c r="M936" t="s">
        <v>203</v>
      </c>
      <c r="N936" t="s">
        <v>1353</v>
      </c>
      <c r="O936">
        <v>3</v>
      </c>
      <c r="P936" t="s">
        <v>299</v>
      </c>
      <c r="Q936" t="s">
        <v>300</v>
      </c>
      <c r="R936" t="s">
        <v>301</v>
      </c>
      <c r="S936" t="s">
        <v>302</v>
      </c>
      <c r="T936" t="s">
        <v>34</v>
      </c>
      <c r="U936" t="s">
        <v>80</v>
      </c>
      <c r="V936">
        <v>68</v>
      </c>
      <c r="W936">
        <v>82</v>
      </c>
      <c r="X936">
        <v>122</v>
      </c>
      <c r="Y936">
        <v>103</v>
      </c>
      <c r="Z936">
        <v>184</v>
      </c>
      <c r="AA936">
        <v>153</v>
      </c>
      <c r="AB936" t="s">
        <v>1049</v>
      </c>
      <c r="AC936" t="s">
        <v>228</v>
      </c>
      <c r="AD936" t="s">
        <v>609</v>
      </c>
      <c r="AE936" t="s">
        <v>183</v>
      </c>
      <c r="AF936">
        <v>0</v>
      </c>
    </row>
    <row r="937" spans="1:32">
      <c r="A937">
        <v>307</v>
      </c>
      <c r="B937">
        <v>941</v>
      </c>
      <c r="C937" t="s">
        <v>295</v>
      </c>
      <c r="D937" t="s">
        <v>1059</v>
      </c>
      <c r="E937" t="s">
        <v>2165</v>
      </c>
      <c r="F937" t="s">
        <v>197</v>
      </c>
      <c r="G937" t="s">
        <v>1126</v>
      </c>
      <c r="H937" t="s">
        <v>192</v>
      </c>
      <c r="I937" t="s">
        <v>192</v>
      </c>
      <c r="J937" t="s">
        <v>192</v>
      </c>
      <c r="K937" t="s">
        <v>298</v>
      </c>
      <c r="L937" s="84">
        <v>42209</v>
      </c>
      <c r="M937" t="s">
        <v>203</v>
      </c>
      <c r="N937" t="s">
        <v>1353</v>
      </c>
      <c r="O937">
        <v>3</v>
      </c>
      <c r="P937" t="s">
        <v>299</v>
      </c>
      <c r="Q937" t="s">
        <v>300</v>
      </c>
      <c r="R937" t="s">
        <v>301</v>
      </c>
      <c r="S937" t="s">
        <v>302</v>
      </c>
      <c r="T937" t="s">
        <v>38</v>
      </c>
      <c r="U937" t="s">
        <v>80</v>
      </c>
      <c r="V937">
        <v>68</v>
      </c>
      <c r="W937">
        <v>82</v>
      </c>
      <c r="X937">
        <v>122</v>
      </c>
      <c r="Y937">
        <v>103</v>
      </c>
      <c r="Z937">
        <v>184</v>
      </c>
      <c r="AA937">
        <v>153</v>
      </c>
      <c r="AB937" t="s">
        <v>1049</v>
      </c>
      <c r="AC937" t="s">
        <v>228</v>
      </c>
      <c r="AD937" t="s">
        <v>609</v>
      </c>
      <c r="AE937" t="s">
        <v>183</v>
      </c>
      <c r="AF937">
        <v>0</v>
      </c>
    </row>
    <row r="938" spans="1:32">
      <c r="A938">
        <v>307</v>
      </c>
      <c r="B938">
        <v>941</v>
      </c>
      <c r="C938" t="s">
        <v>295</v>
      </c>
      <c r="D938" t="s">
        <v>1059</v>
      </c>
      <c r="E938" t="s">
        <v>2165</v>
      </c>
      <c r="F938" t="s">
        <v>193</v>
      </c>
      <c r="G938" t="s">
        <v>1124</v>
      </c>
      <c r="H938" t="s">
        <v>192</v>
      </c>
      <c r="I938" t="s">
        <v>212</v>
      </c>
      <c r="J938" t="s">
        <v>212</v>
      </c>
      <c r="K938" t="s">
        <v>298</v>
      </c>
      <c r="L938" s="84">
        <v>42209</v>
      </c>
      <c r="M938" t="s">
        <v>203</v>
      </c>
      <c r="N938" t="s">
        <v>1353</v>
      </c>
      <c r="O938">
        <v>3</v>
      </c>
      <c r="P938" t="s">
        <v>299</v>
      </c>
      <c r="Q938" t="s">
        <v>300</v>
      </c>
      <c r="R938" t="s">
        <v>301</v>
      </c>
      <c r="S938" t="s">
        <v>302</v>
      </c>
      <c r="T938" t="s">
        <v>36</v>
      </c>
      <c r="U938" t="s">
        <v>80</v>
      </c>
      <c r="V938">
        <v>68</v>
      </c>
      <c r="W938">
        <v>82</v>
      </c>
      <c r="X938">
        <v>122</v>
      </c>
      <c r="Y938">
        <v>103</v>
      </c>
      <c r="Z938">
        <v>184</v>
      </c>
      <c r="AA938">
        <v>153</v>
      </c>
      <c r="AB938" t="s">
        <v>1049</v>
      </c>
      <c r="AC938" t="s">
        <v>228</v>
      </c>
      <c r="AD938" t="s">
        <v>609</v>
      </c>
      <c r="AE938" t="s">
        <v>183</v>
      </c>
      <c r="AF938">
        <v>0</v>
      </c>
    </row>
    <row r="939" spans="1:32">
      <c r="A939">
        <v>307</v>
      </c>
      <c r="B939">
        <v>941</v>
      </c>
      <c r="C939" t="s">
        <v>295</v>
      </c>
      <c r="D939" t="s">
        <v>1059</v>
      </c>
      <c r="E939" t="s">
        <v>2165</v>
      </c>
      <c r="F939" t="s">
        <v>37</v>
      </c>
      <c r="G939" t="s">
        <v>1125</v>
      </c>
      <c r="H939" t="s">
        <v>1701</v>
      </c>
      <c r="I939" t="s">
        <v>212</v>
      </c>
      <c r="J939" t="s">
        <v>192</v>
      </c>
      <c r="K939" t="s">
        <v>298</v>
      </c>
      <c r="L939" s="84">
        <v>42209</v>
      </c>
      <c r="M939" t="s">
        <v>203</v>
      </c>
      <c r="N939" t="s">
        <v>1353</v>
      </c>
      <c r="O939">
        <v>3</v>
      </c>
      <c r="P939" t="s">
        <v>299</v>
      </c>
      <c r="Q939" t="s">
        <v>300</v>
      </c>
      <c r="R939" t="s">
        <v>301</v>
      </c>
      <c r="S939" t="s">
        <v>302</v>
      </c>
      <c r="T939" t="s">
        <v>37</v>
      </c>
      <c r="U939" t="s">
        <v>80</v>
      </c>
      <c r="V939">
        <v>68</v>
      </c>
      <c r="W939">
        <v>82</v>
      </c>
      <c r="X939">
        <v>122</v>
      </c>
      <c r="Y939">
        <v>103</v>
      </c>
      <c r="Z939">
        <v>184</v>
      </c>
      <c r="AA939">
        <v>153</v>
      </c>
      <c r="AB939" t="s">
        <v>1049</v>
      </c>
      <c r="AC939" t="s">
        <v>228</v>
      </c>
      <c r="AD939" t="s">
        <v>609</v>
      </c>
      <c r="AE939" t="s">
        <v>183</v>
      </c>
      <c r="AF939">
        <v>0</v>
      </c>
    </row>
    <row r="940" spans="1:32">
      <c r="A940">
        <v>308</v>
      </c>
      <c r="B940">
        <v>1015</v>
      </c>
      <c r="C940" t="s">
        <v>1894</v>
      </c>
      <c r="D940" t="s">
        <v>1059</v>
      </c>
      <c r="E940" t="s">
        <v>2165</v>
      </c>
      <c r="F940" t="s">
        <v>37</v>
      </c>
      <c r="G940" t="s">
        <v>1128</v>
      </c>
      <c r="H940" t="s">
        <v>1701</v>
      </c>
      <c r="I940" t="s">
        <v>212</v>
      </c>
      <c r="J940" t="s">
        <v>192</v>
      </c>
      <c r="K940" t="s">
        <v>1895</v>
      </c>
      <c r="L940" s="84">
        <v>42476</v>
      </c>
      <c r="M940" t="s">
        <v>381</v>
      </c>
      <c r="N940" t="s">
        <v>1896</v>
      </c>
      <c r="O940">
        <v>2</v>
      </c>
      <c r="P940" t="s">
        <v>1897</v>
      </c>
      <c r="Q940" t="s">
        <v>2051</v>
      </c>
      <c r="R940" t="s">
        <v>2052</v>
      </c>
      <c r="S940" t="s">
        <v>2053</v>
      </c>
      <c r="T940" t="s">
        <v>37</v>
      </c>
      <c r="U940" t="s">
        <v>79</v>
      </c>
      <c r="V940">
        <v>58</v>
      </c>
      <c r="W940">
        <v>82</v>
      </c>
      <c r="X940">
        <v>122</v>
      </c>
      <c r="Y940">
        <v>94</v>
      </c>
      <c r="Z940">
        <v>184</v>
      </c>
      <c r="AA940">
        <v>147</v>
      </c>
      <c r="AB940" t="s">
        <v>1236</v>
      </c>
      <c r="AC940" t="s">
        <v>215</v>
      </c>
      <c r="AD940" t="s">
        <v>210</v>
      </c>
      <c r="AE940" t="s">
        <v>183</v>
      </c>
      <c r="AF940">
        <v>0</v>
      </c>
    </row>
    <row r="941" spans="1:32">
      <c r="A941">
        <v>308</v>
      </c>
      <c r="B941">
        <v>1015</v>
      </c>
      <c r="C941" t="s">
        <v>1894</v>
      </c>
      <c r="D941" t="s">
        <v>1059</v>
      </c>
      <c r="E941" t="s">
        <v>2165</v>
      </c>
      <c r="F941" t="s">
        <v>193</v>
      </c>
      <c r="G941" t="s">
        <v>1129</v>
      </c>
      <c r="H941" t="s">
        <v>188</v>
      </c>
      <c r="I941" t="s">
        <v>212</v>
      </c>
      <c r="J941" t="s">
        <v>192</v>
      </c>
      <c r="K941" t="s">
        <v>1895</v>
      </c>
      <c r="L941" s="84">
        <v>42476</v>
      </c>
      <c r="M941" t="s">
        <v>381</v>
      </c>
      <c r="N941" t="s">
        <v>1896</v>
      </c>
      <c r="O941">
        <v>2</v>
      </c>
      <c r="P941" t="s">
        <v>1897</v>
      </c>
      <c r="Q941" t="s">
        <v>2051</v>
      </c>
      <c r="R941" t="s">
        <v>2052</v>
      </c>
      <c r="S941" t="s">
        <v>2053</v>
      </c>
      <c r="T941" t="s">
        <v>36</v>
      </c>
      <c r="U941" t="s">
        <v>79</v>
      </c>
      <c r="V941">
        <v>58</v>
      </c>
      <c r="W941">
        <v>82</v>
      </c>
      <c r="X941">
        <v>122</v>
      </c>
      <c r="Y941">
        <v>94</v>
      </c>
      <c r="Z941">
        <v>184</v>
      </c>
      <c r="AA941">
        <v>147</v>
      </c>
      <c r="AB941" t="s">
        <v>1236</v>
      </c>
      <c r="AC941" t="s">
        <v>215</v>
      </c>
      <c r="AD941" t="s">
        <v>210</v>
      </c>
      <c r="AE941" t="s">
        <v>183</v>
      </c>
      <c r="AF941">
        <v>0</v>
      </c>
    </row>
    <row r="942" spans="1:32">
      <c r="A942">
        <v>308</v>
      </c>
      <c r="B942">
        <v>1015</v>
      </c>
      <c r="C942" t="s">
        <v>1894</v>
      </c>
      <c r="D942" t="s">
        <v>1059</v>
      </c>
      <c r="E942" t="s">
        <v>2165</v>
      </c>
      <c r="F942" t="s">
        <v>197</v>
      </c>
      <c r="G942" t="s">
        <v>1127</v>
      </c>
      <c r="H942" t="s">
        <v>188</v>
      </c>
      <c r="I942" t="s">
        <v>192</v>
      </c>
      <c r="J942" t="s">
        <v>192</v>
      </c>
      <c r="K942" t="s">
        <v>1895</v>
      </c>
      <c r="L942" s="84">
        <v>42476</v>
      </c>
      <c r="M942" t="s">
        <v>381</v>
      </c>
      <c r="N942" t="s">
        <v>1896</v>
      </c>
      <c r="O942">
        <v>2</v>
      </c>
      <c r="P942" t="s">
        <v>1897</v>
      </c>
      <c r="Q942" t="s">
        <v>2051</v>
      </c>
      <c r="R942" t="s">
        <v>2052</v>
      </c>
      <c r="S942" t="s">
        <v>2053</v>
      </c>
      <c r="T942" t="s">
        <v>38</v>
      </c>
      <c r="U942" t="s">
        <v>79</v>
      </c>
      <c r="V942">
        <v>58</v>
      </c>
      <c r="W942">
        <v>82</v>
      </c>
      <c r="X942">
        <v>122</v>
      </c>
      <c r="Y942">
        <v>94</v>
      </c>
      <c r="Z942">
        <v>184</v>
      </c>
      <c r="AA942">
        <v>147</v>
      </c>
      <c r="AB942" t="s">
        <v>1236</v>
      </c>
      <c r="AC942" t="s">
        <v>215</v>
      </c>
      <c r="AD942" t="s">
        <v>210</v>
      </c>
      <c r="AE942" t="s">
        <v>183</v>
      </c>
      <c r="AF942">
        <v>0</v>
      </c>
    </row>
    <row r="943" spans="1:32">
      <c r="A943">
        <v>308</v>
      </c>
      <c r="B943">
        <v>1015</v>
      </c>
      <c r="C943" t="s">
        <v>1894</v>
      </c>
      <c r="D943" t="s">
        <v>1059</v>
      </c>
      <c r="E943" t="s">
        <v>2165</v>
      </c>
      <c r="F943" t="s">
        <v>6</v>
      </c>
      <c r="G943" t="s">
        <v>1130</v>
      </c>
      <c r="H943" t="s">
        <v>274</v>
      </c>
      <c r="I943" t="s">
        <v>216</v>
      </c>
      <c r="J943" t="s">
        <v>243</v>
      </c>
      <c r="K943" t="s">
        <v>1895</v>
      </c>
      <c r="L943" s="84">
        <v>42476</v>
      </c>
      <c r="M943" t="s">
        <v>381</v>
      </c>
      <c r="N943" t="s">
        <v>1896</v>
      </c>
      <c r="O943">
        <v>2</v>
      </c>
      <c r="P943" t="s">
        <v>1897</v>
      </c>
      <c r="Q943" t="s">
        <v>2051</v>
      </c>
      <c r="R943" t="s">
        <v>2052</v>
      </c>
      <c r="S943" t="s">
        <v>2053</v>
      </c>
      <c r="T943" t="s">
        <v>34</v>
      </c>
      <c r="U943" t="s">
        <v>79</v>
      </c>
      <c r="V943">
        <v>58</v>
      </c>
      <c r="W943">
        <v>82</v>
      </c>
      <c r="X943">
        <v>122</v>
      </c>
      <c r="Y943">
        <v>94</v>
      </c>
      <c r="Z943">
        <v>184</v>
      </c>
      <c r="AA943">
        <v>147</v>
      </c>
      <c r="AB943" t="s">
        <v>1236</v>
      </c>
      <c r="AC943" t="s">
        <v>215</v>
      </c>
      <c r="AD943" t="s">
        <v>210</v>
      </c>
      <c r="AE943" t="s">
        <v>183</v>
      </c>
      <c r="AF943">
        <v>0</v>
      </c>
    </row>
    <row r="944" spans="1:32">
      <c r="A944">
        <v>308</v>
      </c>
      <c r="B944">
        <v>1015</v>
      </c>
      <c r="C944" t="s">
        <v>1894</v>
      </c>
      <c r="D944" t="s">
        <v>1059</v>
      </c>
      <c r="E944" t="s">
        <v>2165</v>
      </c>
      <c r="F944" t="s">
        <v>7</v>
      </c>
      <c r="G944" t="s">
        <v>1133</v>
      </c>
      <c r="H944" t="s">
        <v>215</v>
      </c>
      <c r="I944" t="s">
        <v>297</v>
      </c>
      <c r="J944" t="s">
        <v>260</v>
      </c>
      <c r="K944" t="s">
        <v>1895</v>
      </c>
      <c r="L944" s="84">
        <v>42476</v>
      </c>
      <c r="M944" t="s">
        <v>381</v>
      </c>
      <c r="N944" t="s">
        <v>1896</v>
      </c>
      <c r="O944">
        <v>2</v>
      </c>
      <c r="P944" t="s">
        <v>1897</v>
      </c>
      <c r="Q944" t="s">
        <v>2051</v>
      </c>
      <c r="R944" t="s">
        <v>2052</v>
      </c>
      <c r="S944" t="s">
        <v>2053</v>
      </c>
      <c r="T944" t="s">
        <v>32</v>
      </c>
      <c r="U944" t="s">
        <v>79</v>
      </c>
      <c r="V944">
        <v>58</v>
      </c>
      <c r="W944">
        <v>82</v>
      </c>
      <c r="X944">
        <v>122</v>
      </c>
      <c r="Y944">
        <v>94</v>
      </c>
      <c r="Z944">
        <v>184</v>
      </c>
      <c r="AA944">
        <v>147</v>
      </c>
      <c r="AB944" t="s">
        <v>1236</v>
      </c>
      <c r="AC944" t="s">
        <v>215</v>
      </c>
      <c r="AD944" t="s">
        <v>210</v>
      </c>
      <c r="AE944" t="s">
        <v>183</v>
      </c>
      <c r="AF944">
        <v>0</v>
      </c>
    </row>
    <row r="945" spans="1:32">
      <c r="A945">
        <v>308</v>
      </c>
      <c r="B945">
        <v>1015</v>
      </c>
      <c r="C945" t="s">
        <v>1894</v>
      </c>
      <c r="D945" t="s">
        <v>1059</v>
      </c>
      <c r="E945" t="s">
        <v>2165</v>
      </c>
      <c r="F945" t="s">
        <v>8</v>
      </c>
      <c r="G945" t="s">
        <v>1132</v>
      </c>
      <c r="H945" t="s">
        <v>256</v>
      </c>
      <c r="I945" t="s">
        <v>259</v>
      </c>
      <c r="J945" t="s">
        <v>256</v>
      </c>
      <c r="K945" t="s">
        <v>1895</v>
      </c>
      <c r="L945" s="84">
        <v>42476</v>
      </c>
      <c r="M945" t="s">
        <v>381</v>
      </c>
      <c r="N945" t="s">
        <v>1896</v>
      </c>
      <c r="O945">
        <v>2</v>
      </c>
      <c r="P945" t="s">
        <v>1897</v>
      </c>
      <c r="Q945" t="s">
        <v>2051</v>
      </c>
      <c r="R945" t="s">
        <v>2052</v>
      </c>
      <c r="S945" t="s">
        <v>2053</v>
      </c>
      <c r="T945" t="s">
        <v>31</v>
      </c>
      <c r="U945" t="s">
        <v>79</v>
      </c>
      <c r="V945">
        <v>58</v>
      </c>
      <c r="W945">
        <v>82</v>
      </c>
      <c r="X945">
        <v>122</v>
      </c>
      <c r="Y945">
        <v>94</v>
      </c>
      <c r="Z945">
        <v>184</v>
      </c>
      <c r="AA945">
        <v>147</v>
      </c>
      <c r="AB945" t="s">
        <v>1236</v>
      </c>
      <c r="AC945" t="s">
        <v>215</v>
      </c>
      <c r="AD945" t="s">
        <v>210</v>
      </c>
      <c r="AE945" t="s">
        <v>183</v>
      </c>
      <c r="AF945">
        <v>0</v>
      </c>
    </row>
    <row r="946" spans="1:32">
      <c r="A946">
        <v>308</v>
      </c>
      <c r="B946">
        <v>1015</v>
      </c>
      <c r="C946" t="s">
        <v>1894</v>
      </c>
      <c r="D946" t="s">
        <v>1059</v>
      </c>
      <c r="E946" t="s">
        <v>2165</v>
      </c>
      <c r="F946" t="s">
        <v>5</v>
      </c>
      <c r="G946" t="s">
        <v>1131</v>
      </c>
      <c r="H946" t="s">
        <v>275</v>
      </c>
      <c r="I946" t="s">
        <v>238</v>
      </c>
      <c r="J946" t="s">
        <v>274</v>
      </c>
      <c r="K946" t="s">
        <v>1895</v>
      </c>
      <c r="L946" s="84">
        <v>42476</v>
      </c>
      <c r="M946" t="s">
        <v>381</v>
      </c>
      <c r="N946" t="s">
        <v>1896</v>
      </c>
      <c r="O946">
        <v>2</v>
      </c>
      <c r="P946" t="s">
        <v>1897</v>
      </c>
      <c r="Q946" t="s">
        <v>2051</v>
      </c>
      <c r="R946" t="s">
        <v>2052</v>
      </c>
      <c r="S946" t="s">
        <v>2053</v>
      </c>
      <c r="T946" t="s">
        <v>33</v>
      </c>
      <c r="U946" t="s">
        <v>79</v>
      </c>
      <c r="V946">
        <v>58</v>
      </c>
      <c r="W946">
        <v>82</v>
      </c>
      <c r="X946">
        <v>122</v>
      </c>
      <c r="Y946">
        <v>94</v>
      </c>
      <c r="Z946">
        <v>184</v>
      </c>
      <c r="AA946">
        <v>147</v>
      </c>
      <c r="AB946" t="s">
        <v>1236</v>
      </c>
      <c r="AC946" t="s">
        <v>215</v>
      </c>
      <c r="AD946" t="s">
        <v>210</v>
      </c>
      <c r="AE946" t="s">
        <v>183</v>
      </c>
      <c r="AF946">
        <v>0</v>
      </c>
    </row>
    <row r="947" spans="1:32">
      <c r="A947">
        <v>309</v>
      </c>
      <c r="B947">
        <v>1234</v>
      </c>
      <c r="C947" t="s">
        <v>2557</v>
      </c>
      <c r="D947" t="s">
        <v>1059</v>
      </c>
      <c r="E947" t="s">
        <v>2165</v>
      </c>
      <c r="F947" t="s">
        <v>5</v>
      </c>
      <c r="G947" t="s">
        <v>1136</v>
      </c>
      <c r="H947" t="s">
        <v>275</v>
      </c>
      <c r="I947" t="s">
        <v>236</v>
      </c>
      <c r="J947" t="s">
        <v>243</v>
      </c>
      <c r="K947" t="s">
        <v>2558</v>
      </c>
      <c r="L947" s="84">
        <v>42318</v>
      </c>
      <c r="M947" t="s">
        <v>381</v>
      </c>
      <c r="N947" t="s">
        <v>2559</v>
      </c>
      <c r="O947">
        <v>1</v>
      </c>
      <c r="P947" t="s">
        <v>2560</v>
      </c>
      <c r="Q947" t="s">
        <v>2561</v>
      </c>
      <c r="R947" t="s">
        <v>2562</v>
      </c>
      <c r="S947" t="s">
        <v>2563</v>
      </c>
      <c r="T947" t="s">
        <v>33</v>
      </c>
      <c r="U947" t="s">
        <v>78</v>
      </c>
      <c r="V947">
        <v>50</v>
      </c>
      <c r="W947">
        <v>82</v>
      </c>
      <c r="X947">
        <v>122</v>
      </c>
      <c r="Y947">
        <v>78</v>
      </c>
      <c r="Z947">
        <v>184</v>
      </c>
      <c r="AA947">
        <v>130</v>
      </c>
      <c r="AB947" t="s">
        <v>234</v>
      </c>
      <c r="AC947" t="s">
        <v>171</v>
      </c>
      <c r="AD947" t="s">
        <v>182</v>
      </c>
      <c r="AE947" t="s">
        <v>183</v>
      </c>
      <c r="AF947">
        <v>0</v>
      </c>
    </row>
    <row r="948" spans="1:32">
      <c r="A948">
        <v>309</v>
      </c>
      <c r="B948">
        <v>1234</v>
      </c>
      <c r="C948" t="s">
        <v>2557</v>
      </c>
      <c r="D948" t="s">
        <v>1059</v>
      </c>
      <c r="E948" t="s">
        <v>2165</v>
      </c>
      <c r="F948" t="s">
        <v>8</v>
      </c>
      <c r="G948" t="s">
        <v>1135</v>
      </c>
      <c r="H948" t="s">
        <v>223</v>
      </c>
      <c r="I948" t="s">
        <v>181</v>
      </c>
      <c r="J948" t="s">
        <v>173</v>
      </c>
      <c r="K948" t="s">
        <v>2558</v>
      </c>
      <c r="L948" s="84">
        <v>42318</v>
      </c>
      <c r="M948" t="s">
        <v>381</v>
      </c>
      <c r="N948" t="s">
        <v>2559</v>
      </c>
      <c r="O948">
        <v>1</v>
      </c>
      <c r="P948" t="s">
        <v>2560</v>
      </c>
      <c r="Q948" t="s">
        <v>2561</v>
      </c>
      <c r="R948" t="s">
        <v>2562</v>
      </c>
      <c r="S948" t="s">
        <v>2563</v>
      </c>
      <c r="T948" t="s">
        <v>31</v>
      </c>
      <c r="U948" t="s">
        <v>78</v>
      </c>
      <c r="V948">
        <v>50</v>
      </c>
      <c r="W948">
        <v>82</v>
      </c>
      <c r="X948">
        <v>122</v>
      </c>
      <c r="Y948">
        <v>78</v>
      </c>
      <c r="Z948">
        <v>184</v>
      </c>
      <c r="AA948">
        <v>130</v>
      </c>
      <c r="AB948" t="s">
        <v>234</v>
      </c>
      <c r="AC948" t="s">
        <v>171</v>
      </c>
      <c r="AD948" t="s">
        <v>182</v>
      </c>
      <c r="AE948" t="s">
        <v>183</v>
      </c>
      <c r="AF948">
        <v>0</v>
      </c>
    </row>
    <row r="949" spans="1:32">
      <c r="A949">
        <v>309</v>
      </c>
      <c r="B949">
        <v>1234</v>
      </c>
      <c r="C949" t="s">
        <v>2557</v>
      </c>
      <c r="D949" t="s">
        <v>1059</v>
      </c>
      <c r="E949" t="s">
        <v>2165</v>
      </c>
      <c r="F949" t="s">
        <v>7</v>
      </c>
      <c r="G949" t="s">
        <v>1134</v>
      </c>
      <c r="H949" t="s">
        <v>191</v>
      </c>
      <c r="I949" t="s">
        <v>239</v>
      </c>
      <c r="J949" t="s">
        <v>238</v>
      </c>
      <c r="K949" t="s">
        <v>2558</v>
      </c>
      <c r="L949" s="84">
        <v>42318</v>
      </c>
      <c r="M949" t="s">
        <v>381</v>
      </c>
      <c r="N949" t="s">
        <v>2559</v>
      </c>
      <c r="O949">
        <v>1</v>
      </c>
      <c r="P949" t="s">
        <v>2560</v>
      </c>
      <c r="Q949" t="s">
        <v>2561</v>
      </c>
      <c r="R949" t="s">
        <v>2562</v>
      </c>
      <c r="S949" t="s">
        <v>2563</v>
      </c>
      <c r="T949" t="s">
        <v>32</v>
      </c>
      <c r="U949" t="s">
        <v>78</v>
      </c>
      <c r="V949">
        <v>50</v>
      </c>
      <c r="W949">
        <v>82</v>
      </c>
      <c r="X949">
        <v>122</v>
      </c>
      <c r="Y949">
        <v>78</v>
      </c>
      <c r="Z949">
        <v>184</v>
      </c>
      <c r="AA949">
        <v>130</v>
      </c>
      <c r="AB949" t="s">
        <v>234</v>
      </c>
      <c r="AC949" t="s">
        <v>171</v>
      </c>
      <c r="AD949" t="s">
        <v>182</v>
      </c>
      <c r="AE949" t="s">
        <v>183</v>
      </c>
      <c r="AF949">
        <v>0</v>
      </c>
    </row>
    <row r="950" spans="1:32">
      <c r="A950">
        <v>309</v>
      </c>
      <c r="B950">
        <v>1234</v>
      </c>
      <c r="C950" t="s">
        <v>2557</v>
      </c>
      <c r="D950" t="s">
        <v>1059</v>
      </c>
      <c r="E950" t="s">
        <v>2165</v>
      </c>
      <c r="F950" t="s">
        <v>6</v>
      </c>
      <c r="G950" t="s">
        <v>1137</v>
      </c>
      <c r="H950" t="s">
        <v>181</v>
      </c>
      <c r="I950" t="s">
        <v>188</v>
      </c>
      <c r="J950" t="s">
        <v>187</v>
      </c>
      <c r="K950" t="s">
        <v>2558</v>
      </c>
      <c r="L950" s="84">
        <v>42318</v>
      </c>
      <c r="M950" t="s">
        <v>381</v>
      </c>
      <c r="N950" t="s">
        <v>2559</v>
      </c>
      <c r="O950">
        <v>1</v>
      </c>
      <c r="P950" t="s">
        <v>2560</v>
      </c>
      <c r="Q950" t="s">
        <v>2561</v>
      </c>
      <c r="R950" t="s">
        <v>2562</v>
      </c>
      <c r="S950" t="s">
        <v>2563</v>
      </c>
      <c r="T950" t="s">
        <v>34</v>
      </c>
      <c r="U950" t="s">
        <v>78</v>
      </c>
      <c r="V950">
        <v>50</v>
      </c>
      <c r="W950">
        <v>82</v>
      </c>
      <c r="X950">
        <v>122</v>
      </c>
      <c r="Y950">
        <v>78</v>
      </c>
      <c r="Z950">
        <v>184</v>
      </c>
      <c r="AA950">
        <v>130</v>
      </c>
      <c r="AB950" t="s">
        <v>234</v>
      </c>
      <c r="AC950" t="s">
        <v>171</v>
      </c>
      <c r="AD950" t="s">
        <v>182</v>
      </c>
      <c r="AE950" t="s">
        <v>183</v>
      </c>
      <c r="AF950">
        <v>0</v>
      </c>
    </row>
    <row r="951" spans="1:32">
      <c r="A951">
        <v>309</v>
      </c>
      <c r="B951">
        <v>1234</v>
      </c>
      <c r="C951" t="s">
        <v>2557</v>
      </c>
      <c r="D951" t="s">
        <v>1059</v>
      </c>
      <c r="E951" t="s">
        <v>2165</v>
      </c>
      <c r="F951" t="s">
        <v>197</v>
      </c>
      <c r="G951" t="s">
        <v>1140</v>
      </c>
      <c r="H951" t="s">
        <v>212</v>
      </c>
      <c r="I951" t="s">
        <v>192</v>
      </c>
      <c r="J951" t="s">
        <v>192</v>
      </c>
      <c r="K951" t="s">
        <v>2558</v>
      </c>
      <c r="L951" s="84">
        <v>42318</v>
      </c>
      <c r="M951" t="s">
        <v>381</v>
      </c>
      <c r="N951" t="s">
        <v>2559</v>
      </c>
      <c r="O951">
        <v>1</v>
      </c>
      <c r="P951" t="s">
        <v>2560</v>
      </c>
      <c r="Q951" t="s">
        <v>2561</v>
      </c>
      <c r="R951" t="s">
        <v>2562</v>
      </c>
      <c r="S951" t="s">
        <v>2563</v>
      </c>
      <c r="T951" t="s">
        <v>38</v>
      </c>
      <c r="U951" t="s">
        <v>78</v>
      </c>
      <c r="V951">
        <v>50</v>
      </c>
      <c r="W951">
        <v>82</v>
      </c>
      <c r="X951">
        <v>122</v>
      </c>
      <c r="Y951">
        <v>78</v>
      </c>
      <c r="Z951">
        <v>184</v>
      </c>
      <c r="AA951">
        <v>130</v>
      </c>
      <c r="AB951" t="s">
        <v>234</v>
      </c>
      <c r="AC951" t="s">
        <v>171</v>
      </c>
      <c r="AD951" t="s">
        <v>182</v>
      </c>
      <c r="AE951" t="s">
        <v>183</v>
      </c>
      <c r="AF951">
        <v>0</v>
      </c>
    </row>
    <row r="952" spans="1:32">
      <c r="A952">
        <v>309</v>
      </c>
      <c r="B952">
        <v>1234</v>
      </c>
      <c r="C952" t="s">
        <v>2557</v>
      </c>
      <c r="D952" t="s">
        <v>1059</v>
      </c>
      <c r="E952" t="s">
        <v>2165</v>
      </c>
      <c r="F952" t="s">
        <v>193</v>
      </c>
      <c r="G952" t="s">
        <v>1138</v>
      </c>
      <c r="H952" t="s">
        <v>188</v>
      </c>
      <c r="I952" t="s">
        <v>212</v>
      </c>
      <c r="J952" t="s">
        <v>192</v>
      </c>
      <c r="K952" t="s">
        <v>2558</v>
      </c>
      <c r="L952" s="84">
        <v>42318</v>
      </c>
      <c r="M952" t="s">
        <v>381</v>
      </c>
      <c r="N952" t="s">
        <v>2559</v>
      </c>
      <c r="O952">
        <v>1</v>
      </c>
      <c r="P952" t="s">
        <v>2560</v>
      </c>
      <c r="Q952" t="s">
        <v>2561</v>
      </c>
      <c r="R952" t="s">
        <v>2562</v>
      </c>
      <c r="S952" t="s">
        <v>2563</v>
      </c>
      <c r="T952" t="s">
        <v>36</v>
      </c>
      <c r="U952" t="s">
        <v>78</v>
      </c>
      <c r="V952">
        <v>50</v>
      </c>
      <c r="W952">
        <v>82</v>
      </c>
      <c r="X952">
        <v>122</v>
      </c>
      <c r="Y952">
        <v>78</v>
      </c>
      <c r="Z952">
        <v>184</v>
      </c>
      <c r="AA952">
        <v>130</v>
      </c>
      <c r="AB952" t="s">
        <v>234</v>
      </c>
      <c r="AC952" t="s">
        <v>171</v>
      </c>
      <c r="AD952" t="s">
        <v>182</v>
      </c>
      <c r="AE952" t="s">
        <v>183</v>
      </c>
      <c r="AF952">
        <v>0</v>
      </c>
    </row>
    <row r="953" spans="1:32">
      <c r="A953">
        <v>309</v>
      </c>
      <c r="B953">
        <v>1234</v>
      </c>
      <c r="C953" t="s">
        <v>2557</v>
      </c>
      <c r="D953" t="s">
        <v>1059</v>
      </c>
      <c r="E953" t="s">
        <v>2165</v>
      </c>
      <c r="F953" t="s">
        <v>37</v>
      </c>
      <c r="G953" t="s">
        <v>1139</v>
      </c>
      <c r="H953" t="s">
        <v>1701</v>
      </c>
      <c r="I953" t="s">
        <v>212</v>
      </c>
      <c r="J953" t="s">
        <v>212</v>
      </c>
      <c r="K953" t="s">
        <v>2558</v>
      </c>
      <c r="L953" s="84">
        <v>42318</v>
      </c>
      <c r="M953" t="s">
        <v>381</v>
      </c>
      <c r="N953" t="s">
        <v>2559</v>
      </c>
      <c r="O953">
        <v>1</v>
      </c>
      <c r="P953" t="s">
        <v>2560</v>
      </c>
      <c r="Q953" t="s">
        <v>2561</v>
      </c>
      <c r="R953" t="s">
        <v>2562</v>
      </c>
      <c r="S953" t="s">
        <v>2563</v>
      </c>
      <c r="T953" t="s">
        <v>37</v>
      </c>
      <c r="U953" t="s">
        <v>78</v>
      </c>
      <c r="V953">
        <v>50</v>
      </c>
      <c r="W953">
        <v>82</v>
      </c>
      <c r="X953">
        <v>122</v>
      </c>
      <c r="Y953">
        <v>78</v>
      </c>
      <c r="Z953">
        <v>184</v>
      </c>
      <c r="AA953">
        <v>130</v>
      </c>
      <c r="AB953" t="s">
        <v>234</v>
      </c>
      <c r="AC953" t="s">
        <v>171</v>
      </c>
      <c r="AD953" t="s">
        <v>182</v>
      </c>
      <c r="AE953" t="s">
        <v>183</v>
      </c>
      <c r="AF953">
        <v>0</v>
      </c>
    </row>
    <row r="954" spans="1:32">
      <c r="A954">
        <v>310</v>
      </c>
      <c r="B954">
        <v>825</v>
      </c>
      <c r="C954" t="s">
        <v>310</v>
      </c>
      <c r="D954" t="s">
        <v>1059</v>
      </c>
      <c r="E954" t="s">
        <v>2165</v>
      </c>
      <c r="F954" t="s">
        <v>37</v>
      </c>
      <c r="G954" t="s">
        <v>1142</v>
      </c>
      <c r="H954" t="s">
        <v>1701</v>
      </c>
      <c r="I954" t="s">
        <v>212</v>
      </c>
      <c r="J954" t="s">
        <v>192</v>
      </c>
      <c r="K954" t="s">
        <v>312</v>
      </c>
      <c r="L954" s="84">
        <v>42522</v>
      </c>
      <c r="M954" t="s">
        <v>203</v>
      </c>
      <c r="N954" t="s">
        <v>313</v>
      </c>
      <c r="O954">
        <v>3</v>
      </c>
      <c r="P954" t="s">
        <v>314</v>
      </c>
      <c r="Q954" t="s">
        <v>315</v>
      </c>
      <c r="R954" t="s">
        <v>316</v>
      </c>
      <c r="S954" t="s">
        <v>317</v>
      </c>
      <c r="T954" t="s">
        <v>37</v>
      </c>
      <c r="U954" t="s">
        <v>80</v>
      </c>
      <c r="V954">
        <v>59</v>
      </c>
      <c r="W954">
        <v>82</v>
      </c>
      <c r="X954">
        <v>122</v>
      </c>
      <c r="Y954">
        <v>93</v>
      </c>
      <c r="Z954">
        <v>184</v>
      </c>
      <c r="AA954">
        <v>147</v>
      </c>
      <c r="AB954" t="s">
        <v>670</v>
      </c>
      <c r="AC954" t="s">
        <v>201</v>
      </c>
      <c r="AD954" t="s">
        <v>210</v>
      </c>
      <c r="AE954" t="s">
        <v>183</v>
      </c>
      <c r="AF954">
        <v>0</v>
      </c>
    </row>
    <row r="955" spans="1:32">
      <c r="A955">
        <v>310</v>
      </c>
      <c r="B955">
        <v>825</v>
      </c>
      <c r="C955" t="s">
        <v>310</v>
      </c>
      <c r="D955" t="s">
        <v>1059</v>
      </c>
      <c r="E955" t="s">
        <v>2165</v>
      </c>
      <c r="F955" t="s">
        <v>193</v>
      </c>
      <c r="G955" t="s">
        <v>1143</v>
      </c>
      <c r="H955" t="s">
        <v>188</v>
      </c>
      <c r="I955" t="s">
        <v>212</v>
      </c>
      <c r="J955" t="s">
        <v>192</v>
      </c>
      <c r="K955" t="s">
        <v>312</v>
      </c>
      <c r="L955" s="84">
        <v>42522</v>
      </c>
      <c r="M955" t="s">
        <v>203</v>
      </c>
      <c r="N955" t="s">
        <v>313</v>
      </c>
      <c r="O955">
        <v>3</v>
      </c>
      <c r="P955" t="s">
        <v>314</v>
      </c>
      <c r="Q955" t="s">
        <v>315</v>
      </c>
      <c r="R955" t="s">
        <v>316</v>
      </c>
      <c r="S955" t="s">
        <v>317</v>
      </c>
      <c r="T955" t="s">
        <v>36</v>
      </c>
      <c r="U955" t="s">
        <v>80</v>
      </c>
      <c r="V955">
        <v>59</v>
      </c>
      <c r="W955">
        <v>82</v>
      </c>
      <c r="X955">
        <v>122</v>
      </c>
      <c r="Y955">
        <v>93</v>
      </c>
      <c r="Z955">
        <v>184</v>
      </c>
      <c r="AA955">
        <v>147</v>
      </c>
      <c r="AB955" t="s">
        <v>670</v>
      </c>
      <c r="AC955" t="s">
        <v>201</v>
      </c>
      <c r="AD955" t="s">
        <v>210</v>
      </c>
      <c r="AE955" t="s">
        <v>183</v>
      </c>
      <c r="AF955">
        <v>0</v>
      </c>
    </row>
    <row r="956" spans="1:32">
      <c r="A956">
        <v>310</v>
      </c>
      <c r="B956">
        <v>825</v>
      </c>
      <c r="C956" t="s">
        <v>310</v>
      </c>
      <c r="D956" t="s">
        <v>1059</v>
      </c>
      <c r="E956" t="s">
        <v>2165</v>
      </c>
      <c r="F956" t="s">
        <v>197</v>
      </c>
      <c r="G956" t="s">
        <v>1141</v>
      </c>
      <c r="H956" t="s">
        <v>192</v>
      </c>
      <c r="I956" t="s">
        <v>192</v>
      </c>
      <c r="J956" t="s">
        <v>192</v>
      </c>
      <c r="K956" t="s">
        <v>312</v>
      </c>
      <c r="L956" s="84">
        <v>42522</v>
      </c>
      <c r="M956" t="s">
        <v>203</v>
      </c>
      <c r="N956" t="s">
        <v>313</v>
      </c>
      <c r="O956">
        <v>3</v>
      </c>
      <c r="P956" t="s">
        <v>314</v>
      </c>
      <c r="Q956" t="s">
        <v>315</v>
      </c>
      <c r="R956" t="s">
        <v>316</v>
      </c>
      <c r="S956" t="s">
        <v>317</v>
      </c>
      <c r="T956" t="s">
        <v>38</v>
      </c>
      <c r="U956" t="s">
        <v>80</v>
      </c>
      <c r="V956">
        <v>59</v>
      </c>
      <c r="W956">
        <v>82</v>
      </c>
      <c r="X956">
        <v>122</v>
      </c>
      <c r="Y956">
        <v>93</v>
      </c>
      <c r="Z956">
        <v>184</v>
      </c>
      <c r="AA956">
        <v>147</v>
      </c>
      <c r="AB956" t="s">
        <v>670</v>
      </c>
      <c r="AC956" t="s">
        <v>201</v>
      </c>
      <c r="AD956" t="s">
        <v>210</v>
      </c>
      <c r="AE956" t="s">
        <v>183</v>
      </c>
      <c r="AF956">
        <v>0</v>
      </c>
    </row>
    <row r="957" spans="1:32">
      <c r="A957">
        <v>310</v>
      </c>
      <c r="B957">
        <v>825</v>
      </c>
      <c r="C957" t="s">
        <v>310</v>
      </c>
      <c r="D957" t="s">
        <v>1059</v>
      </c>
      <c r="E957" t="s">
        <v>2165</v>
      </c>
      <c r="F957" t="s">
        <v>6</v>
      </c>
      <c r="G957" t="s">
        <v>1144</v>
      </c>
      <c r="H957" t="s">
        <v>226</v>
      </c>
      <c r="I957" t="s">
        <v>221</v>
      </c>
      <c r="J957" t="s">
        <v>173</v>
      </c>
      <c r="K957" t="s">
        <v>312</v>
      </c>
      <c r="L957" s="84">
        <v>42522</v>
      </c>
      <c r="M957" t="s">
        <v>203</v>
      </c>
      <c r="N957" t="s">
        <v>313</v>
      </c>
      <c r="O957">
        <v>3</v>
      </c>
      <c r="P957" t="s">
        <v>314</v>
      </c>
      <c r="Q957" t="s">
        <v>315</v>
      </c>
      <c r="R957" t="s">
        <v>316</v>
      </c>
      <c r="S957" t="s">
        <v>317</v>
      </c>
      <c r="T957" t="s">
        <v>34</v>
      </c>
      <c r="U957" t="s">
        <v>80</v>
      </c>
      <c r="V957">
        <v>59</v>
      </c>
      <c r="W957">
        <v>82</v>
      </c>
      <c r="X957">
        <v>122</v>
      </c>
      <c r="Y957">
        <v>93</v>
      </c>
      <c r="Z957">
        <v>184</v>
      </c>
      <c r="AA957">
        <v>147</v>
      </c>
      <c r="AB957" t="s">
        <v>670</v>
      </c>
      <c r="AC957" t="s">
        <v>201</v>
      </c>
      <c r="AD957" t="s">
        <v>210</v>
      </c>
      <c r="AE957" t="s">
        <v>183</v>
      </c>
      <c r="AF957">
        <v>0</v>
      </c>
    </row>
    <row r="958" spans="1:32">
      <c r="A958">
        <v>310</v>
      </c>
      <c r="B958">
        <v>825</v>
      </c>
      <c r="C958" t="s">
        <v>310</v>
      </c>
      <c r="D958" t="s">
        <v>1059</v>
      </c>
      <c r="E958" t="s">
        <v>2165</v>
      </c>
      <c r="F958" t="s">
        <v>7</v>
      </c>
      <c r="G958" t="s">
        <v>1147</v>
      </c>
      <c r="H958" t="s">
        <v>221</v>
      </c>
      <c r="I958" t="s">
        <v>189</v>
      </c>
      <c r="J958" t="s">
        <v>216</v>
      </c>
      <c r="K958" t="s">
        <v>312</v>
      </c>
      <c r="L958" s="84">
        <v>42522</v>
      </c>
      <c r="M958" t="s">
        <v>203</v>
      </c>
      <c r="N958" t="s">
        <v>313</v>
      </c>
      <c r="O958">
        <v>3</v>
      </c>
      <c r="P958" t="s">
        <v>314</v>
      </c>
      <c r="Q958" t="s">
        <v>315</v>
      </c>
      <c r="R958" t="s">
        <v>316</v>
      </c>
      <c r="S958" t="s">
        <v>317</v>
      </c>
      <c r="T958" t="s">
        <v>32</v>
      </c>
      <c r="U958" t="s">
        <v>80</v>
      </c>
      <c r="V958">
        <v>59</v>
      </c>
      <c r="W958">
        <v>82</v>
      </c>
      <c r="X958">
        <v>122</v>
      </c>
      <c r="Y958">
        <v>93</v>
      </c>
      <c r="Z958">
        <v>184</v>
      </c>
      <c r="AA958">
        <v>147</v>
      </c>
      <c r="AB958" t="s">
        <v>670</v>
      </c>
      <c r="AC958" t="s">
        <v>201</v>
      </c>
      <c r="AD958" t="s">
        <v>210</v>
      </c>
      <c r="AE958" t="s">
        <v>183</v>
      </c>
      <c r="AF958">
        <v>0</v>
      </c>
    </row>
    <row r="959" spans="1:32">
      <c r="A959">
        <v>310</v>
      </c>
      <c r="B959">
        <v>825</v>
      </c>
      <c r="C959" t="s">
        <v>310</v>
      </c>
      <c r="D959" t="s">
        <v>1059</v>
      </c>
      <c r="E959" t="s">
        <v>2165</v>
      </c>
      <c r="F959" t="s">
        <v>8</v>
      </c>
      <c r="G959" t="s">
        <v>1146</v>
      </c>
      <c r="H959" t="s">
        <v>237</v>
      </c>
      <c r="I959" t="s">
        <v>191</v>
      </c>
      <c r="J959" t="s">
        <v>188</v>
      </c>
      <c r="K959" t="s">
        <v>312</v>
      </c>
      <c r="L959" s="84">
        <v>42522</v>
      </c>
      <c r="M959" t="s">
        <v>203</v>
      </c>
      <c r="N959" t="s">
        <v>313</v>
      </c>
      <c r="O959">
        <v>3</v>
      </c>
      <c r="P959" t="s">
        <v>314</v>
      </c>
      <c r="Q959" t="s">
        <v>315</v>
      </c>
      <c r="R959" t="s">
        <v>316</v>
      </c>
      <c r="S959" t="s">
        <v>317</v>
      </c>
      <c r="T959" t="s">
        <v>31</v>
      </c>
      <c r="U959" t="s">
        <v>80</v>
      </c>
      <c r="V959">
        <v>59</v>
      </c>
      <c r="W959">
        <v>82</v>
      </c>
      <c r="X959">
        <v>122</v>
      </c>
      <c r="Y959">
        <v>93</v>
      </c>
      <c r="Z959">
        <v>184</v>
      </c>
      <c r="AA959">
        <v>147</v>
      </c>
      <c r="AB959" t="s">
        <v>670</v>
      </c>
      <c r="AC959" t="s">
        <v>201</v>
      </c>
      <c r="AD959" t="s">
        <v>210</v>
      </c>
      <c r="AE959" t="s">
        <v>183</v>
      </c>
      <c r="AF959">
        <v>0</v>
      </c>
    </row>
    <row r="960" spans="1:32">
      <c r="A960">
        <v>310</v>
      </c>
      <c r="B960">
        <v>825</v>
      </c>
      <c r="C960" t="s">
        <v>310</v>
      </c>
      <c r="D960" t="s">
        <v>1059</v>
      </c>
      <c r="E960" t="s">
        <v>2165</v>
      </c>
      <c r="F960" t="s">
        <v>5</v>
      </c>
      <c r="G960" t="s">
        <v>1145</v>
      </c>
      <c r="H960" t="s">
        <v>220</v>
      </c>
      <c r="I960" t="s">
        <v>256</v>
      </c>
      <c r="J960" t="s">
        <v>226</v>
      </c>
      <c r="K960" t="s">
        <v>312</v>
      </c>
      <c r="L960" s="84">
        <v>42522</v>
      </c>
      <c r="M960" t="s">
        <v>203</v>
      </c>
      <c r="N960" t="s">
        <v>313</v>
      </c>
      <c r="O960">
        <v>3</v>
      </c>
      <c r="P960" t="s">
        <v>314</v>
      </c>
      <c r="Q960" t="s">
        <v>315</v>
      </c>
      <c r="R960" t="s">
        <v>316</v>
      </c>
      <c r="S960" t="s">
        <v>317</v>
      </c>
      <c r="T960" t="s">
        <v>33</v>
      </c>
      <c r="U960" t="s">
        <v>80</v>
      </c>
      <c r="V960">
        <v>59</v>
      </c>
      <c r="W960">
        <v>82</v>
      </c>
      <c r="X960">
        <v>122</v>
      </c>
      <c r="Y960">
        <v>93</v>
      </c>
      <c r="Z960">
        <v>184</v>
      </c>
      <c r="AA960">
        <v>147</v>
      </c>
      <c r="AB960" t="s">
        <v>670</v>
      </c>
      <c r="AC960" t="s">
        <v>201</v>
      </c>
      <c r="AD960" t="s">
        <v>210</v>
      </c>
      <c r="AE960" t="s">
        <v>183</v>
      </c>
      <c r="AF960">
        <v>0</v>
      </c>
    </row>
    <row r="961" spans="1:32">
      <c r="A961">
        <v>311</v>
      </c>
      <c r="B961">
        <v>793</v>
      </c>
      <c r="C961" t="s">
        <v>335</v>
      </c>
      <c r="D961" t="s">
        <v>1059</v>
      </c>
      <c r="E961" t="s">
        <v>2165</v>
      </c>
      <c r="F961" t="s">
        <v>5</v>
      </c>
      <c r="G961" t="s">
        <v>1150</v>
      </c>
      <c r="H961" t="s">
        <v>226</v>
      </c>
      <c r="I961" t="s">
        <v>237</v>
      </c>
      <c r="J961" t="s">
        <v>376</v>
      </c>
      <c r="K961" t="s">
        <v>337</v>
      </c>
      <c r="L961" s="84">
        <v>42794</v>
      </c>
      <c r="M961" t="s">
        <v>325</v>
      </c>
      <c r="N961" t="s">
        <v>338</v>
      </c>
      <c r="O961">
        <v>2</v>
      </c>
      <c r="P961" t="s">
        <v>339</v>
      </c>
      <c r="Q961" t="s">
        <v>340</v>
      </c>
      <c r="R961" t="s">
        <v>341</v>
      </c>
      <c r="S961" t="s">
        <v>342</v>
      </c>
      <c r="T961" t="s">
        <v>33</v>
      </c>
      <c r="U961" t="s">
        <v>79</v>
      </c>
      <c r="V961">
        <v>56</v>
      </c>
      <c r="W961">
        <v>82</v>
      </c>
      <c r="X961">
        <v>122</v>
      </c>
      <c r="Y961">
        <v>83</v>
      </c>
      <c r="Z961">
        <v>184</v>
      </c>
      <c r="AA961">
        <v>126</v>
      </c>
      <c r="AB961" t="s">
        <v>656</v>
      </c>
      <c r="AC961" t="s">
        <v>192</v>
      </c>
      <c r="AD961" t="s">
        <v>609</v>
      </c>
      <c r="AE961" t="s">
        <v>183</v>
      </c>
      <c r="AF961">
        <v>0</v>
      </c>
    </row>
    <row r="962" spans="1:32">
      <c r="A962">
        <v>311</v>
      </c>
      <c r="B962">
        <v>793</v>
      </c>
      <c r="C962" t="s">
        <v>335</v>
      </c>
      <c r="D962" t="s">
        <v>1059</v>
      </c>
      <c r="E962" t="s">
        <v>2165</v>
      </c>
      <c r="F962" t="s">
        <v>8</v>
      </c>
      <c r="G962" t="s">
        <v>1149</v>
      </c>
      <c r="H962" t="s">
        <v>185</v>
      </c>
      <c r="I962" t="s">
        <v>191</v>
      </c>
      <c r="J962" t="s">
        <v>188</v>
      </c>
      <c r="K962" t="s">
        <v>337</v>
      </c>
      <c r="L962" s="84">
        <v>42794</v>
      </c>
      <c r="M962" t="s">
        <v>325</v>
      </c>
      <c r="N962" t="s">
        <v>338</v>
      </c>
      <c r="O962">
        <v>2</v>
      </c>
      <c r="P962" t="s">
        <v>339</v>
      </c>
      <c r="Q962" t="s">
        <v>340</v>
      </c>
      <c r="R962" t="s">
        <v>341</v>
      </c>
      <c r="S962" t="s">
        <v>342</v>
      </c>
      <c r="T962" t="s">
        <v>31</v>
      </c>
      <c r="U962" t="s">
        <v>79</v>
      </c>
      <c r="V962">
        <v>56</v>
      </c>
      <c r="W962">
        <v>82</v>
      </c>
      <c r="X962">
        <v>122</v>
      </c>
      <c r="Y962">
        <v>83</v>
      </c>
      <c r="Z962">
        <v>184</v>
      </c>
      <c r="AA962">
        <v>126</v>
      </c>
      <c r="AB962" t="s">
        <v>656</v>
      </c>
      <c r="AC962" t="s">
        <v>192</v>
      </c>
      <c r="AD962" t="s">
        <v>609</v>
      </c>
      <c r="AE962" t="s">
        <v>183</v>
      </c>
      <c r="AF962">
        <v>0</v>
      </c>
    </row>
    <row r="963" spans="1:32">
      <c r="A963">
        <v>311</v>
      </c>
      <c r="B963">
        <v>793</v>
      </c>
      <c r="C963" t="s">
        <v>335</v>
      </c>
      <c r="D963" t="s">
        <v>1059</v>
      </c>
      <c r="E963" t="s">
        <v>2165</v>
      </c>
      <c r="F963" t="s">
        <v>7</v>
      </c>
      <c r="G963" t="s">
        <v>1148</v>
      </c>
      <c r="H963" t="s">
        <v>212</v>
      </c>
      <c r="I963" t="s">
        <v>237</v>
      </c>
      <c r="J963" t="s">
        <v>237</v>
      </c>
      <c r="K963" t="s">
        <v>337</v>
      </c>
      <c r="L963" s="84">
        <v>42794</v>
      </c>
      <c r="M963" t="s">
        <v>325</v>
      </c>
      <c r="N963" t="s">
        <v>338</v>
      </c>
      <c r="O963">
        <v>2</v>
      </c>
      <c r="P963" t="s">
        <v>339</v>
      </c>
      <c r="Q963" t="s">
        <v>340</v>
      </c>
      <c r="R963" t="s">
        <v>341</v>
      </c>
      <c r="S963" t="s">
        <v>342</v>
      </c>
      <c r="T963" t="s">
        <v>32</v>
      </c>
      <c r="U963" t="s">
        <v>79</v>
      </c>
      <c r="V963">
        <v>56</v>
      </c>
      <c r="W963">
        <v>82</v>
      </c>
      <c r="X963">
        <v>122</v>
      </c>
      <c r="Y963">
        <v>83</v>
      </c>
      <c r="Z963">
        <v>184</v>
      </c>
      <c r="AA963">
        <v>126</v>
      </c>
      <c r="AB963" t="s">
        <v>656</v>
      </c>
      <c r="AC963" t="s">
        <v>192</v>
      </c>
      <c r="AD963" t="s">
        <v>609</v>
      </c>
      <c r="AE963" t="s">
        <v>183</v>
      </c>
      <c r="AF963">
        <v>0</v>
      </c>
    </row>
    <row r="964" spans="1:32">
      <c r="A964">
        <v>311</v>
      </c>
      <c r="B964">
        <v>793</v>
      </c>
      <c r="C964" t="s">
        <v>335</v>
      </c>
      <c r="D964" t="s">
        <v>1059</v>
      </c>
      <c r="E964" t="s">
        <v>2165</v>
      </c>
      <c r="F964" t="s">
        <v>6</v>
      </c>
      <c r="G964" t="s">
        <v>1151</v>
      </c>
      <c r="H964" t="s">
        <v>185</v>
      </c>
      <c r="I964" t="s">
        <v>191</v>
      </c>
      <c r="J964" t="s">
        <v>188</v>
      </c>
      <c r="K964" t="s">
        <v>337</v>
      </c>
      <c r="L964" s="84">
        <v>42794</v>
      </c>
      <c r="M964" t="s">
        <v>325</v>
      </c>
      <c r="N964" t="s">
        <v>338</v>
      </c>
      <c r="O964">
        <v>2</v>
      </c>
      <c r="P964" t="s">
        <v>339</v>
      </c>
      <c r="Q964" t="s">
        <v>340</v>
      </c>
      <c r="R964" t="s">
        <v>341</v>
      </c>
      <c r="S964" t="s">
        <v>342</v>
      </c>
      <c r="T964" t="s">
        <v>34</v>
      </c>
      <c r="U964" t="s">
        <v>79</v>
      </c>
      <c r="V964">
        <v>56</v>
      </c>
      <c r="W964">
        <v>82</v>
      </c>
      <c r="X964">
        <v>122</v>
      </c>
      <c r="Y964">
        <v>83</v>
      </c>
      <c r="Z964">
        <v>184</v>
      </c>
      <c r="AA964">
        <v>126</v>
      </c>
      <c r="AB964" t="s">
        <v>656</v>
      </c>
      <c r="AC964" t="s">
        <v>192</v>
      </c>
      <c r="AD964" t="s">
        <v>609</v>
      </c>
      <c r="AE964" t="s">
        <v>183</v>
      </c>
      <c r="AF964">
        <v>0</v>
      </c>
    </row>
    <row r="965" spans="1:32">
      <c r="A965">
        <v>311</v>
      </c>
      <c r="B965">
        <v>793</v>
      </c>
      <c r="C965" t="s">
        <v>335</v>
      </c>
      <c r="D965" t="s">
        <v>1059</v>
      </c>
      <c r="E965" t="s">
        <v>2165</v>
      </c>
      <c r="F965" t="s">
        <v>197</v>
      </c>
      <c r="G965" t="s">
        <v>1154</v>
      </c>
      <c r="H965" t="s">
        <v>212</v>
      </c>
      <c r="I965" t="s">
        <v>192</v>
      </c>
      <c r="J965" t="s">
        <v>192</v>
      </c>
      <c r="K965" t="s">
        <v>337</v>
      </c>
      <c r="L965" s="84">
        <v>42794</v>
      </c>
      <c r="M965" t="s">
        <v>325</v>
      </c>
      <c r="N965" t="s">
        <v>338</v>
      </c>
      <c r="O965">
        <v>2</v>
      </c>
      <c r="P965" t="s">
        <v>339</v>
      </c>
      <c r="Q965" t="s">
        <v>340</v>
      </c>
      <c r="R965" t="s">
        <v>341</v>
      </c>
      <c r="S965" t="s">
        <v>342</v>
      </c>
      <c r="T965" t="s">
        <v>38</v>
      </c>
      <c r="U965" t="s">
        <v>79</v>
      </c>
      <c r="V965">
        <v>56</v>
      </c>
      <c r="W965">
        <v>82</v>
      </c>
      <c r="X965">
        <v>122</v>
      </c>
      <c r="Y965">
        <v>83</v>
      </c>
      <c r="Z965">
        <v>184</v>
      </c>
      <c r="AA965">
        <v>126</v>
      </c>
      <c r="AB965" t="s">
        <v>656</v>
      </c>
      <c r="AC965" t="s">
        <v>192</v>
      </c>
      <c r="AD965" t="s">
        <v>609</v>
      </c>
      <c r="AE965" t="s">
        <v>183</v>
      </c>
      <c r="AF965">
        <v>0</v>
      </c>
    </row>
    <row r="966" spans="1:32">
      <c r="A966">
        <v>311</v>
      </c>
      <c r="B966">
        <v>793</v>
      </c>
      <c r="C966" t="s">
        <v>335</v>
      </c>
      <c r="D966" t="s">
        <v>1059</v>
      </c>
      <c r="E966" t="s">
        <v>2165</v>
      </c>
      <c r="F966" t="s">
        <v>193</v>
      </c>
      <c r="G966" t="s">
        <v>1152</v>
      </c>
      <c r="H966" t="s">
        <v>192</v>
      </c>
      <c r="I966" t="s">
        <v>212</v>
      </c>
      <c r="J966" t="s">
        <v>212</v>
      </c>
      <c r="K966" t="s">
        <v>337</v>
      </c>
      <c r="L966" s="84">
        <v>42794</v>
      </c>
      <c r="M966" t="s">
        <v>325</v>
      </c>
      <c r="N966" t="s">
        <v>338</v>
      </c>
      <c r="O966">
        <v>2</v>
      </c>
      <c r="P966" t="s">
        <v>339</v>
      </c>
      <c r="Q966" t="s">
        <v>340</v>
      </c>
      <c r="R966" t="s">
        <v>341</v>
      </c>
      <c r="S966" t="s">
        <v>342</v>
      </c>
      <c r="T966" t="s">
        <v>36</v>
      </c>
      <c r="U966" t="s">
        <v>79</v>
      </c>
      <c r="V966">
        <v>56</v>
      </c>
      <c r="W966">
        <v>82</v>
      </c>
      <c r="X966">
        <v>122</v>
      </c>
      <c r="Y966">
        <v>83</v>
      </c>
      <c r="Z966">
        <v>184</v>
      </c>
      <c r="AA966">
        <v>126</v>
      </c>
      <c r="AB966" t="s">
        <v>656</v>
      </c>
      <c r="AC966" t="s">
        <v>192</v>
      </c>
      <c r="AD966" t="s">
        <v>609</v>
      </c>
      <c r="AE966" t="s">
        <v>183</v>
      </c>
      <c r="AF966">
        <v>0</v>
      </c>
    </row>
    <row r="967" spans="1:32">
      <c r="A967">
        <v>311</v>
      </c>
      <c r="B967">
        <v>793</v>
      </c>
      <c r="C967" t="s">
        <v>335</v>
      </c>
      <c r="D967" t="s">
        <v>1059</v>
      </c>
      <c r="E967" t="s">
        <v>2165</v>
      </c>
      <c r="F967" t="s">
        <v>37</v>
      </c>
      <c r="G967" t="s">
        <v>1153</v>
      </c>
      <c r="H967" t="s">
        <v>1701</v>
      </c>
      <c r="I967" t="s">
        <v>212</v>
      </c>
      <c r="J967" t="s">
        <v>212</v>
      </c>
      <c r="K967" t="s">
        <v>337</v>
      </c>
      <c r="L967" s="84">
        <v>42794</v>
      </c>
      <c r="M967" t="s">
        <v>325</v>
      </c>
      <c r="N967" t="s">
        <v>338</v>
      </c>
      <c r="O967">
        <v>2</v>
      </c>
      <c r="P967" t="s">
        <v>339</v>
      </c>
      <c r="Q967" t="s">
        <v>340</v>
      </c>
      <c r="R967" t="s">
        <v>341</v>
      </c>
      <c r="S967" t="s">
        <v>342</v>
      </c>
      <c r="T967" t="s">
        <v>37</v>
      </c>
      <c r="U967" t="s">
        <v>79</v>
      </c>
      <c r="V967">
        <v>56</v>
      </c>
      <c r="W967">
        <v>82</v>
      </c>
      <c r="X967">
        <v>122</v>
      </c>
      <c r="Y967">
        <v>83</v>
      </c>
      <c r="Z967">
        <v>184</v>
      </c>
      <c r="AA967">
        <v>126</v>
      </c>
      <c r="AB967" t="s">
        <v>656</v>
      </c>
      <c r="AC967" t="s">
        <v>192</v>
      </c>
      <c r="AD967" t="s">
        <v>609</v>
      </c>
      <c r="AE967" t="s">
        <v>183</v>
      </c>
      <c r="AF967">
        <v>0</v>
      </c>
    </row>
    <row r="968" spans="1:32">
      <c r="A968">
        <v>312</v>
      </c>
      <c r="B968">
        <v>836</v>
      </c>
      <c r="C968" t="s">
        <v>349</v>
      </c>
      <c r="D968" t="s">
        <v>1059</v>
      </c>
      <c r="E968" t="s">
        <v>2165</v>
      </c>
      <c r="F968" t="s">
        <v>37</v>
      </c>
      <c r="G968" t="s">
        <v>1158</v>
      </c>
      <c r="H968" t="s">
        <v>1701</v>
      </c>
      <c r="I968" t="s">
        <v>212</v>
      </c>
      <c r="J968" t="s">
        <v>192</v>
      </c>
      <c r="K968" t="s">
        <v>351</v>
      </c>
      <c r="L968" s="84">
        <v>42518</v>
      </c>
      <c r="M968" t="s">
        <v>352</v>
      </c>
      <c r="N968" t="s">
        <v>338</v>
      </c>
      <c r="O968">
        <v>3</v>
      </c>
      <c r="P968" t="s">
        <v>353</v>
      </c>
      <c r="Q968" t="s">
        <v>354</v>
      </c>
      <c r="R968" t="s">
        <v>355</v>
      </c>
      <c r="S968" t="s">
        <v>356</v>
      </c>
      <c r="T968" t="s">
        <v>37</v>
      </c>
      <c r="U968" t="s">
        <v>80</v>
      </c>
      <c r="V968">
        <v>60</v>
      </c>
      <c r="W968">
        <v>82</v>
      </c>
      <c r="X968">
        <v>122</v>
      </c>
      <c r="Y968">
        <v>97</v>
      </c>
      <c r="Z968">
        <v>184</v>
      </c>
      <c r="AA968">
        <v>156</v>
      </c>
      <c r="AB968" t="s">
        <v>644</v>
      </c>
      <c r="AC968" t="s">
        <v>192</v>
      </c>
      <c r="AD968" t="s">
        <v>609</v>
      </c>
      <c r="AE968" t="s">
        <v>183</v>
      </c>
      <c r="AF968">
        <v>0</v>
      </c>
    </row>
    <row r="969" spans="1:32">
      <c r="A969">
        <v>312</v>
      </c>
      <c r="B969">
        <v>836</v>
      </c>
      <c r="C969" t="s">
        <v>349</v>
      </c>
      <c r="D969" t="s">
        <v>1059</v>
      </c>
      <c r="E969" t="s">
        <v>2165</v>
      </c>
      <c r="F969" t="s">
        <v>193</v>
      </c>
      <c r="G969" t="s">
        <v>1159</v>
      </c>
      <c r="H969" t="s">
        <v>192</v>
      </c>
      <c r="I969" t="s">
        <v>212</v>
      </c>
      <c r="J969" t="s">
        <v>212</v>
      </c>
      <c r="K969" t="s">
        <v>351</v>
      </c>
      <c r="L969" s="84">
        <v>42518</v>
      </c>
      <c r="M969" t="s">
        <v>352</v>
      </c>
      <c r="N969" t="s">
        <v>338</v>
      </c>
      <c r="O969">
        <v>3</v>
      </c>
      <c r="P969" t="s">
        <v>353</v>
      </c>
      <c r="Q969" t="s">
        <v>354</v>
      </c>
      <c r="R969" t="s">
        <v>355</v>
      </c>
      <c r="S969" t="s">
        <v>356</v>
      </c>
      <c r="T969" t="s">
        <v>36</v>
      </c>
      <c r="U969" t="s">
        <v>80</v>
      </c>
      <c r="V969">
        <v>60</v>
      </c>
      <c r="W969">
        <v>82</v>
      </c>
      <c r="X969">
        <v>122</v>
      </c>
      <c r="Y969">
        <v>97</v>
      </c>
      <c r="Z969">
        <v>184</v>
      </c>
      <c r="AA969">
        <v>156</v>
      </c>
      <c r="AB969" t="s">
        <v>644</v>
      </c>
      <c r="AC969" t="s">
        <v>192</v>
      </c>
      <c r="AD969" t="s">
        <v>609</v>
      </c>
      <c r="AE969" t="s">
        <v>183</v>
      </c>
      <c r="AF969">
        <v>0</v>
      </c>
    </row>
    <row r="970" spans="1:32">
      <c r="A970">
        <v>312</v>
      </c>
      <c r="B970">
        <v>836</v>
      </c>
      <c r="C970" t="s">
        <v>349</v>
      </c>
      <c r="D970" t="s">
        <v>1059</v>
      </c>
      <c r="E970" t="s">
        <v>2165</v>
      </c>
      <c r="F970" t="s">
        <v>197</v>
      </c>
      <c r="G970" t="s">
        <v>1155</v>
      </c>
      <c r="H970" t="s">
        <v>188</v>
      </c>
      <c r="I970" t="s">
        <v>192</v>
      </c>
      <c r="J970" t="s">
        <v>192</v>
      </c>
      <c r="K970" t="s">
        <v>351</v>
      </c>
      <c r="L970" s="84">
        <v>42518</v>
      </c>
      <c r="M970" t="s">
        <v>352</v>
      </c>
      <c r="N970" t="s">
        <v>338</v>
      </c>
      <c r="O970">
        <v>3</v>
      </c>
      <c r="P970" t="s">
        <v>353</v>
      </c>
      <c r="Q970" t="s">
        <v>354</v>
      </c>
      <c r="R970" t="s">
        <v>355</v>
      </c>
      <c r="S970" t="s">
        <v>356</v>
      </c>
      <c r="T970" t="s">
        <v>38</v>
      </c>
      <c r="U970" t="s">
        <v>80</v>
      </c>
      <c r="V970">
        <v>60</v>
      </c>
      <c r="W970">
        <v>82</v>
      </c>
      <c r="X970">
        <v>122</v>
      </c>
      <c r="Y970">
        <v>97</v>
      </c>
      <c r="Z970">
        <v>184</v>
      </c>
      <c r="AA970">
        <v>156</v>
      </c>
      <c r="AB970" t="s">
        <v>644</v>
      </c>
      <c r="AC970" t="s">
        <v>192</v>
      </c>
      <c r="AD970" t="s">
        <v>609</v>
      </c>
      <c r="AE970" t="s">
        <v>183</v>
      </c>
      <c r="AF970">
        <v>0</v>
      </c>
    </row>
    <row r="971" spans="1:32">
      <c r="A971">
        <v>312</v>
      </c>
      <c r="B971">
        <v>836</v>
      </c>
      <c r="C971" t="s">
        <v>349</v>
      </c>
      <c r="D971" t="s">
        <v>1059</v>
      </c>
      <c r="E971" t="s">
        <v>2165</v>
      </c>
      <c r="F971" t="s">
        <v>6</v>
      </c>
      <c r="G971" t="s">
        <v>1160</v>
      </c>
      <c r="H971" t="s">
        <v>191</v>
      </c>
      <c r="I971" t="s">
        <v>226</v>
      </c>
      <c r="J971" t="s">
        <v>243</v>
      </c>
      <c r="K971" t="s">
        <v>351</v>
      </c>
      <c r="L971" s="84">
        <v>42518</v>
      </c>
      <c r="M971" t="s">
        <v>352</v>
      </c>
      <c r="N971" t="s">
        <v>338</v>
      </c>
      <c r="O971">
        <v>3</v>
      </c>
      <c r="P971" t="s">
        <v>353</v>
      </c>
      <c r="Q971" t="s">
        <v>354</v>
      </c>
      <c r="R971" t="s">
        <v>355</v>
      </c>
      <c r="S971" t="s">
        <v>356</v>
      </c>
      <c r="T971" t="s">
        <v>34</v>
      </c>
      <c r="U971" t="s">
        <v>80</v>
      </c>
      <c r="V971">
        <v>60</v>
      </c>
      <c r="W971">
        <v>82</v>
      </c>
      <c r="X971">
        <v>122</v>
      </c>
      <c r="Y971">
        <v>97</v>
      </c>
      <c r="Z971">
        <v>184</v>
      </c>
      <c r="AA971">
        <v>156</v>
      </c>
      <c r="AB971" t="s">
        <v>644</v>
      </c>
      <c r="AC971" t="s">
        <v>192</v>
      </c>
      <c r="AD971" t="s">
        <v>609</v>
      </c>
      <c r="AE971" t="s">
        <v>183</v>
      </c>
      <c r="AF971">
        <v>0</v>
      </c>
    </row>
    <row r="972" spans="1:32">
      <c r="A972">
        <v>312</v>
      </c>
      <c r="B972">
        <v>836</v>
      </c>
      <c r="C972" t="s">
        <v>349</v>
      </c>
      <c r="D972" t="s">
        <v>1059</v>
      </c>
      <c r="E972" t="s">
        <v>2165</v>
      </c>
      <c r="F972" t="s">
        <v>7</v>
      </c>
      <c r="G972" t="s">
        <v>1163</v>
      </c>
      <c r="H972" t="s">
        <v>171</v>
      </c>
      <c r="I972" t="s">
        <v>221</v>
      </c>
      <c r="J972" t="s">
        <v>188</v>
      </c>
      <c r="K972" t="s">
        <v>351</v>
      </c>
      <c r="L972" s="84">
        <v>42518</v>
      </c>
      <c r="M972" t="s">
        <v>352</v>
      </c>
      <c r="N972" t="s">
        <v>338</v>
      </c>
      <c r="O972">
        <v>3</v>
      </c>
      <c r="P972" t="s">
        <v>353</v>
      </c>
      <c r="Q972" t="s">
        <v>354</v>
      </c>
      <c r="R972" t="s">
        <v>355</v>
      </c>
      <c r="S972" t="s">
        <v>356</v>
      </c>
      <c r="T972" t="s">
        <v>32</v>
      </c>
      <c r="U972" t="s">
        <v>80</v>
      </c>
      <c r="V972">
        <v>60</v>
      </c>
      <c r="W972">
        <v>82</v>
      </c>
      <c r="X972">
        <v>122</v>
      </c>
      <c r="Y972">
        <v>97</v>
      </c>
      <c r="Z972">
        <v>184</v>
      </c>
      <c r="AA972">
        <v>156</v>
      </c>
      <c r="AB972" t="s">
        <v>644</v>
      </c>
      <c r="AC972" t="s">
        <v>192</v>
      </c>
      <c r="AD972" t="s">
        <v>609</v>
      </c>
      <c r="AE972" t="s">
        <v>183</v>
      </c>
      <c r="AF972">
        <v>0</v>
      </c>
    </row>
    <row r="973" spans="1:32">
      <c r="A973">
        <v>312</v>
      </c>
      <c r="B973">
        <v>836</v>
      </c>
      <c r="C973" t="s">
        <v>349</v>
      </c>
      <c r="D973" t="s">
        <v>1059</v>
      </c>
      <c r="E973" t="s">
        <v>2165</v>
      </c>
      <c r="F973" t="s">
        <v>8</v>
      </c>
      <c r="G973" t="s">
        <v>1162</v>
      </c>
      <c r="H973" t="s">
        <v>256</v>
      </c>
      <c r="I973" t="s">
        <v>237</v>
      </c>
      <c r="J973" t="s">
        <v>188</v>
      </c>
      <c r="K973" t="s">
        <v>351</v>
      </c>
      <c r="L973" s="84">
        <v>42518</v>
      </c>
      <c r="M973" t="s">
        <v>352</v>
      </c>
      <c r="N973" t="s">
        <v>338</v>
      </c>
      <c r="O973">
        <v>3</v>
      </c>
      <c r="P973" t="s">
        <v>353</v>
      </c>
      <c r="Q973" t="s">
        <v>354</v>
      </c>
      <c r="R973" t="s">
        <v>355</v>
      </c>
      <c r="S973" t="s">
        <v>356</v>
      </c>
      <c r="T973" t="s">
        <v>31</v>
      </c>
      <c r="U973" t="s">
        <v>80</v>
      </c>
      <c r="V973">
        <v>60</v>
      </c>
      <c r="W973">
        <v>82</v>
      </c>
      <c r="X973">
        <v>122</v>
      </c>
      <c r="Y973">
        <v>97</v>
      </c>
      <c r="Z973">
        <v>184</v>
      </c>
      <c r="AA973">
        <v>156</v>
      </c>
      <c r="AB973" t="s">
        <v>644</v>
      </c>
      <c r="AC973" t="s">
        <v>192</v>
      </c>
      <c r="AD973" t="s">
        <v>609</v>
      </c>
      <c r="AE973" t="s">
        <v>183</v>
      </c>
      <c r="AF973">
        <v>0</v>
      </c>
    </row>
    <row r="974" spans="1:32">
      <c r="A974">
        <v>312</v>
      </c>
      <c r="B974">
        <v>836</v>
      </c>
      <c r="C974" t="s">
        <v>349</v>
      </c>
      <c r="D974" t="s">
        <v>1059</v>
      </c>
      <c r="E974" t="s">
        <v>2165</v>
      </c>
      <c r="F974" t="s">
        <v>5</v>
      </c>
      <c r="G974" t="s">
        <v>1161</v>
      </c>
      <c r="H974" t="s">
        <v>238</v>
      </c>
      <c r="I974" t="s">
        <v>238</v>
      </c>
      <c r="J974" t="s">
        <v>212</v>
      </c>
      <c r="K974" t="s">
        <v>351</v>
      </c>
      <c r="L974" s="84">
        <v>42518</v>
      </c>
      <c r="M974" t="s">
        <v>352</v>
      </c>
      <c r="N974" t="s">
        <v>338</v>
      </c>
      <c r="O974">
        <v>3</v>
      </c>
      <c r="P974" t="s">
        <v>353</v>
      </c>
      <c r="Q974" t="s">
        <v>354</v>
      </c>
      <c r="R974" t="s">
        <v>355</v>
      </c>
      <c r="S974" t="s">
        <v>356</v>
      </c>
      <c r="T974" t="s">
        <v>33</v>
      </c>
      <c r="U974" t="s">
        <v>80</v>
      </c>
      <c r="V974">
        <v>60</v>
      </c>
      <c r="W974">
        <v>82</v>
      </c>
      <c r="X974">
        <v>122</v>
      </c>
      <c r="Y974">
        <v>97</v>
      </c>
      <c r="Z974">
        <v>184</v>
      </c>
      <c r="AA974">
        <v>156</v>
      </c>
      <c r="AB974" t="s">
        <v>644</v>
      </c>
      <c r="AC974" t="s">
        <v>192</v>
      </c>
      <c r="AD974" t="s">
        <v>609</v>
      </c>
      <c r="AE974" t="s">
        <v>183</v>
      </c>
      <c r="AF974">
        <v>0</v>
      </c>
    </row>
    <row r="975" spans="1:32">
      <c r="A975">
        <v>313</v>
      </c>
      <c r="B975">
        <v>1017</v>
      </c>
      <c r="C975" t="s">
        <v>1898</v>
      </c>
      <c r="D975" t="s">
        <v>1059</v>
      </c>
      <c r="E975" t="s">
        <v>2165</v>
      </c>
      <c r="F975" t="s">
        <v>5</v>
      </c>
      <c r="G975" t="s">
        <v>1172</v>
      </c>
      <c r="H975" t="s">
        <v>275</v>
      </c>
      <c r="I975" t="s">
        <v>275</v>
      </c>
      <c r="J975" t="s">
        <v>297</v>
      </c>
      <c r="K975" t="s">
        <v>1899</v>
      </c>
      <c r="L975" s="84">
        <v>42521</v>
      </c>
      <c r="M975" t="s">
        <v>381</v>
      </c>
      <c r="N975" t="s">
        <v>1900</v>
      </c>
      <c r="O975">
        <v>3</v>
      </c>
      <c r="P975" t="s">
        <v>2054</v>
      </c>
      <c r="Q975" t="s">
        <v>2055</v>
      </c>
      <c r="R975" t="s">
        <v>2056</v>
      </c>
      <c r="S975" t="s">
        <v>2057</v>
      </c>
      <c r="T975" t="s">
        <v>33</v>
      </c>
      <c r="U975" t="s">
        <v>80</v>
      </c>
      <c r="V975">
        <v>80</v>
      </c>
      <c r="W975">
        <v>82</v>
      </c>
      <c r="X975">
        <v>122</v>
      </c>
      <c r="Y975">
        <v>120</v>
      </c>
      <c r="Z975">
        <v>184</v>
      </c>
      <c r="AA975">
        <v>182</v>
      </c>
      <c r="AB975" t="s">
        <v>234</v>
      </c>
      <c r="AC975" t="s">
        <v>192</v>
      </c>
      <c r="AD975" t="s">
        <v>609</v>
      </c>
      <c r="AE975" t="s">
        <v>183</v>
      </c>
      <c r="AF975">
        <v>0</v>
      </c>
    </row>
    <row r="976" spans="1:32">
      <c r="A976">
        <v>313</v>
      </c>
      <c r="B976">
        <v>1017</v>
      </c>
      <c r="C976" t="s">
        <v>1898</v>
      </c>
      <c r="D976" t="s">
        <v>1059</v>
      </c>
      <c r="E976" t="s">
        <v>2165</v>
      </c>
      <c r="F976" t="s">
        <v>8</v>
      </c>
      <c r="G976" t="s">
        <v>1171</v>
      </c>
      <c r="H976" t="s">
        <v>217</v>
      </c>
      <c r="I976" t="s">
        <v>262</v>
      </c>
      <c r="J976" t="s">
        <v>218</v>
      </c>
      <c r="K976" t="s">
        <v>1899</v>
      </c>
      <c r="L976" s="84">
        <v>42521</v>
      </c>
      <c r="M976" t="s">
        <v>381</v>
      </c>
      <c r="N976" t="s">
        <v>1900</v>
      </c>
      <c r="O976">
        <v>3</v>
      </c>
      <c r="P976" t="s">
        <v>2054</v>
      </c>
      <c r="Q976" t="s">
        <v>2055</v>
      </c>
      <c r="R976" t="s">
        <v>2056</v>
      </c>
      <c r="S976" t="s">
        <v>2057</v>
      </c>
      <c r="T976" t="s">
        <v>31</v>
      </c>
      <c r="U976" t="s">
        <v>80</v>
      </c>
      <c r="V976">
        <v>80</v>
      </c>
      <c r="W976">
        <v>82</v>
      </c>
      <c r="X976">
        <v>122</v>
      </c>
      <c r="Y976">
        <v>120</v>
      </c>
      <c r="Z976">
        <v>184</v>
      </c>
      <c r="AA976">
        <v>182</v>
      </c>
      <c r="AB976" t="s">
        <v>234</v>
      </c>
      <c r="AC976" t="s">
        <v>192</v>
      </c>
      <c r="AD976" t="s">
        <v>609</v>
      </c>
      <c r="AE976" t="s">
        <v>183</v>
      </c>
      <c r="AF976">
        <v>0</v>
      </c>
    </row>
    <row r="977" spans="1:32">
      <c r="A977">
        <v>313</v>
      </c>
      <c r="B977">
        <v>1017</v>
      </c>
      <c r="C977" t="s">
        <v>1898</v>
      </c>
      <c r="D977" t="s">
        <v>1059</v>
      </c>
      <c r="E977" t="s">
        <v>2165</v>
      </c>
      <c r="F977" t="s">
        <v>7</v>
      </c>
      <c r="G977" t="s">
        <v>1165</v>
      </c>
      <c r="H977" t="s">
        <v>215</v>
      </c>
      <c r="I977" t="s">
        <v>239</v>
      </c>
      <c r="J977" t="s">
        <v>189</v>
      </c>
      <c r="K977" t="s">
        <v>1899</v>
      </c>
      <c r="L977" s="84">
        <v>42521</v>
      </c>
      <c r="M977" t="s">
        <v>381</v>
      </c>
      <c r="N977" t="s">
        <v>1900</v>
      </c>
      <c r="O977">
        <v>3</v>
      </c>
      <c r="P977" t="s">
        <v>2054</v>
      </c>
      <c r="Q977" t="s">
        <v>2055</v>
      </c>
      <c r="R977" t="s">
        <v>2056</v>
      </c>
      <c r="S977" t="s">
        <v>2057</v>
      </c>
      <c r="T977" t="s">
        <v>32</v>
      </c>
      <c r="U977" t="s">
        <v>80</v>
      </c>
      <c r="V977">
        <v>80</v>
      </c>
      <c r="W977">
        <v>82</v>
      </c>
      <c r="X977">
        <v>122</v>
      </c>
      <c r="Y977">
        <v>120</v>
      </c>
      <c r="Z977">
        <v>184</v>
      </c>
      <c r="AA977">
        <v>182</v>
      </c>
      <c r="AB977" t="s">
        <v>234</v>
      </c>
      <c r="AC977" t="s">
        <v>192</v>
      </c>
      <c r="AD977" t="s">
        <v>609</v>
      </c>
      <c r="AE977" t="s">
        <v>183</v>
      </c>
      <c r="AF977">
        <v>0</v>
      </c>
    </row>
    <row r="978" spans="1:32">
      <c r="A978">
        <v>313</v>
      </c>
      <c r="B978">
        <v>1017</v>
      </c>
      <c r="C978" t="s">
        <v>1898</v>
      </c>
      <c r="D978" t="s">
        <v>1059</v>
      </c>
      <c r="E978" t="s">
        <v>2165</v>
      </c>
      <c r="F978" t="s">
        <v>6</v>
      </c>
      <c r="G978" t="s">
        <v>1173</v>
      </c>
      <c r="H978" t="s">
        <v>259</v>
      </c>
      <c r="I978" t="s">
        <v>189</v>
      </c>
      <c r="J978" t="s">
        <v>259</v>
      </c>
      <c r="K978" t="s">
        <v>1899</v>
      </c>
      <c r="L978" s="84">
        <v>42521</v>
      </c>
      <c r="M978" t="s">
        <v>381</v>
      </c>
      <c r="N978" t="s">
        <v>1900</v>
      </c>
      <c r="O978">
        <v>3</v>
      </c>
      <c r="P978" t="s">
        <v>2054</v>
      </c>
      <c r="Q978" t="s">
        <v>2055</v>
      </c>
      <c r="R978" t="s">
        <v>2056</v>
      </c>
      <c r="S978" t="s">
        <v>2057</v>
      </c>
      <c r="T978" t="s">
        <v>34</v>
      </c>
      <c r="U978" t="s">
        <v>80</v>
      </c>
      <c r="V978">
        <v>80</v>
      </c>
      <c r="W978">
        <v>82</v>
      </c>
      <c r="X978">
        <v>122</v>
      </c>
      <c r="Y978">
        <v>120</v>
      </c>
      <c r="Z978">
        <v>184</v>
      </c>
      <c r="AA978">
        <v>182</v>
      </c>
      <c r="AB978" t="s">
        <v>234</v>
      </c>
      <c r="AC978" t="s">
        <v>192</v>
      </c>
      <c r="AD978" t="s">
        <v>609</v>
      </c>
      <c r="AE978" t="s">
        <v>183</v>
      </c>
      <c r="AF978">
        <v>0</v>
      </c>
    </row>
    <row r="979" spans="1:32">
      <c r="A979">
        <v>313</v>
      </c>
      <c r="B979">
        <v>1017</v>
      </c>
      <c r="C979" t="s">
        <v>1898</v>
      </c>
      <c r="D979" t="s">
        <v>1059</v>
      </c>
      <c r="E979" t="s">
        <v>2165</v>
      </c>
      <c r="F979" t="s">
        <v>197</v>
      </c>
      <c r="G979" t="s">
        <v>1176</v>
      </c>
      <c r="H979" t="s">
        <v>223</v>
      </c>
      <c r="I979" t="s">
        <v>192</v>
      </c>
      <c r="J979" t="s">
        <v>192</v>
      </c>
      <c r="K979" t="s">
        <v>1899</v>
      </c>
      <c r="L979" s="84">
        <v>42521</v>
      </c>
      <c r="M979" t="s">
        <v>381</v>
      </c>
      <c r="N979" t="s">
        <v>1900</v>
      </c>
      <c r="O979">
        <v>3</v>
      </c>
      <c r="P979" t="s">
        <v>2054</v>
      </c>
      <c r="Q979" t="s">
        <v>2055</v>
      </c>
      <c r="R979" t="s">
        <v>2056</v>
      </c>
      <c r="S979" t="s">
        <v>2057</v>
      </c>
      <c r="T979" t="s">
        <v>38</v>
      </c>
      <c r="U979" t="s">
        <v>80</v>
      </c>
      <c r="V979">
        <v>80</v>
      </c>
      <c r="W979">
        <v>82</v>
      </c>
      <c r="X979">
        <v>122</v>
      </c>
      <c r="Y979">
        <v>120</v>
      </c>
      <c r="Z979">
        <v>184</v>
      </c>
      <c r="AA979">
        <v>182</v>
      </c>
      <c r="AB979" t="s">
        <v>234</v>
      </c>
      <c r="AC979" t="s">
        <v>192</v>
      </c>
      <c r="AD979" t="s">
        <v>609</v>
      </c>
      <c r="AE979" t="s">
        <v>183</v>
      </c>
      <c r="AF979">
        <v>0</v>
      </c>
    </row>
    <row r="980" spans="1:32">
      <c r="A980">
        <v>313</v>
      </c>
      <c r="B980">
        <v>1017</v>
      </c>
      <c r="C980" t="s">
        <v>1898</v>
      </c>
      <c r="D980" t="s">
        <v>1059</v>
      </c>
      <c r="E980" t="s">
        <v>2165</v>
      </c>
      <c r="F980" t="s">
        <v>193</v>
      </c>
      <c r="G980" t="s">
        <v>1174</v>
      </c>
      <c r="H980" t="s">
        <v>188</v>
      </c>
      <c r="I980" t="s">
        <v>212</v>
      </c>
      <c r="J980" t="s">
        <v>192</v>
      </c>
      <c r="K980" t="s">
        <v>1899</v>
      </c>
      <c r="L980" s="84">
        <v>42521</v>
      </c>
      <c r="M980" t="s">
        <v>381</v>
      </c>
      <c r="N980" t="s">
        <v>1900</v>
      </c>
      <c r="O980">
        <v>3</v>
      </c>
      <c r="P980" t="s">
        <v>2054</v>
      </c>
      <c r="Q980" t="s">
        <v>2055</v>
      </c>
      <c r="R980" t="s">
        <v>2056</v>
      </c>
      <c r="S980" t="s">
        <v>2057</v>
      </c>
      <c r="T980" t="s">
        <v>36</v>
      </c>
      <c r="U980" t="s">
        <v>80</v>
      </c>
      <c r="V980">
        <v>80</v>
      </c>
      <c r="W980">
        <v>82</v>
      </c>
      <c r="X980">
        <v>122</v>
      </c>
      <c r="Y980">
        <v>120</v>
      </c>
      <c r="Z980">
        <v>184</v>
      </c>
      <c r="AA980">
        <v>182</v>
      </c>
      <c r="AB980" t="s">
        <v>234</v>
      </c>
      <c r="AC980" t="s">
        <v>192</v>
      </c>
      <c r="AD980" t="s">
        <v>609</v>
      </c>
      <c r="AE980" t="s">
        <v>183</v>
      </c>
      <c r="AF980">
        <v>0</v>
      </c>
    </row>
    <row r="981" spans="1:32">
      <c r="A981">
        <v>313</v>
      </c>
      <c r="B981">
        <v>1017</v>
      </c>
      <c r="C981" t="s">
        <v>1898</v>
      </c>
      <c r="D981" t="s">
        <v>1059</v>
      </c>
      <c r="E981" t="s">
        <v>2165</v>
      </c>
      <c r="F981" t="s">
        <v>37</v>
      </c>
      <c r="G981" t="s">
        <v>1175</v>
      </c>
      <c r="H981" t="s">
        <v>1701</v>
      </c>
      <c r="I981" t="s">
        <v>212</v>
      </c>
      <c r="J981" t="s">
        <v>192</v>
      </c>
      <c r="K981" t="s">
        <v>1899</v>
      </c>
      <c r="L981" s="84">
        <v>42521</v>
      </c>
      <c r="M981" t="s">
        <v>381</v>
      </c>
      <c r="N981" t="s">
        <v>1900</v>
      </c>
      <c r="O981">
        <v>3</v>
      </c>
      <c r="P981" t="s">
        <v>2054</v>
      </c>
      <c r="Q981" t="s">
        <v>2055</v>
      </c>
      <c r="R981" t="s">
        <v>2056</v>
      </c>
      <c r="S981" t="s">
        <v>2057</v>
      </c>
      <c r="T981" t="s">
        <v>37</v>
      </c>
      <c r="U981" t="s">
        <v>80</v>
      </c>
      <c r="V981">
        <v>80</v>
      </c>
      <c r="W981">
        <v>82</v>
      </c>
      <c r="X981">
        <v>122</v>
      </c>
      <c r="Y981">
        <v>120</v>
      </c>
      <c r="Z981">
        <v>184</v>
      </c>
      <c r="AA981">
        <v>182</v>
      </c>
      <c r="AB981" t="s">
        <v>234</v>
      </c>
      <c r="AC981" t="s">
        <v>192</v>
      </c>
      <c r="AD981" t="s">
        <v>609</v>
      </c>
      <c r="AE981" t="s">
        <v>183</v>
      </c>
      <c r="AF981">
        <v>0</v>
      </c>
    </row>
    <row r="982" spans="1:32">
      <c r="A982">
        <v>314</v>
      </c>
      <c r="B982">
        <v>943</v>
      </c>
      <c r="C982" t="s">
        <v>391</v>
      </c>
      <c r="D982" t="s">
        <v>1059</v>
      </c>
      <c r="E982" t="s">
        <v>2165</v>
      </c>
      <c r="F982" t="s">
        <v>37</v>
      </c>
      <c r="G982" t="s">
        <v>1180</v>
      </c>
      <c r="H982" t="s">
        <v>1701</v>
      </c>
      <c r="I982" t="s">
        <v>212</v>
      </c>
      <c r="J982" t="s">
        <v>192</v>
      </c>
      <c r="K982" t="s">
        <v>393</v>
      </c>
      <c r="L982" s="84">
        <v>42546</v>
      </c>
      <c r="M982" t="s">
        <v>325</v>
      </c>
      <c r="N982" t="s">
        <v>1351</v>
      </c>
      <c r="O982">
        <v>2</v>
      </c>
      <c r="P982" t="s">
        <v>394</v>
      </c>
      <c r="Q982" t="s">
        <v>395</v>
      </c>
      <c r="R982" t="s">
        <v>396</v>
      </c>
      <c r="S982" t="s">
        <v>397</v>
      </c>
      <c r="T982" t="s">
        <v>37</v>
      </c>
      <c r="U982" t="s">
        <v>79</v>
      </c>
      <c r="V982">
        <v>47</v>
      </c>
      <c r="W982">
        <v>82</v>
      </c>
      <c r="X982">
        <v>122</v>
      </c>
      <c r="Y982">
        <v>72</v>
      </c>
      <c r="Z982">
        <v>184</v>
      </c>
      <c r="AA982">
        <v>129</v>
      </c>
      <c r="AB982" t="s">
        <v>696</v>
      </c>
      <c r="AC982" t="s">
        <v>243</v>
      </c>
      <c r="AD982" t="s">
        <v>210</v>
      </c>
      <c r="AE982" t="s">
        <v>183</v>
      </c>
      <c r="AF982">
        <v>0</v>
      </c>
    </row>
    <row r="983" spans="1:32">
      <c r="A983">
        <v>314</v>
      </c>
      <c r="B983">
        <v>943</v>
      </c>
      <c r="C983" t="s">
        <v>391</v>
      </c>
      <c r="D983" t="s">
        <v>1059</v>
      </c>
      <c r="E983" t="s">
        <v>2165</v>
      </c>
      <c r="F983" t="s">
        <v>193</v>
      </c>
      <c r="G983" t="s">
        <v>1181</v>
      </c>
      <c r="H983" t="s">
        <v>212</v>
      </c>
      <c r="I983" t="s">
        <v>212</v>
      </c>
      <c r="J983" t="s">
        <v>212</v>
      </c>
      <c r="K983" t="s">
        <v>393</v>
      </c>
      <c r="L983" s="84">
        <v>42546</v>
      </c>
      <c r="M983" t="s">
        <v>325</v>
      </c>
      <c r="N983" t="s">
        <v>1351</v>
      </c>
      <c r="O983">
        <v>2</v>
      </c>
      <c r="P983" t="s">
        <v>394</v>
      </c>
      <c r="Q983" t="s">
        <v>395</v>
      </c>
      <c r="R983" t="s">
        <v>396</v>
      </c>
      <c r="S983" t="s">
        <v>397</v>
      </c>
      <c r="T983" t="s">
        <v>36</v>
      </c>
      <c r="U983" t="s">
        <v>79</v>
      </c>
      <c r="V983">
        <v>47</v>
      </c>
      <c r="W983">
        <v>82</v>
      </c>
      <c r="X983">
        <v>122</v>
      </c>
      <c r="Y983">
        <v>72</v>
      </c>
      <c r="Z983">
        <v>184</v>
      </c>
      <c r="AA983">
        <v>129</v>
      </c>
      <c r="AB983" t="s">
        <v>696</v>
      </c>
      <c r="AC983" t="s">
        <v>243</v>
      </c>
      <c r="AD983" t="s">
        <v>210</v>
      </c>
      <c r="AE983" t="s">
        <v>183</v>
      </c>
      <c r="AF983">
        <v>0</v>
      </c>
    </row>
    <row r="984" spans="1:32">
      <c r="A984">
        <v>314</v>
      </c>
      <c r="B984">
        <v>943</v>
      </c>
      <c r="C984" t="s">
        <v>391</v>
      </c>
      <c r="D984" t="s">
        <v>1059</v>
      </c>
      <c r="E984" t="s">
        <v>2165</v>
      </c>
      <c r="F984" t="s">
        <v>197</v>
      </c>
      <c r="G984" t="s">
        <v>1177</v>
      </c>
      <c r="H984" t="s">
        <v>192</v>
      </c>
      <c r="I984" t="s">
        <v>192</v>
      </c>
      <c r="J984" t="s">
        <v>192</v>
      </c>
      <c r="K984" t="s">
        <v>393</v>
      </c>
      <c r="L984" s="84">
        <v>42546</v>
      </c>
      <c r="M984" t="s">
        <v>325</v>
      </c>
      <c r="N984" t="s">
        <v>1351</v>
      </c>
      <c r="O984">
        <v>2</v>
      </c>
      <c r="P984" t="s">
        <v>394</v>
      </c>
      <c r="Q984" t="s">
        <v>395</v>
      </c>
      <c r="R984" t="s">
        <v>396</v>
      </c>
      <c r="S984" t="s">
        <v>397</v>
      </c>
      <c r="T984" t="s">
        <v>38</v>
      </c>
      <c r="U984" t="s">
        <v>79</v>
      </c>
      <c r="V984">
        <v>47</v>
      </c>
      <c r="W984">
        <v>82</v>
      </c>
      <c r="X984">
        <v>122</v>
      </c>
      <c r="Y984">
        <v>72</v>
      </c>
      <c r="Z984">
        <v>184</v>
      </c>
      <c r="AA984">
        <v>129</v>
      </c>
      <c r="AB984" t="s">
        <v>696</v>
      </c>
      <c r="AC984" t="s">
        <v>243</v>
      </c>
      <c r="AD984" t="s">
        <v>210</v>
      </c>
      <c r="AE984" t="s">
        <v>183</v>
      </c>
      <c r="AF984">
        <v>0</v>
      </c>
    </row>
    <row r="985" spans="1:32">
      <c r="A985">
        <v>314</v>
      </c>
      <c r="B985">
        <v>943</v>
      </c>
      <c r="C985" t="s">
        <v>391</v>
      </c>
      <c r="D985" t="s">
        <v>1059</v>
      </c>
      <c r="E985" t="s">
        <v>2165</v>
      </c>
      <c r="F985" t="s">
        <v>6</v>
      </c>
      <c r="G985" t="s">
        <v>1182</v>
      </c>
      <c r="H985" t="s">
        <v>171</v>
      </c>
      <c r="I985" t="s">
        <v>236</v>
      </c>
      <c r="J985" t="s">
        <v>497</v>
      </c>
      <c r="K985" t="s">
        <v>393</v>
      </c>
      <c r="L985" s="84">
        <v>42546</v>
      </c>
      <c r="M985" t="s">
        <v>325</v>
      </c>
      <c r="N985" t="s">
        <v>1351</v>
      </c>
      <c r="O985">
        <v>2</v>
      </c>
      <c r="P985" t="s">
        <v>394</v>
      </c>
      <c r="Q985" t="s">
        <v>395</v>
      </c>
      <c r="R985" t="s">
        <v>396</v>
      </c>
      <c r="S985" t="s">
        <v>397</v>
      </c>
      <c r="T985" t="s">
        <v>34</v>
      </c>
      <c r="U985" t="s">
        <v>79</v>
      </c>
      <c r="V985">
        <v>47</v>
      </c>
      <c r="W985">
        <v>82</v>
      </c>
      <c r="X985">
        <v>122</v>
      </c>
      <c r="Y985">
        <v>72</v>
      </c>
      <c r="Z985">
        <v>184</v>
      </c>
      <c r="AA985">
        <v>129</v>
      </c>
      <c r="AB985" t="s">
        <v>696</v>
      </c>
      <c r="AC985" t="s">
        <v>243</v>
      </c>
      <c r="AD985" t="s">
        <v>210</v>
      </c>
      <c r="AE985" t="s">
        <v>183</v>
      </c>
      <c r="AF985">
        <v>0</v>
      </c>
    </row>
    <row r="986" spans="1:32">
      <c r="A986">
        <v>314</v>
      </c>
      <c r="B986">
        <v>943</v>
      </c>
      <c r="C986" t="s">
        <v>391</v>
      </c>
      <c r="D986" t="s">
        <v>1059</v>
      </c>
      <c r="E986" t="s">
        <v>2165</v>
      </c>
      <c r="F986" t="s">
        <v>7</v>
      </c>
      <c r="G986" t="s">
        <v>1185</v>
      </c>
      <c r="H986" t="s">
        <v>171</v>
      </c>
      <c r="I986" t="s">
        <v>297</v>
      </c>
      <c r="J986" t="s">
        <v>171</v>
      </c>
      <c r="K986" t="s">
        <v>393</v>
      </c>
      <c r="L986" s="84">
        <v>42546</v>
      </c>
      <c r="M986" t="s">
        <v>325</v>
      </c>
      <c r="N986" t="s">
        <v>1351</v>
      </c>
      <c r="O986">
        <v>2</v>
      </c>
      <c r="P986" t="s">
        <v>394</v>
      </c>
      <c r="Q986" t="s">
        <v>395</v>
      </c>
      <c r="R986" t="s">
        <v>396</v>
      </c>
      <c r="S986" t="s">
        <v>397</v>
      </c>
      <c r="T986" t="s">
        <v>32</v>
      </c>
      <c r="U986" t="s">
        <v>79</v>
      </c>
      <c r="V986">
        <v>47</v>
      </c>
      <c r="W986">
        <v>82</v>
      </c>
      <c r="X986">
        <v>122</v>
      </c>
      <c r="Y986">
        <v>72</v>
      </c>
      <c r="Z986">
        <v>184</v>
      </c>
      <c r="AA986">
        <v>129</v>
      </c>
      <c r="AB986" t="s">
        <v>696</v>
      </c>
      <c r="AC986" t="s">
        <v>243</v>
      </c>
      <c r="AD986" t="s">
        <v>210</v>
      </c>
      <c r="AE986" t="s">
        <v>183</v>
      </c>
      <c r="AF986">
        <v>0</v>
      </c>
    </row>
    <row r="987" spans="1:32">
      <c r="A987">
        <v>314</v>
      </c>
      <c r="B987">
        <v>943</v>
      </c>
      <c r="C987" t="s">
        <v>391</v>
      </c>
      <c r="D987" t="s">
        <v>1059</v>
      </c>
      <c r="E987" t="s">
        <v>2165</v>
      </c>
      <c r="F987" t="s">
        <v>8</v>
      </c>
      <c r="G987" t="s">
        <v>1184</v>
      </c>
      <c r="H987" t="s">
        <v>185</v>
      </c>
      <c r="I987" t="s">
        <v>220</v>
      </c>
      <c r="J987" t="s">
        <v>218</v>
      </c>
      <c r="K987" t="s">
        <v>393</v>
      </c>
      <c r="L987" s="84">
        <v>42546</v>
      </c>
      <c r="M987" t="s">
        <v>325</v>
      </c>
      <c r="N987" t="s">
        <v>1351</v>
      </c>
      <c r="O987">
        <v>2</v>
      </c>
      <c r="P987" t="s">
        <v>394</v>
      </c>
      <c r="Q987" t="s">
        <v>395</v>
      </c>
      <c r="R987" t="s">
        <v>396</v>
      </c>
      <c r="S987" t="s">
        <v>397</v>
      </c>
      <c r="T987" t="s">
        <v>31</v>
      </c>
      <c r="U987" t="s">
        <v>79</v>
      </c>
      <c r="V987">
        <v>47</v>
      </c>
      <c r="W987">
        <v>82</v>
      </c>
      <c r="X987">
        <v>122</v>
      </c>
      <c r="Y987">
        <v>72</v>
      </c>
      <c r="Z987">
        <v>184</v>
      </c>
      <c r="AA987">
        <v>129</v>
      </c>
      <c r="AB987" t="s">
        <v>696</v>
      </c>
      <c r="AC987" t="s">
        <v>243</v>
      </c>
      <c r="AD987" t="s">
        <v>210</v>
      </c>
      <c r="AE987" t="s">
        <v>183</v>
      </c>
      <c r="AF987">
        <v>0</v>
      </c>
    </row>
    <row r="988" spans="1:32">
      <c r="A988">
        <v>314</v>
      </c>
      <c r="B988">
        <v>943</v>
      </c>
      <c r="C988" t="s">
        <v>391</v>
      </c>
      <c r="D988" t="s">
        <v>1059</v>
      </c>
      <c r="E988" t="s">
        <v>2165</v>
      </c>
      <c r="F988" t="s">
        <v>5</v>
      </c>
      <c r="G988" t="s">
        <v>1183</v>
      </c>
      <c r="H988" t="s">
        <v>237</v>
      </c>
      <c r="I988" t="s">
        <v>260</v>
      </c>
      <c r="J988" t="s">
        <v>221</v>
      </c>
      <c r="K988" t="s">
        <v>393</v>
      </c>
      <c r="L988" s="84">
        <v>42546</v>
      </c>
      <c r="M988" t="s">
        <v>325</v>
      </c>
      <c r="N988" t="s">
        <v>1351</v>
      </c>
      <c r="O988">
        <v>2</v>
      </c>
      <c r="P988" t="s">
        <v>394</v>
      </c>
      <c r="Q988" t="s">
        <v>395</v>
      </c>
      <c r="R988" t="s">
        <v>396</v>
      </c>
      <c r="S988" t="s">
        <v>397</v>
      </c>
      <c r="T988" t="s">
        <v>33</v>
      </c>
      <c r="U988" t="s">
        <v>79</v>
      </c>
      <c r="V988">
        <v>47</v>
      </c>
      <c r="W988">
        <v>82</v>
      </c>
      <c r="X988">
        <v>122</v>
      </c>
      <c r="Y988">
        <v>72</v>
      </c>
      <c r="Z988">
        <v>184</v>
      </c>
      <c r="AA988">
        <v>129</v>
      </c>
      <c r="AB988" t="s">
        <v>696</v>
      </c>
      <c r="AC988" t="s">
        <v>243</v>
      </c>
      <c r="AD988" t="s">
        <v>210</v>
      </c>
      <c r="AE988" t="s">
        <v>183</v>
      </c>
      <c r="AF988">
        <v>0</v>
      </c>
    </row>
    <row r="989" spans="1:32">
      <c r="A989">
        <v>315</v>
      </c>
      <c r="B989">
        <v>922</v>
      </c>
      <c r="C989" t="s">
        <v>378</v>
      </c>
      <c r="D989" t="s">
        <v>1059</v>
      </c>
      <c r="E989" t="s">
        <v>2165</v>
      </c>
      <c r="F989" t="s">
        <v>5</v>
      </c>
      <c r="G989" t="s">
        <v>1188</v>
      </c>
      <c r="H989" t="s">
        <v>497</v>
      </c>
      <c r="I989" t="s">
        <v>238</v>
      </c>
      <c r="J989" t="s">
        <v>189</v>
      </c>
      <c r="K989" t="s">
        <v>380</v>
      </c>
      <c r="L989" s="84">
        <v>42704</v>
      </c>
      <c r="M989" t="s">
        <v>381</v>
      </c>
      <c r="N989" t="s">
        <v>1354</v>
      </c>
      <c r="O989">
        <v>3</v>
      </c>
      <c r="P989" t="s">
        <v>382</v>
      </c>
      <c r="Q989" t="s">
        <v>383</v>
      </c>
      <c r="R989" t="s">
        <v>384</v>
      </c>
      <c r="S989" t="s">
        <v>1355</v>
      </c>
      <c r="T989" t="s">
        <v>33</v>
      </c>
      <c r="U989" t="s">
        <v>80</v>
      </c>
      <c r="V989">
        <v>62</v>
      </c>
      <c r="W989">
        <v>82</v>
      </c>
      <c r="X989">
        <v>122</v>
      </c>
      <c r="Y989">
        <v>99</v>
      </c>
      <c r="Z989">
        <v>184</v>
      </c>
      <c r="AA989">
        <v>143</v>
      </c>
      <c r="AB989" t="s">
        <v>370</v>
      </c>
      <c r="AC989" t="s">
        <v>223</v>
      </c>
      <c r="AD989" t="s">
        <v>210</v>
      </c>
      <c r="AE989" t="s">
        <v>183</v>
      </c>
      <c r="AF989">
        <v>0</v>
      </c>
    </row>
    <row r="990" spans="1:32">
      <c r="A990">
        <v>315</v>
      </c>
      <c r="B990">
        <v>922</v>
      </c>
      <c r="C990" t="s">
        <v>378</v>
      </c>
      <c r="D990" t="s">
        <v>1059</v>
      </c>
      <c r="E990" t="s">
        <v>2165</v>
      </c>
      <c r="F990" t="s">
        <v>8</v>
      </c>
      <c r="G990" t="s">
        <v>1187</v>
      </c>
      <c r="H990" t="s">
        <v>262</v>
      </c>
      <c r="I990" t="s">
        <v>262</v>
      </c>
      <c r="J990" t="s">
        <v>256</v>
      </c>
      <c r="K990" t="s">
        <v>380</v>
      </c>
      <c r="L990" s="84">
        <v>42704</v>
      </c>
      <c r="M990" t="s">
        <v>381</v>
      </c>
      <c r="N990" t="s">
        <v>1354</v>
      </c>
      <c r="O990">
        <v>3</v>
      </c>
      <c r="P990" t="s">
        <v>382</v>
      </c>
      <c r="Q990" t="s">
        <v>383</v>
      </c>
      <c r="R990" t="s">
        <v>384</v>
      </c>
      <c r="S990" t="s">
        <v>1355</v>
      </c>
      <c r="T990" t="s">
        <v>31</v>
      </c>
      <c r="U990" t="s">
        <v>80</v>
      </c>
      <c r="V990">
        <v>62</v>
      </c>
      <c r="W990">
        <v>82</v>
      </c>
      <c r="X990">
        <v>122</v>
      </c>
      <c r="Y990">
        <v>99</v>
      </c>
      <c r="Z990">
        <v>184</v>
      </c>
      <c r="AA990">
        <v>143</v>
      </c>
      <c r="AB990" t="s">
        <v>370</v>
      </c>
      <c r="AC990" t="s">
        <v>223</v>
      </c>
      <c r="AD990" t="s">
        <v>210</v>
      </c>
      <c r="AE990" t="s">
        <v>183</v>
      </c>
      <c r="AF990">
        <v>0</v>
      </c>
    </row>
    <row r="991" spans="1:32">
      <c r="A991">
        <v>315</v>
      </c>
      <c r="B991">
        <v>922</v>
      </c>
      <c r="C991" t="s">
        <v>378</v>
      </c>
      <c r="D991" t="s">
        <v>1059</v>
      </c>
      <c r="E991" t="s">
        <v>2165</v>
      </c>
      <c r="F991" t="s">
        <v>7</v>
      </c>
      <c r="G991" t="s">
        <v>1186</v>
      </c>
      <c r="H991" t="s">
        <v>218</v>
      </c>
      <c r="I991" t="s">
        <v>257</v>
      </c>
      <c r="J991" t="s">
        <v>220</v>
      </c>
      <c r="K991" t="s">
        <v>380</v>
      </c>
      <c r="L991" s="84">
        <v>42704</v>
      </c>
      <c r="M991" t="s">
        <v>381</v>
      </c>
      <c r="N991" t="s">
        <v>1354</v>
      </c>
      <c r="O991">
        <v>3</v>
      </c>
      <c r="P991" t="s">
        <v>382</v>
      </c>
      <c r="Q991" t="s">
        <v>383</v>
      </c>
      <c r="R991" t="s">
        <v>384</v>
      </c>
      <c r="S991" t="s">
        <v>1355</v>
      </c>
      <c r="T991" t="s">
        <v>32</v>
      </c>
      <c r="U991" t="s">
        <v>80</v>
      </c>
      <c r="V991">
        <v>62</v>
      </c>
      <c r="W991">
        <v>82</v>
      </c>
      <c r="X991">
        <v>122</v>
      </c>
      <c r="Y991">
        <v>99</v>
      </c>
      <c r="Z991">
        <v>184</v>
      </c>
      <c r="AA991">
        <v>143</v>
      </c>
      <c r="AB991" t="s">
        <v>370</v>
      </c>
      <c r="AC991" t="s">
        <v>223</v>
      </c>
      <c r="AD991" t="s">
        <v>210</v>
      </c>
      <c r="AE991" t="s">
        <v>183</v>
      </c>
      <c r="AF991">
        <v>0</v>
      </c>
    </row>
    <row r="992" spans="1:32">
      <c r="A992">
        <v>315</v>
      </c>
      <c r="B992">
        <v>922</v>
      </c>
      <c r="C992" t="s">
        <v>378</v>
      </c>
      <c r="D992" t="s">
        <v>1059</v>
      </c>
      <c r="E992" t="s">
        <v>2165</v>
      </c>
      <c r="F992" t="s">
        <v>6</v>
      </c>
      <c r="G992" t="s">
        <v>1189</v>
      </c>
      <c r="H992" t="s">
        <v>217</v>
      </c>
      <c r="I992" t="s">
        <v>262</v>
      </c>
      <c r="J992" t="s">
        <v>497</v>
      </c>
      <c r="K992" t="s">
        <v>380</v>
      </c>
      <c r="L992" s="84">
        <v>42704</v>
      </c>
      <c r="M992" t="s">
        <v>381</v>
      </c>
      <c r="N992" t="s">
        <v>1354</v>
      </c>
      <c r="O992">
        <v>3</v>
      </c>
      <c r="P992" t="s">
        <v>382</v>
      </c>
      <c r="Q992" t="s">
        <v>383</v>
      </c>
      <c r="R992" t="s">
        <v>384</v>
      </c>
      <c r="S992" t="s">
        <v>1355</v>
      </c>
      <c r="T992" t="s">
        <v>34</v>
      </c>
      <c r="U992" t="s">
        <v>80</v>
      </c>
      <c r="V992">
        <v>62</v>
      </c>
      <c r="W992">
        <v>82</v>
      </c>
      <c r="X992">
        <v>122</v>
      </c>
      <c r="Y992">
        <v>99</v>
      </c>
      <c r="Z992">
        <v>184</v>
      </c>
      <c r="AA992">
        <v>143</v>
      </c>
      <c r="AB992" t="s">
        <v>370</v>
      </c>
      <c r="AC992" t="s">
        <v>223</v>
      </c>
      <c r="AD992" t="s">
        <v>210</v>
      </c>
      <c r="AE992" t="s">
        <v>183</v>
      </c>
      <c r="AF992">
        <v>0</v>
      </c>
    </row>
    <row r="993" spans="1:32">
      <c r="A993">
        <v>315</v>
      </c>
      <c r="B993">
        <v>922</v>
      </c>
      <c r="C993" t="s">
        <v>378</v>
      </c>
      <c r="D993" t="s">
        <v>1059</v>
      </c>
      <c r="E993" t="s">
        <v>2165</v>
      </c>
      <c r="F993" t="s">
        <v>197</v>
      </c>
      <c r="G993" t="s">
        <v>1192</v>
      </c>
      <c r="H993" t="s">
        <v>188</v>
      </c>
      <c r="I993" t="s">
        <v>192</v>
      </c>
      <c r="J993" t="s">
        <v>192</v>
      </c>
      <c r="K993" t="s">
        <v>380</v>
      </c>
      <c r="L993" s="84">
        <v>42704</v>
      </c>
      <c r="M993" t="s">
        <v>381</v>
      </c>
      <c r="N993" t="s">
        <v>1354</v>
      </c>
      <c r="O993">
        <v>3</v>
      </c>
      <c r="P993" t="s">
        <v>382</v>
      </c>
      <c r="Q993" t="s">
        <v>383</v>
      </c>
      <c r="R993" t="s">
        <v>384</v>
      </c>
      <c r="S993" t="s">
        <v>1355</v>
      </c>
      <c r="T993" t="s">
        <v>38</v>
      </c>
      <c r="U993" t="s">
        <v>80</v>
      </c>
      <c r="V993">
        <v>62</v>
      </c>
      <c r="W993">
        <v>82</v>
      </c>
      <c r="X993">
        <v>122</v>
      </c>
      <c r="Y993">
        <v>99</v>
      </c>
      <c r="Z993">
        <v>184</v>
      </c>
      <c r="AA993">
        <v>143</v>
      </c>
      <c r="AB993" t="s">
        <v>370</v>
      </c>
      <c r="AC993" t="s">
        <v>223</v>
      </c>
      <c r="AD993" t="s">
        <v>210</v>
      </c>
      <c r="AE993" t="s">
        <v>183</v>
      </c>
      <c r="AF993">
        <v>0</v>
      </c>
    </row>
    <row r="994" spans="1:32">
      <c r="A994">
        <v>315</v>
      </c>
      <c r="B994">
        <v>922</v>
      </c>
      <c r="C994" t="s">
        <v>378</v>
      </c>
      <c r="D994" t="s">
        <v>1059</v>
      </c>
      <c r="E994" t="s">
        <v>2165</v>
      </c>
      <c r="F994" t="s">
        <v>193</v>
      </c>
      <c r="G994" t="s">
        <v>1190</v>
      </c>
      <c r="H994" t="s">
        <v>188</v>
      </c>
      <c r="I994" t="s">
        <v>212</v>
      </c>
      <c r="J994" t="s">
        <v>192</v>
      </c>
      <c r="K994" t="s">
        <v>380</v>
      </c>
      <c r="L994" s="84">
        <v>42704</v>
      </c>
      <c r="M994" t="s">
        <v>381</v>
      </c>
      <c r="N994" t="s">
        <v>1354</v>
      </c>
      <c r="O994">
        <v>3</v>
      </c>
      <c r="P994" t="s">
        <v>382</v>
      </c>
      <c r="Q994" t="s">
        <v>383</v>
      </c>
      <c r="R994" t="s">
        <v>384</v>
      </c>
      <c r="S994" t="s">
        <v>1355</v>
      </c>
      <c r="T994" t="s">
        <v>36</v>
      </c>
      <c r="U994" t="s">
        <v>80</v>
      </c>
      <c r="V994">
        <v>62</v>
      </c>
      <c r="W994">
        <v>82</v>
      </c>
      <c r="X994">
        <v>122</v>
      </c>
      <c r="Y994">
        <v>99</v>
      </c>
      <c r="Z994">
        <v>184</v>
      </c>
      <c r="AA994">
        <v>143</v>
      </c>
      <c r="AB994" t="s">
        <v>370</v>
      </c>
      <c r="AC994" t="s">
        <v>223</v>
      </c>
      <c r="AD994" t="s">
        <v>210</v>
      </c>
      <c r="AE994" t="s">
        <v>183</v>
      </c>
      <c r="AF994">
        <v>0</v>
      </c>
    </row>
    <row r="995" spans="1:32">
      <c r="A995">
        <v>315</v>
      </c>
      <c r="B995">
        <v>922</v>
      </c>
      <c r="C995" t="s">
        <v>378</v>
      </c>
      <c r="D995" t="s">
        <v>1059</v>
      </c>
      <c r="E995" t="s">
        <v>2165</v>
      </c>
      <c r="F995" t="s">
        <v>37</v>
      </c>
      <c r="G995" t="s">
        <v>1191</v>
      </c>
      <c r="H995" t="s">
        <v>1701</v>
      </c>
      <c r="I995" t="s">
        <v>212</v>
      </c>
      <c r="J995" t="s">
        <v>192</v>
      </c>
      <c r="K995" t="s">
        <v>380</v>
      </c>
      <c r="L995" s="84">
        <v>42704</v>
      </c>
      <c r="M995" t="s">
        <v>381</v>
      </c>
      <c r="N995" t="s">
        <v>1354</v>
      </c>
      <c r="O995">
        <v>3</v>
      </c>
      <c r="P995" t="s">
        <v>382</v>
      </c>
      <c r="Q995" t="s">
        <v>383</v>
      </c>
      <c r="R995" t="s">
        <v>384</v>
      </c>
      <c r="S995" t="s">
        <v>1355</v>
      </c>
      <c r="T995" t="s">
        <v>37</v>
      </c>
      <c r="U995" t="s">
        <v>80</v>
      </c>
      <c r="V995">
        <v>62</v>
      </c>
      <c r="W995">
        <v>82</v>
      </c>
      <c r="X995">
        <v>122</v>
      </c>
      <c r="Y995">
        <v>99</v>
      </c>
      <c r="Z995">
        <v>184</v>
      </c>
      <c r="AA995">
        <v>143</v>
      </c>
      <c r="AB995" t="s">
        <v>370</v>
      </c>
      <c r="AC995" t="s">
        <v>223</v>
      </c>
      <c r="AD995" t="s">
        <v>210</v>
      </c>
      <c r="AE995" t="s">
        <v>183</v>
      </c>
      <c r="AF995">
        <v>0</v>
      </c>
    </row>
    <row r="996" spans="1:32">
      <c r="A996">
        <v>316</v>
      </c>
      <c r="B996">
        <v>919</v>
      </c>
      <c r="C996" t="s">
        <v>874</v>
      </c>
      <c r="D996" t="s">
        <v>1059</v>
      </c>
      <c r="E996" t="s">
        <v>2165</v>
      </c>
      <c r="F996" t="s">
        <v>37</v>
      </c>
      <c r="G996" t="s">
        <v>1200</v>
      </c>
      <c r="H996" t="s">
        <v>1701</v>
      </c>
      <c r="I996" t="s">
        <v>212</v>
      </c>
      <c r="J996" t="s">
        <v>192</v>
      </c>
      <c r="K996" t="s">
        <v>876</v>
      </c>
      <c r="L996" s="84">
        <v>41873</v>
      </c>
      <c r="M996" t="s">
        <v>352</v>
      </c>
      <c r="N996" t="s">
        <v>877</v>
      </c>
      <c r="O996">
        <v>2</v>
      </c>
      <c r="P996" t="s">
        <v>878</v>
      </c>
      <c r="Q996" t="s">
        <v>879</v>
      </c>
      <c r="R996" t="s">
        <v>880</v>
      </c>
      <c r="S996" t="s">
        <v>881</v>
      </c>
      <c r="T996" t="s">
        <v>37</v>
      </c>
      <c r="U996" t="s">
        <v>79</v>
      </c>
      <c r="V996">
        <v>33</v>
      </c>
      <c r="W996">
        <v>82</v>
      </c>
      <c r="X996">
        <v>122</v>
      </c>
      <c r="Y996">
        <v>65</v>
      </c>
      <c r="Z996">
        <v>184</v>
      </c>
      <c r="AA996">
        <v>115</v>
      </c>
      <c r="AB996" t="s">
        <v>2564</v>
      </c>
      <c r="AC996" t="s">
        <v>221</v>
      </c>
      <c r="AD996" t="s">
        <v>210</v>
      </c>
      <c r="AE996" t="s">
        <v>183</v>
      </c>
      <c r="AF996">
        <v>0</v>
      </c>
    </row>
    <row r="997" spans="1:32">
      <c r="A997">
        <v>316</v>
      </c>
      <c r="B997">
        <v>919</v>
      </c>
      <c r="C997" t="s">
        <v>874</v>
      </c>
      <c r="D997" t="s">
        <v>1059</v>
      </c>
      <c r="E997" t="s">
        <v>2165</v>
      </c>
      <c r="F997" t="s">
        <v>193</v>
      </c>
      <c r="G997" t="s">
        <v>1201</v>
      </c>
      <c r="H997" t="s">
        <v>192</v>
      </c>
      <c r="I997" t="s">
        <v>212</v>
      </c>
      <c r="J997" t="s">
        <v>212</v>
      </c>
      <c r="K997" t="s">
        <v>876</v>
      </c>
      <c r="L997" s="84">
        <v>41873</v>
      </c>
      <c r="M997" t="s">
        <v>352</v>
      </c>
      <c r="N997" t="s">
        <v>877</v>
      </c>
      <c r="O997">
        <v>2</v>
      </c>
      <c r="P997" t="s">
        <v>878</v>
      </c>
      <c r="Q997" t="s">
        <v>879</v>
      </c>
      <c r="R997" t="s">
        <v>880</v>
      </c>
      <c r="S997" t="s">
        <v>881</v>
      </c>
      <c r="T997" t="s">
        <v>36</v>
      </c>
      <c r="U997" t="s">
        <v>79</v>
      </c>
      <c r="V997">
        <v>33</v>
      </c>
      <c r="W997">
        <v>82</v>
      </c>
      <c r="X997">
        <v>122</v>
      </c>
      <c r="Y997">
        <v>65</v>
      </c>
      <c r="Z997">
        <v>184</v>
      </c>
      <c r="AA997">
        <v>115</v>
      </c>
      <c r="AB997" t="s">
        <v>2564</v>
      </c>
      <c r="AC997" t="s">
        <v>221</v>
      </c>
      <c r="AD997" t="s">
        <v>210</v>
      </c>
      <c r="AE997" t="s">
        <v>183</v>
      </c>
      <c r="AF997">
        <v>0</v>
      </c>
    </row>
    <row r="998" spans="1:32">
      <c r="A998">
        <v>316</v>
      </c>
      <c r="B998">
        <v>919</v>
      </c>
      <c r="C998" t="s">
        <v>874</v>
      </c>
      <c r="D998" t="s">
        <v>1059</v>
      </c>
      <c r="E998" t="s">
        <v>2165</v>
      </c>
      <c r="F998" t="s">
        <v>197</v>
      </c>
      <c r="G998" t="s">
        <v>1194</v>
      </c>
      <c r="H998" t="s">
        <v>212</v>
      </c>
      <c r="I998" t="s">
        <v>192</v>
      </c>
      <c r="J998" t="s">
        <v>192</v>
      </c>
      <c r="K998" t="s">
        <v>876</v>
      </c>
      <c r="L998" s="84">
        <v>41873</v>
      </c>
      <c r="M998" t="s">
        <v>352</v>
      </c>
      <c r="N998" t="s">
        <v>877</v>
      </c>
      <c r="O998">
        <v>2</v>
      </c>
      <c r="P998" t="s">
        <v>878</v>
      </c>
      <c r="Q998" t="s">
        <v>879</v>
      </c>
      <c r="R998" t="s">
        <v>880</v>
      </c>
      <c r="S998" t="s">
        <v>881</v>
      </c>
      <c r="T998" t="s">
        <v>38</v>
      </c>
      <c r="U998" t="s">
        <v>79</v>
      </c>
      <c r="V998">
        <v>33</v>
      </c>
      <c r="W998">
        <v>82</v>
      </c>
      <c r="X998">
        <v>122</v>
      </c>
      <c r="Y998">
        <v>65</v>
      </c>
      <c r="Z998">
        <v>184</v>
      </c>
      <c r="AA998">
        <v>115</v>
      </c>
      <c r="AB998" t="s">
        <v>2564</v>
      </c>
      <c r="AC998" t="s">
        <v>221</v>
      </c>
      <c r="AD998" t="s">
        <v>210</v>
      </c>
      <c r="AE998" t="s">
        <v>183</v>
      </c>
      <c r="AF998">
        <v>0</v>
      </c>
    </row>
    <row r="999" spans="1:32">
      <c r="A999">
        <v>316</v>
      </c>
      <c r="B999">
        <v>919</v>
      </c>
      <c r="C999" t="s">
        <v>874</v>
      </c>
      <c r="D999" t="s">
        <v>1059</v>
      </c>
      <c r="E999" t="s">
        <v>2165</v>
      </c>
      <c r="F999" t="s">
        <v>6</v>
      </c>
      <c r="G999" t="s">
        <v>1202</v>
      </c>
      <c r="H999" t="s">
        <v>212</v>
      </c>
      <c r="I999" t="s">
        <v>221</v>
      </c>
      <c r="J999" t="s">
        <v>187</v>
      </c>
      <c r="K999" t="s">
        <v>876</v>
      </c>
      <c r="L999" s="84">
        <v>41873</v>
      </c>
      <c r="M999" t="s">
        <v>352</v>
      </c>
      <c r="N999" t="s">
        <v>877</v>
      </c>
      <c r="O999">
        <v>2</v>
      </c>
      <c r="P999" t="s">
        <v>878</v>
      </c>
      <c r="Q999" t="s">
        <v>879</v>
      </c>
      <c r="R999" t="s">
        <v>880</v>
      </c>
      <c r="S999" t="s">
        <v>881</v>
      </c>
      <c r="T999" t="s">
        <v>34</v>
      </c>
      <c r="U999" t="s">
        <v>79</v>
      </c>
      <c r="V999">
        <v>33</v>
      </c>
      <c r="W999">
        <v>82</v>
      </c>
      <c r="X999">
        <v>122</v>
      </c>
      <c r="Y999">
        <v>65</v>
      </c>
      <c r="Z999">
        <v>184</v>
      </c>
      <c r="AA999">
        <v>115</v>
      </c>
      <c r="AB999" t="s">
        <v>2564</v>
      </c>
      <c r="AC999" t="s">
        <v>221</v>
      </c>
      <c r="AD999" t="s">
        <v>210</v>
      </c>
      <c r="AE999" t="s">
        <v>183</v>
      </c>
      <c r="AF999">
        <v>0</v>
      </c>
    </row>
    <row r="1000" spans="1:32">
      <c r="A1000">
        <v>316</v>
      </c>
      <c r="B1000">
        <v>919</v>
      </c>
      <c r="C1000" t="s">
        <v>874</v>
      </c>
      <c r="D1000" t="s">
        <v>1059</v>
      </c>
      <c r="E1000" t="s">
        <v>2165</v>
      </c>
      <c r="F1000" t="s">
        <v>7</v>
      </c>
      <c r="G1000" t="s">
        <v>1205</v>
      </c>
      <c r="H1000" t="s">
        <v>171</v>
      </c>
      <c r="I1000" t="s">
        <v>236</v>
      </c>
      <c r="J1000" t="s">
        <v>173</v>
      </c>
      <c r="K1000" t="s">
        <v>876</v>
      </c>
      <c r="L1000" s="84">
        <v>41873</v>
      </c>
      <c r="M1000" t="s">
        <v>352</v>
      </c>
      <c r="N1000" t="s">
        <v>877</v>
      </c>
      <c r="O1000">
        <v>2</v>
      </c>
      <c r="P1000" t="s">
        <v>878</v>
      </c>
      <c r="Q1000" t="s">
        <v>879</v>
      </c>
      <c r="R1000" t="s">
        <v>880</v>
      </c>
      <c r="S1000" t="s">
        <v>881</v>
      </c>
      <c r="T1000" t="s">
        <v>32</v>
      </c>
      <c r="U1000" t="s">
        <v>79</v>
      </c>
      <c r="V1000">
        <v>33</v>
      </c>
      <c r="W1000">
        <v>82</v>
      </c>
      <c r="X1000">
        <v>122</v>
      </c>
      <c r="Y1000">
        <v>65</v>
      </c>
      <c r="Z1000">
        <v>184</v>
      </c>
      <c r="AA1000">
        <v>115</v>
      </c>
      <c r="AB1000" t="s">
        <v>2564</v>
      </c>
      <c r="AC1000" t="s">
        <v>221</v>
      </c>
      <c r="AD1000" t="s">
        <v>210</v>
      </c>
      <c r="AE1000" t="s">
        <v>183</v>
      </c>
      <c r="AF1000">
        <v>0</v>
      </c>
    </row>
    <row r="1001" spans="1:32">
      <c r="A1001">
        <v>316</v>
      </c>
      <c r="B1001">
        <v>919</v>
      </c>
      <c r="C1001" t="s">
        <v>874</v>
      </c>
      <c r="D1001" t="s">
        <v>1059</v>
      </c>
      <c r="E1001" t="s">
        <v>2165</v>
      </c>
      <c r="F1001" t="s">
        <v>8</v>
      </c>
      <c r="G1001" t="s">
        <v>1204</v>
      </c>
      <c r="H1001" t="s">
        <v>173</v>
      </c>
      <c r="I1001" t="s">
        <v>223</v>
      </c>
      <c r="J1001" t="s">
        <v>324</v>
      </c>
      <c r="K1001" t="s">
        <v>876</v>
      </c>
      <c r="L1001" s="84">
        <v>41873</v>
      </c>
      <c r="M1001" t="s">
        <v>352</v>
      </c>
      <c r="N1001" t="s">
        <v>877</v>
      </c>
      <c r="O1001">
        <v>2</v>
      </c>
      <c r="P1001" t="s">
        <v>878</v>
      </c>
      <c r="Q1001" t="s">
        <v>879</v>
      </c>
      <c r="R1001" t="s">
        <v>880</v>
      </c>
      <c r="S1001" t="s">
        <v>881</v>
      </c>
      <c r="T1001" t="s">
        <v>31</v>
      </c>
      <c r="U1001" t="s">
        <v>79</v>
      </c>
      <c r="V1001">
        <v>33</v>
      </c>
      <c r="W1001">
        <v>82</v>
      </c>
      <c r="X1001">
        <v>122</v>
      </c>
      <c r="Y1001">
        <v>65</v>
      </c>
      <c r="Z1001">
        <v>184</v>
      </c>
      <c r="AA1001">
        <v>115</v>
      </c>
      <c r="AB1001" t="s">
        <v>2564</v>
      </c>
      <c r="AC1001" t="s">
        <v>221</v>
      </c>
      <c r="AD1001" t="s">
        <v>210</v>
      </c>
      <c r="AE1001" t="s">
        <v>183</v>
      </c>
      <c r="AF1001">
        <v>0</v>
      </c>
    </row>
    <row r="1002" spans="1:32">
      <c r="A1002">
        <v>316</v>
      </c>
      <c r="B1002">
        <v>919</v>
      </c>
      <c r="C1002" t="s">
        <v>874</v>
      </c>
      <c r="D1002" t="s">
        <v>1059</v>
      </c>
      <c r="E1002" t="s">
        <v>2165</v>
      </c>
      <c r="F1002" t="s">
        <v>5</v>
      </c>
      <c r="G1002" t="s">
        <v>1203</v>
      </c>
      <c r="H1002" t="s">
        <v>185</v>
      </c>
      <c r="I1002" t="s">
        <v>238</v>
      </c>
      <c r="J1002" t="s">
        <v>256</v>
      </c>
      <c r="K1002" t="s">
        <v>876</v>
      </c>
      <c r="L1002" s="84">
        <v>41873</v>
      </c>
      <c r="M1002" t="s">
        <v>352</v>
      </c>
      <c r="N1002" t="s">
        <v>877</v>
      </c>
      <c r="O1002">
        <v>2</v>
      </c>
      <c r="P1002" t="s">
        <v>878</v>
      </c>
      <c r="Q1002" t="s">
        <v>879</v>
      </c>
      <c r="R1002" t="s">
        <v>880</v>
      </c>
      <c r="S1002" t="s">
        <v>881</v>
      </c>
      <c r="T1002" t="s">
        <v>33</v>
      </c>
      <c r="U1002" t="s">
        <v>79</v>
      </c>
      <c r="V1002">
        <v>33</v>
      </c>
      <c r="W1002">
        <v>82</v>
      </c>
      <c r="X1002">
        <v>122</v>
      </c>
      <c r="Y1002">
        <v>65</v>
      </c>
      <c r="Z1002">
        <v>184</v>
      </c>
      <c r="AA1002">
        <v>115</v>
      </c>
      <c r="AB1002" t="s">
        <v>2564</v>
      </c>
      <c r="AC1002" t="s">
        <v>221</v>
      </c>
      <c r="AD1002" t="s">
        <v>210</v>
      </c>
      <c r="AE1002" t="s">
        <v>183</v>
      </c>
      <c r="AF1002">
        <v>0</v>
      </c>
    </row>
    <row r="1003" spans="1:32">
      <c r="A1003">
        <v>317</v>
      </c>
      <c r="B1003">
        <v>953</v>
      </c>
      <c r="C1003" t="s">
        <v>405</v>
      </c>
      <c r="D1003" t="s">
        <v>1059</v>
      </c>
      <c r="E1003" t="s">
        <v>2165</v>
      </c>
      <c r="F1003" t="s">
        <v>5</v>
      </c>
      <c r="G1003" t="s">
        <v>1208</v>
      </c>
      <c r="H1003" t="s">
        <v>275</v>
      </c>
      <c r="I1003" t="s">
        <v>171</v>
      </c>
      <c r="J1003" t="s">
        <v>226</v>
      </c>
      <c r="K1003" t="s">
        <v>408</v>
      </c>
      <c r="L1003" s="84">
        <v>42305</v>
      </c>
      <c r="M1003" t="s">
        <v>175</v>
      </c>
      <c r="N1003" t="s">
        <v>1356</v>
      </c>
      <c r="O1003">
        <v>2</v>
      </c>
      <c r="P1003" t="s">
        <v>409</v>
      </c>
      <c r="Q1003" t="s">
        <v>410</v>
      </c>
      <c r="R1003" t="s">
        <v>411</v>
      </c>
      <c r="S1003" t="s">
        <v>412</v>
      </c>
      <c r="T1003" t="s">
        <v>33</v>
      </c>
      <c r="U1003" t="s">
        <v>79</v>
      </c>
      <c r="V1003">
        <v>62</v>
      </c>
      <c r="W1003">
        <v>82</v>
      </c>
      <c r="X1003">
        <v>122</v>
      </c>
      <c r="Y1003">
        <v>92</v>
      </c>
      <c r="Z1003">
        <v>184</v>
      </c>
      <c r="AA1003">
        <v>130</v>
      </c>
      <c r="AB1003" t="s">
        <v>1069</v>
      </c>
      <c r="AC1003" t="s">
        <v>171</v>
      </c>
      <c r="AD1003" t="s">
        <v>210</v>
      </c>
      <c r="AE1003" t="s">
        <v>183</v>
      </c>
      <c r="AF1003">
        <v>2</v>
      </c>
    </row>
    <row r="1004" spans="1:32">
      <c r="A1004">
        <v>317</v>
      </c>
      <c r="B1004">
        <v>953</v>
      </c>
      <c r="C1004" t="s">
        <v>405</v>
      </c>
      <c r="D1004" t="s">
        <v>1059</v>
      </c>
      <c r="E1004" t="s">
        <v>2165</v>
      </c>
      <c r="F1004" t="s">
        <v>8</v>
      </c>
      <c r="G1004" t="s">
        <v>1207</v>
      </c>
      <c r="H1004" t="s">
        <v>188</v>
      </c>
      <c r="I1004" t="s">
        <v>228</v>
      </c>
      <c r="J1004" t="s">
        <v>181</v>
      </c>
      <c r="K1004" t="s">
        <v>408</v>
      </c>
      <c r="L1004" s="84">
        <v>42305</v>
      </c>
      <c r="M1004" t="s">
        <v>175</v>
      </c>
      <c r="N1004" t="s">
        <v>1356</v>
      </c>
      <c r="O1004">
        <v>2</v>
      </c>
      <c r="P1004" t="s">
        <v>409</v>
      </c>
      <c r="Q1004" t="s">
        <v>410</v>
      </c>
      <c r="R1004" t="s">
        <v>411</v>
      </c>
      <c r="S1004" t="s">
        <v>412</v>
      </c>
      <c r="T1004" t="s">
        <v>31</v>
      </c>
      <c r="U1004" t="s">
        <v>79</v>
      </c>
      <c r="V1004">
        <v>62</v>
      </c>
      <c r="W1004">
        <v>82</v>
      </c>
      <c r="X1004">
        <v>122</v>
      </c>
      <c r="Y1004">
        <v>92</v>
      </c>
      <c r="Z1004">
        <v>184</v>
      </c>
      <c r="AA1004">
        <v>130</v>
      </c>
      <c r="AB1004" t="s">
        <v>1069</v>
      </c>
      <c r="AC1004" t="s">
        <v>171</v>
      </c>
      <c r="AD1004" t="s">
        <v>210</v>
      </c>
      <c r="AE1004" t="s">
        <v>183</v>
      </c>
      <c r="AF1004">
        <v>2</v>
      </c>
    </row>
    <row r="1005" spans="1:32">
      <c r="A1005">
        <v>317</v>
      </c>
      <c r="B1005">
        <v>953</v>
      </c>
      <c r="C1005" t="s">
        <v>405</v>
      </c>
      <c r="D1005" t="s">
        <v>1059</v>
      </c>
      <c r="E1005" t="s">
        <v>2165</v>
      </c>
      <c r="F1005" t="s">
        <v>7</v>
      </c>
      <c r="G1005" t="s">
        <v>1206</v>
      </c>
      <c r="H1005" t="s">
        <v>227</v>
      </c>
      <c r="I1005" t="s">
        <v>187</v>
      </c>
      <c r="J1005" t="s">
        <v>181</v>
      </c>
      <c r="K1005" t="s">
        <v>408</v>
      </c>
      <c r="L1005" s="84">
        <v>42305</v>
      </c>
      <c r="M1005" t="s">
        <v>175</v>
      </c>
      <c r="N1005" t="s">
        <v>1356</v>
      </c>
      <c r="O1005">
        <v>2</v>
      </c>
      <c r="P1005" t="s">
        <v>409</v>
      </c>
      <c r="Q1005" t="s">
        <v>410</v>
      </c>
      <c r="R1005" t="s">
        <v>411</v>
      </c>
      <c r="S1005" t="s">
        <v>412</v>
      </c>
      <c r="T1005" t="s">
        <v>32</v>
      </c>
      <c r="U1005" t="s">
        <v>79</v>
      </c>
      <c r="V1005">
        <v>62</v>
      </c>
      <c r="W1005">
        <v>82</v>
      </c>
      <c r="X1005">
        <v>122</v>
      </c>
      <c r="Y1005">
        <v>92</v>
      </c>
      <c r="Z1005">
        <v>184</v>
      </c>
      <c r="AA1005">
        <v>130</v>
      </c>
      <c r="AB1005" t="s">
        <v>1069</v>
      </c>
      <c r="AC1005" t="s">
        <v>171</v>
      </c>
      <c r="AD1005" t="s">
        <v>210</v>
      </c>
      <c r="AE1005" t="s">
        <v>183</v>
      </c>
      <c r="AF1005">
        <v>2</v>
      </c>
    </row>
    <row r="1006" spans="1:32">
      <c r="A1006">
        <v>317</v>
      </c>
      <c r="B1006">
        <v>953</v>
      </c>
      <c r="C1006" t="s">
        <v>405</v>
      </c>
      <c r="D1006" t="s">
        <v>1059</v>
      </c>
      <c r="E1006" t="s">
        <v>2165</v>
      </c>
      <c r="F1006" t="s">
        <v>6</v>
      </c>
      <c r="G1006" t="s">
        <v>1209</v>
      </c>
      <c r="H1006" t="s">
        <v>376</v>
      </c>
      <c r="I1006" t="s">
        <v>173</v>
      </c>
      <c r="J1006" t="s">
        <v>187</v>
      </c>
      <c r="K1006" t="s">
        <v>408</v>
      </c>
      <c r="L1006" s="84">
        <v>42305</v>
      </c>
      <c r="M1006" t="s">
        <v>175</v>
      </c>
      <c r="N1006" t="s">
        <v>1356</v>
      </c>
      <c r="O1006">
        <v>2</v>
      </c>
      <c r="P1006" t="s">
        <v>409</v>
      </c>
      <c r="Q1006" t="s">
        <v>410</v>
      </c>
      <c r="R1006" t="s">
        <v>411</v>
      </c>
      <c r="S1006" t="s">
        <v>412</v>
      </c>
      <c r="T1006" t="s">
        <v>34</v>
      </c>
      <c r="U1006" t="s">
        <v>79</v>
      </c>
      <c r="V1006">
        <v>62</v>
      </c>
      <c r="W1006">
        <v>82</v>
      </c>
      <c r="X1006">
        <v>122</v>
      </c>
      <c r="Y1006">
        <v>92</v>
      </c>
      <c r="Z1006">
        <v>184</v>
      </c>
      <c r="AA1006">
        <v>130</v>
      </c>
      <c r="AB1006" t="s">
        <v>1069</v>
      </c>
      <c r="AC1006" t="s">
        <v>171</v>
      </c>
      <c r="AD1006" t="s">
        <v>210</v>
      </c>
      <c r="AE1006" t="s">
        <v>183</v>
      </c>
      <c r="AF1006">
        <v>2</v>
      </c>
    </row>
    <row r="1007" spans="1:32">
      <c r="A1007">
        <v>317</v>
      </c>
      <c r="B1007">
        <v>953</v>
      </c>
      <c r="C1007" t="s">
        <v>405</v>
      </c>
      <c r="D1007" t="s">
        <v>1059</v>
      </c>
      <c r="E1007" t="s">
        <v>2165</v>
      </c>
      <c r="F1007" t="s">
        <v>197</v>
      </c>
      <c r="G1007" t="s">
        <v>1212</v>
      </c>
      <c r="H1007" t="s">
        <v>212</v>
      </c>
      <c r="I1007" t="s">
        <v>192</v>
      </c>
      <c r="J1007" t="s">
        <v>192</v>
      </c>
      <c r="K1007" t="s">
        <v>408</v>
      </c>
      <c r="L1007" s="84">
        <v>42305</v>
      </c>
      <c r="M1007" t="s">
        <v>175</v>
      </c>
      <c r="N1007" t="s">
        <v>1356</v>
      </c>
      <c r="O1007">
        <v>2</v>
      </c>
      <c r="P1007" t="s">
        <v>409</v>
      </c>
      <c r="Q1007" t="s">
        <v>410</v>
      </c>
      <c r="R1007" t="s">
        <v>411</v>
      </c>
      <c r="S1007" t="s">
        <v>412</v>
      </c>
      <c r="T1007" t="s">
        <v>38</v>
      </c>
      <c r="U1007" t="s">
        <v>79</v>
      </c>
      <c r="V1007">
        <v>62</v>
      </c>
      <c r="W1007">
        <v>82</v>
      </c>
      <c r="X1007">
        <v>122</v>
      </c>
      <c r="Y1007">
        <v>92</v>
      </c>
      <c r="Z1007">
        <v>184</v>
      </c>
      <c r="AA1007">
        <v>130</v>
      </c>
      <c r="AB1007" t="s">
        <v>1069</v>
      </c>
      <c r="AC1007" t="s">
        <v>171</v>
      </c>
      <c r="AD1007" t="s">
        <v>210</v>
      </c>
      <c r="AE1007" t="s">
        <v>183</v>
      </c>
      <c r="AF1007">
        <v>2</v>
      </c>
    </row>
    <row r="1008" spans="1:32">
      <c r="A1008">
        <v>317</v>
      </c>
      <c r="B1008">
        <v>953</v>
      </c>
      <c r="C1008" t="s">
        <v>405</v>
      </c>
      <c r="D1008" t="s">
        <v>1059</v>
      </c>
      <c r="E1008" t="s">
        <v>2165</v>
      </c>
      <c r="F1008" t="s">
        <v>193</v>
      </c>
      <c r="G1008" t="s">
        <v>1210</v>
      </c>
      <c r="H1008" t="s">
        <v>212</v>
      </c>
      <c r="I1008" t="s">
        <v>212</v>
      </c>
      <c r="J1008" t="s">
        <v>212</v>
      </c>
      <c r="K1008" t="s">
        <v>408</v>
      </c>
      <c r="L1008" s="84">
        <v>42305</v>
      </c>
      <c r="M1008" t="s">
        <v>175</v>
      </c>
      <c r="N1008" t="s">
        <v>1356</v>
      </c>
      <c r="O1008">
        <v>2</v>
      </c>
      <c r="P1008" t="s">
        <v>409</v>
      </c>
      <c r="Q1008" t="s">
        <v>410</v>
      </c>
      <c r="R1008" t="s">
        <v>411</v>
      </c>
      <c r="S1008" t="s">
        <v>412</v>
      </c>
      <c r="T1008" t="s">
        <v>36</v>
      </c>
      <c r="U1008" t="s">
        <v>79</v>
      </c>
      <c r="V1008">
        <v>62</v>
      </c>
      <c r="W1008">
        <v>82</v>
      </c>
      <c r="X1008">
        <v>122</v>
      </c>
      <c r="Y1008">
        <v>92</v>
      </c>
      <c r="Z1008">
        <v>184</v>
      </c>
      <c r="AA1008">
        <v>130</v>
      </c>
      <c r="AB1008" t="s">
        <v>1069</v>
      </c>
      <c r="AC1008" t="s">
        <v>171</v>
      </c>
      <c r="AD1008" t="s">
        <v>210</v>
      </c>
      <c r="AE1008" t="s">
        <v>183</v>
      </c>
      <c r="AF1008">
        <v>2</v>
      </c>
    </row>
    <row r="1009" spans="1:32">
      <c r="A1009">
        <v>317</v>
      </c>
      <c r="B1009">
        <v>953</v>
      </c>
      <c r="C1009" t="s">
        <v>405</v>
      </c>
      <c r="D1009" t="s">
        <v>1059</v>
      </c>
      <c r="E1009" t="s">
        <v>2165</v>
      </c>
      <c r="F1009" t="s">
        <v>37</v>
      </c>
      <c r="G1009" t="s">
        <v>1211</v>
      </c>
      <c r="H1009" t="s">
        <v>1701</v>
      </c>
      <c r="I1009" t="s">
        <v>212</v>
      </c>
      <c r="J1009" t="s">
        <v>192</v>
      </c>
      <c r="K1009" t="s">
        <v>408</v>
      </c>
      <c r="L1009" s="84">
        <v>42305</v>
      </c>
      <c r="M1009" t="s">
        <v>175</v>
      </c>
      <c r="N1009" t="s">
        <v>1356</v>
      </c>
      <c r="O1009">
        <v>2</v>
      </c>
      <c r="P1009" t="s">
        <v>409</v>
      </c>
      <c r="Q1009" t="s">
        <v>410</v>
      </c>
      <c r="R1009" t="s">
        <v>411</v>
      </c>
      <c r="S1009" t="s">
        <v>412</v>
      </c>
      <c r="T1009" t="s">
        <v>37</v>
      </c>
      <c r="U1009" t="s">
        <v>79</v>
      </c>
      <c r="V1009">
        <v>62</v>
      </c>
      <c r="W1009">
        <v>82</v>
      </c>
      <c r="X1009">
        <v>122</v>
      </c>
      <c r="Y1009">
        <v>92</v>
      </c>
      <c r="Z1009">
        <v>184</v>
      </c>
      <c r="AA1009">
        <v>130</v>
      </c>
      <c r="AB1009" t="s">
        <v>1069</v>
      </c>
      <c r="AC1009" t="s">
        <v>171</v>
      </c>
      <c r="AD1009" t="s">
        <v>210</v>
      </c>
      <c r="AE1009" t="s">
        <v>183</v>
      </c>
      <c r="AF1009">
        <v>2</v>
      </c>
    </row>
    <row r="1010" spans="1:32">
      <c r="A1010">
        <v>318</v>
      </c>
      <c r="B1010">
        <v>1053</v>
      </c>
      <c r="C1010" t="s">
        <v>1901</v>
      </c>
      <c r="D1010" t="s">
        <v>1059</v>
      </c>
      <c r="E1010" t="s">
        <v>2165</v>
      </c>
      <c r="F1010" t="s">
        <v>37</v>
      </c>
      <c r="G1010" t="s">
        <v>1214</v>
      </c>
      <c r="H1010" t="s">
        <v>1701</v>
      </c>
      <c r="I1010" t="s">
        <v>212</v>
      </c>
      <c r="J1010" t="s">
        <v>192</v>
      </c>
      <c r="K1010" t="s">
        <v>1902</v>
      </c>
      <c r="L1010" s="84">
        <v>42276</v>
      </c>
      <c r="M1010" t="s">
        <v>381</v>
      </c>
      <c r="N1010" t="s">
        <v>1903</v>
      </c>
      <c r="O1010">
        <v>3</v>
      </c>
      <c r="P1010" t="s">
        <v>1904</v>
      </c>
      <c r="Q1010" t="s">
        <v>1905</v>
      </c>
      <c r="R1010" t="s">
        <v>2058</v>
      </c>
      <c r="S1010" t="s">
        <v>2059</v>
      </c>
      <c r="T1010" t="s">
        <v>37</v>
      </c>
      <c r="U1010" t="s">
        <v>80</v>
      </c>
      <c r="V1010">
        <v>71</v>
      </c>
      <c r="W1010">
        <v>82</v>
      </c>
      <c r="X1010">
        <v>122</v>
      </c>
      <c r="Y1010">
        <v>109</v>
      </c>
      <c r="Z1010">
        <v>184</v>
      </c>
      <c r="AA1010">
        <v>157</v>
      </c>
      <c r="AB1010" t="s">
        <v>2514</v>
      </c>
      <c r="AC1010" t="s">
        <v>237</v>
      </c>
      <c r="AD1010" t="s">
        <v>272</v>
      </c>
      <c r="AE1010" t="s">
        <v>183</v>
      </c>
      <c r="AF1010">
        <v>0</v>
      </c>
    </row>
    <row r="1011" spans="1:32">
      <c r="A1011">
        <v>318</v>
      </c>
      <c r="B1011">
        <v>1053</v>
      </c>
      <c r="C1011" t="s">
        <v>1901</v>
      </c>
      <c r="D1011" t="s">
        <v>1059</v>
      </c>
      <c r="E1011" t="s">
        <v>2165</v>
      </c>
      <c r="F1011" t="s">
        <v>193</v>
      </c>
      <c r="G1011" t="s">
        <v>1215</v>
      </c>
      <c r="H1011" t="s">
        <v>212</v>
      </c>
      <c r="I1011" t="s">
        <v>212</v>
      </c>
      <c r="J1011" t="s">
        <v>192</v>
      </c>
      <c r="K1011" t="s">
        <v>1902</v>
      </c>
      <c r="L1011" s="84">
        <v>42276</v>
      </c>
      <c r="M1011" t="s">
        <v>381</v>
      </c>
      <c r="N1011" t="s">
        <v>1903</v>
      </c>
      <c r="O1011">
        <v>3</v>
      </c>
      <c r="P1011" t="s">
        <v>1904</v>
      </c>
      <c r="Q1011" t="s">
        <v>1905</v>
      </c>
      <c r="R1011" t="s">
        <v>2058</v>
      </c>
      <c r="S1011" t="s">
        <v>2059</v>
      </c>
      <c r="T1011" t="s">
        <v>36</v>
      </c>
      <c r="U1011" t="s">
        <v>80</v>
      </c>
      <c r="V1011">
        <v>71</v>
      </c>
      <c r="W1011">
        <v>82</v>
      </c>
      <c r="X1011">
        <v>122</v>
      </c>
      <c r="Y1011">
        <v>109</v>
      </c>
      <c r="Z1011">
        <v>184</v>
      </c>
      <c r="AA1011">
        <v>157</v>
      </c>
      <c r="AB1011" t="s">
        <v>2514</v>
      </c>
      <c r="AC1011" t="s">
        <v>237</v>
      </c>
      <c r="AD1011" t="s">
        <v>272</v>
      </c>
      <c r="AE1011" t="s">
        <v>183</v>
      </c>
      <c r="AF1011">
        <v>0</v>
      </c>
    </row>
    <row r="1012" spans="1:32">
      <c r="A1012">
        <v>318</v>
      </c>
      <c r="B1012">
        <v>1053</v>
      </c>
      <c r="C1012" t="s">
        <v>1901</v>
      </c>
      <c r="D1012" t="s">
        <v>1059</v>
      </c>
      <c r="E1012" t="s">
        <v>2165</v>
      </c>
      <c r="F1012" t="s">
        <v>197</v>
      </c>
      <c r="G1012" t="s">
        <v>1213</v>
      </c>
      <c r="H1012" t="s">
        <v>192</v>
      </c>
      <c r="I1012" t="s">
        <v>192</v>
      </c>
      <c r="J1012" t="s">
        <v>212</v>
      </c>
      <c r="K1012" t="s">
        <v>1902</v>
      </c>
      <c r="L1012" s="84">
        <v>42276</v>
      </c>
      <c r="M1012" t="s">
        <v>381</v>
      </c>
      <c r="N1012" t="s">
        <v>1903</v>
      </c>
      <c r="O1012">
        <v>3</v>
      </c>
      <c r="P1012" t="s">
        <v>1904</v>
      </c>
      <c r="Q1012" t="s">
        <v>1905</v>
      </c>
      <c r="R1012" t="s">
        <v>2058</v>
      </c>
      <c r="S1012" t="s">
        <v>2059</v>
      </c>
      <c r="T1012" t="s">
        <v>38</v>
      </c>
      <c r="U1012" t="s">
        <v>80</v>
      </c>
      <c r="V1012">
        <v>71</v>
      </c>
      <c r="W1012">
        <v>82</v>
      </c>
      <c r="X1012">
        <v>122</v>
      </c>
      <c r="Y1012">
        <v>109</v>
      </c>
      <c r="Z1012">
        <v>184</v>
      </c>
      <c r="AA1012">
        <v>157</v>
      </c>
      <c r="AB1012" t="s">
        <v>2514</v>
      </c>
      <c r="AC1012" t="s">
        <v>237</v>
      </c>
      <c r="AD1012" t="s">
        <v>272</v>
      </c>
      <c r="AE1012" t="s">
        <v>183</v>
      </c>
      <c r="AF1012">
        <v>0</v>
      </c>
    </row>
    <row r="1013" spans="1:32">
      <c r="A1013">
        <v>318</v>
      </c>
      <c r="B1013">
        <v>1053</v>
      </c>
      <c r="C1013" t="s">
        <v>1901</v>
      </c>
      <c r="D1013" t="s">
        <v>1059</v>
      </c>
      <c r="E1013" t="s">
        <v>2165</v>
      </c>
      <c r="F1013" t="s">
        <v>6</v>
      </c>
      <c r="G1013" t="s">
        <v>1216</v>
      </c>
      <c r="H1013" t="s">
        <v>226</v>
      </c>
      <c r="I1013" t="s">
        <v>185</v>
      </c>
      <c r="J1013" t="s">
        <v>173</v>
      </c>
      <c r="K1013" t="s">
        <v>1902</v>
      </c>
      <c r="L1013" s="84">
        <v>42276</v>
      </c>
      <c r="M1013" t="s">
        <v>381</v>
      </c>
      <c r="N1013" t="s">
        <v>1903</v>
      </c>
      <c r="O1013">
        <v>3</v>
      </c>
      <c r="P1013" t="s">
        <v>1904</v>
      </c>
      <c r="Q1013" t="s">
        <v>1905</v>
      </c>
      <c r="R1013" t="s">
        <v>2058</v>
      </c>
      <c r="S1013" t="s">
        <v>2059</v>
      </c>
      <c r="T1013" t="s">
        <v>34</v>
      </c>
      <c r="U1013" t="s">
        <v>80</v>
      </c>
      <c r="V1013">
        <v>71</v>
      </c>
      <c r="W1013">
        <v>82</v>
      </c>
      <c r="X1013">
        <v>122</v>
      </c>
      <c r="Y1013">
        <v>109</v>
      </c>
      <c r="Z1013">
        <v>184</v>
      </c>
      <c r="AA1013">
        <v>157</v>
      </c>
      <c r="AB1013" t="s">
        <v>2514</v>
      </c>
      <c r="AC1013" t="s">
        <v>237</v>
      </c>
      <c r="AD1013" t="s">
        <v>272</v>
      </c>
      <c r="AE1013" t="s">
        <v>183</v>
      </c>
      <c r="AF1013">
        <v>0</v>
      </c>
    </row>
    <row r="1014" spans="1:32">
      <c r="A1014">
        <v>318</v>
      </c>
      <c r="B1014">
        <v>1053</v>
      </c>
      <c r="C1014" t="s">
        <v>1901</v>
      </c>
      <c r="D1014" t="s">
        <v>1059</v>
      </c>
      <c r="E1014" t="s">
        <v>2165</v>
      </c>
      <c r="F1014" t="s">
        <v>7</v>
      </c>
      <c r="G1014" t="s">
        <v>1219</v>
      </c>
      <c r="H1014" t="s">
        <v>259</v>
      </c>
      <c r="I1014" t="s">
        <v>239</v>
      </c>
      <c r="J1014" t="s">
        <v>260</v>
      </c>
      <c r="K1014" t="s">
        <v>1902</v>
      </c>
      <c r="L1014" s="84">
        <v>42276</v>
      </c>
      <c r="M1014" t="s">
        <v>381</v>
      </c>
      <c r="N1014" t="s">
        <v>1903</v>
      </c>
      <c r="O1014">
        <v>3</v>
      </c>
      <c r="P1014" t="s">
        <v>1904</v>
      </c>
      <c r="Q1014" t="s">
        <v>1905</v>
      </c>
      <c r="R1014" t="s">
        <v>2058</v>
      </c>
      <c r="S1014" t="s">
        <v>2059</v>
      </c>
      <c r="T1014" t="s">
        <v>32</v>
      </c>
      <c r="U1014" t="s">
        <v>80</v>
      </c>
      <c r="V1014">
        <v>71</v>
      </c>
      <c r="W1014">
        <v>82</v>
      </c>
      <c r="X1014">
        <v>122</v>
      </c>
      <c r="Y1014">
        <v>109</v>
      </c>
      <c r="Z1014">
        <v>184</v>
      </c>
      <c r="AA1014">
        <v>157</v>
      </c>
      <c r="AB1014" t="s">
        <v>2514</v>
      </c>
      <c r="AC1014" t="s">
        <v>237</v>
      </c>
      <c r="AD1014" t="s">
        <v>272</v>
      </c>
      <c r="AE1014" t="s">
        <v>183</v>
      </c>
      <c r="AF1014">
        <v>0</v>
      </c>
    </row>
    <row r="1015" spans="1:32">
      <c r="A1015">
        <v>318</v>
      </c>
      <c r="B1015">
        <v>1053</v>
      </c>
      <c r="C1015" t="s">
        <v>1901</v>
      </c>
      <c r="D1015" t="s">
        <v>1059</v>
      </c>
      <c r="E1015" t="s">
        <v>2165</v>
      </c>
      <c r="F1015" t="s">
        <v>8</v>
      </c>
      <c r="G1015" t="s">
        <v>1218</v>
      </c>
      <c r="H1015" t="s">
        <v>185</v>
      </c>
      <c r="I1015" t="s">
        <v>191</v>
      </c>
      <c r="J1015" t="s">
        <v>212</v>
      </c>
      <c r="K1015" t="s">
        <v>1902</v>
      </c>
      <c r="L1015" s="84">
        <v>42276</v>
      </c>
      <c r="M1015" t="s">
        <v>381</v>
      </c>
      <c r="N1015" t="s">
        <v>1903</v>
      </c>
      <c r="O1015">
        <v>3</v>
      </c>
      <c r="P1015" t="s">
        <v>1904</v>
      </c>
      <c r="Q1015" t="s">
        <v>1905</v>
      </c>
      <c r="R1015" t="s">
        <v>2058</v>
      </c>
      <c r="S1015" t="s">
        <v>2059</v>
      </c>
      <c r="T1015" t="s">
        <v>31</v>
      </c>
      <c r="U1015" t="s">
        <v>80</v>
      </c>
      <c r="V1015">
        <v>71</v>
      </c>
      <c r="W1015">
        <v>82</v>
      </c>
      <c r="X1015">
        <v>122</v>
      </c>
      <c r="Y1015">
        <v>109</v>
      </c>
      <c r="Z1015">
        <v>184</v>
      </c>
      <c r="AA1015">
        <v>157</v>
      </c>
      <c r="AB1015" t="s">
        <v>2514</v>
      </c>
      <c r="AC1015" t="s">
        <v>237</v>
      </c>
      <c r="AD1015" t="s">
        <v>272</v>
      </c>
      <c r="AE1015" t="s">
        <v>183</v>
      </c>
      <c r="AF1015">
        <v>0</v>
      </c>
    </row>
    <row r="1016" spans="1:32">
      <c r="A1016">
        <v>318</v>
      </c>
      <c r="B1016">
        <v>1053</v>
      </c>
      <c r="C1016" t="s">
        <v>1901</v>
      </c>
      <c r="D1016" t="s">
        <v>1059</v>
      </c>
      <c r="E1016" t="s">
        <v>2165</v>
      </c>
      <c r="F1016" t="s">
        <v>5</v>
      </c>
      <c r="G1016" t="s">
        <v>1217</v>
      </c>
      <c r="H1016" t="s">
        <v>239</v>
      </c>
      <c r="I1016" t="s">
        <v>256</v>
      </c>
      <c r="J1016" t="s">
        <v>185</v>
      </c>
      <c r="K1016" t="s">
        <v>1902</v>
      </c>
      <c r="L1016" s="84">
        <v>42276</v>
      </c>
      <c r="M1016" t="s">
        <v>381</v>
      </c>
      <c r="N1016" t="s">
        <v>1903</v>
      </c>
      <c r="O1016">
        <v>3</v>
      </c>
      <c r="P1016" t="s">
        <v>1904</v>
      </c>
      <c r="Q1016" t="s">
        <v>1905</v>
      </c>
      <c r="R1016" t="s">
        <v>2058</v>
      </c>
      <c r="S1016" t="s">
        <v>2059</v>
      </c>
      <c r="T1016" t="s">
        <v>33</v>
      </c>
      <c r="U1016" t="s">
        <v>80</v>
      </c>
      <c r="V1016">
        <v>71</v>
      </c>
      <c r="W1016">
        <v>82</v>
      </c>
      <c r="X1016">
        <v>122</v>
      </c>
      <c r="Y1016">
        <v>109</v>
      </c>
      <c r="Z1016">
        <v>184</v>
      </c>
      <c r="AA1016">
        <v>157</v>
      </c>
      <c r="AB1016" t="s">
        <v>2514</v>
      </c>
      <c r="AC1016" t="s">
        <v>237</v>
      </c>
      <c r="AD1016" t="s">
        <v>272</v>
      </c>
      <c r="AE1016" t="s">
        <v>183</v>
      </c>
      <c r="AF1016">
        <v>0</v>
      </c>
    </row>
    <row r="1017" spans="1:32">
      <c r="A1017">
        <v>319</v>
      </c>
      <c r="B1017">
        <v>899</v>
      </c>
      <c r="C1017" t="s">
        <v>735</v>
      </c>
      <c r="D1017" t="s">
        <v>1059</v>
      </c>
      <c r="E1017" t="s">
        <v>2165</v>
      </c>
      <c r="F1017" t="s">
        <v>5</v>
      </c>
      <c r="G1017" t="s">
        <v>1222</v>
      </c>
      <c r="H1017" t="s">
        <v>256</v>
      </c>
      <c r="I1017" t="s">
        <v>212</v>
      </c>
      <c r="J1017" t="s">
        <v>212</v>
      </c>
      <c r="K1017" t="s">
        <v>736</v>
      </c>
      <c r="L1017" s="84">
        <v>42387</v>
      </c>
      <c r="M1017" t="s">
        <v>381</v>
      </c>
      <c r="N1017" t="s">
        <v>1370</v>
      </c>
      <c r="O1017">
        <v>2</v>
      </c>
      <c r="P1017" t="s">
        <v>737</v>
      </c>
      <c r="Q1017" t="s">
        <v>1371</v>
      </c>
      <c r="R1017" t="s">
        <v>738</v>
      </c>
      <c r="S1017" t="s">
        <v>739</v>
      </c>
      <c r="T1017" t="s">
        <v>33</v>
      </c>
      <c r="U1017" t="s">
        <v>79</v>
      </c>
      <c r="V1017">
        <v>43</v>
      </c>
      <c r="W1017">
        <v>82</v>
      </c>
      <c r="X1017">
        <v>122</v>
      </c>
      <c r="Y1017">
        <v>67</v>
      </c>
      <c r="Z1017">
        <v>184</v>
      </c>
      <c r="AA1017">
        <v>119</v>
      </c>
      <c r="AB1017" t="s">
        <v>882</v>
      </c>
      <c r="AC1017" t="s">
        <v>2565</v>
      </c>
      <c r="AD1017" t="s">
        <v>210</v>
      </c>
      <c r="AE1017" t="s">
        <v>183</v>
      </c>
      <c r="AF1017">
        <v>2</v>
      </c>
    </row>
    <row r="1018" spans="1:32">
      <c r="A1018">
        <v>319</v>
      </c>
      <c r="B1018">
        <v>899</v>
      </c>
      <c r="C1018" t="s">
        <v>735</v>
      </c>
      <c r="D1018" t="s">
        <v>1059</v>
      </c>
      <c r="E1018" t="s">
        <v>2165</v>
      </c>
      <c r="F1018" t="s">
        <v>8</v>
      </c>
      <c r="G1018" t="s">
        <v>1221</v>
      </c>
      <c r="H1018" t="s">
        <v>228</v>
      </c>
      <c r="I1018" t="s">
        <v>192</v>
      </c>
      <c r="J1018" t="s">
        <v>191</v>
      </c>
      <c r="K1018" t="s">
        <v>736</v>
      </c>
      <c r="L1018" s="84">
        <v>42387</v>
      </c>
      <c r="M1018" t="s">
        <v>381</v>
      </c>
      <c r="N1018" t="s">
        <v>1370</v>
      </c>
      <c r="O1018">
        <v>2</v>
      </c>
      <c r="P1018" t="s">
        <v>737</v>
      </c>
      <c r="Q1018" t="s">
        <v>1371</v>
      </c>
      <c r="R1018" t="s">
        <v>738</v>
      </c>
      <c r="S1018" t="s">
        <v>739</v>
      </c>
      <c r="T1018" t="s">
        <v>31</v>
      </c>
      <c r="U1018" t="s">
        <v>79</v>
      </c>
      <c r="V1018">
        <v>43</v>
      </c>
      <c r="W1018">
        <v>82</v>
      </c>
      <c r="X1018">
        <v>122</v>
      </c>
      <c r="Y1018">
        <v>67</v>
      </c>
      <c r="Z1018">
        <v>184</v>
      </c>
      <c r="AA1018">
        <v>119</v>
      </c>
      <c r="AB1018" t="s">
        <v>882</v>
      </c>
      <c r="AC1018" t="s">
        <v>2565</v>
      </c>
      <c r="AD1018" t="s">
        <v>210</v>
      </c>
      <c r="AE1018" t="s">
        <v>183</v>
      </c>
      <c r="AF1018">
        <v>2</v>
      </c>
    </row>
    <row r="1019" spans="1:32">
      <c r="A1019">
        <v>319</v>
      </c>
      <c r="B1019">
        <v>899</v>
      </c>
      <c r="C1019" t="s">
        <v>735</v>
      </c>
      <c r="D1019" t="s">
        <v>1059</v>
      </c>
      <c r="E1019" t="s">
        <v>2165</v>
      </c>
      <c r="F1019" t="s">
        <v>7</v>
      </c>
      <c r="G1019" t="s">
        <v>1220</v>
      </c>
      <c r="H1019" t="s">
        <v>187</v>
      </c>
      <c r="I1019" t="s">
        <v>173</v>
      </c>
      <c r="J1019" t="s">
        <v>374</v>
      </c>
      <c r="K1019" t="s">
        <v>736</v>
      </c>
      <c r="L1019" s="84">
        <v>42387</v>
      </c>
      <c r="M1019" t="s">
        <v>381</v>
      </c>
      <c r="N1019" t="s">
        <v>1370</v>
      </c>
      <c r="O1019">
        <v>2</v>
      </c>
      <c r="P1019" t="s">
        <v>737</v>
      </c>
      <c r="Q1019" t="s">
        <v>1371</v>
      </c>
      <c r="R1019" t="s">
        <v>738</v>
      </c>
      <c r="S1019" t="s">
        <v>739</v>
      </c>
      <c r="T1019" t="s">
        <v>32</v>
      </c>
      <c r="U1019" t="s">
        <v>79</v>
      </c>
      <c r="V1019">
        <v>43</v>
      </c>
      <c r="W1019">
        <v>82</v>
      </c>
      <c r="X1019">
        <v>122</v>
      </c>
      <c r="Y1019">
        <v>67</v>
      </c>
      <c r="Z1019">
        <v>184</v>
      </c>
      <c r="AA1019">
        <v>119</v>
      </c>
      <c r="AB1019" t="s">
        <v>882</v>
      </c>
      <c r="AC1019" t="s">
        <v>2565</v>
      </c>
      <c r="AD1019" t="s">
        <v>210</v>
      </c>
      <c r="AE1019" t="s">
        <v>183</v>
      </c>
      <c r="AF1019">
        <v>2</v>
      </c>
    </row>
    <row r="1020" spans="1:32">
      <c r="A1020">
        <v>319</v>
      </c>
      <c r="B1020">
        <v>899</v>
      </c>
      <c r="C1020" t="s">
        <v>735</v>
      </c>
      <c r="D1020" t="s">
        <v>1059</v>
      </c>
      <c r="E1020" t="s">
        <v>2165</v>
      </c>
      <c r="F1020" t="s">
        <v>6</v>
      </c>
      <c r="G1020" t="s">
        <v>1223</v>
      </c>
      <c r="H1020" t="s">
        <v>324</v>
      </c>
      <c r="I1020" t="s">
        <v>243</v>
      </c>
      <c r="J1020" t="s">
        <v>188</v>
      </c>
      <c r="K1020" t="s">
        <v>736</v>
      </c>
      <c r="L1020" s="84">
        <v>42387</v>
      </c>
      <c r="M1020" t="s">
        <v>381</v>
      </c>
      <c r="N1020" t="s">
        <v>1370</v>
      </c>
      <c r="O1020">
        <v>2</v>
      </c>
      <c r="P1020" t="s">
        <v>737</v>
      </c>
      <c r="Q1020" t="s">
        <v>1371</v>
      </c>
      <c r="R1020" t="s">
        <v>738</v>
      </c>
      <c r="S1020" t="s">
        <v>739</v>
      </c>
      <c r="T1020" t="s">
        <v>34</v>
      </c>
      <c r="U1020" t="s">
        <v>79</v>
      </c>
      <c r="V1020">
        <v>43</v>
      </c>
      <c r="W1020">
        <v>82</v>
      </c>
      <c r="X1020">
        <v>122</v>
      </c>
      <c r="Y1020">
        <v>67</v>
      </c>
      <c r="Z1020">
        <v>184</v>
      </c>
      <c r="AA1020">
        <v>119</v>
      </c>
      <c r="AB1020" t="s">
        <v>882</v>
      </c>
      <c r="AC1020" t="s">
        <v>2565</v>
      </c>
      <c r="AD1020" t="s">
        <v>210</v>
      </c>
      <c r="AE1020" t="s">
        <v>183</v>
      </c>
      <c r="AF1020">
        <v>2</v>
      </c>
    </row>
    <row r="1021" spans="1:32">
      <c r="A1021">
        <v>319</v>
      </c>
      <c r="B1021">
        <v>899</v>
      </c>
      <c r="C1021" t="s">
        <v>735</v>
      </c>
      <c r="D1021" t="s">
        <v>1059</v>
      </c>
      <c r="E1021" t="s">
        <v>2165</v>
      </c>
      <c r="F1021" t="s">
        <v>197</v>
      </c>
      <c r="G1021" t="s">
        <v>1226</v>
      </c>
      <c r="H1021" t="s">
        <v>188</v>
      </c>
      <c r="I1021" t="s">
        <v>192</v>
      </c>
      <c r="J1021" t="s">
        <v>212</v>
      </c>
      <c r="K1021" t="s">
        <v>736</v>
      </c>
      <c r="L1021" s="84">
        <v>42387</v>
      </c>
      <c r="M1021" t="s">
        <v>381</v>
      </c>
      <c r="N1021" t="s">
        <v>1370</v>
      </c>
      <c r="O1021">
        <v>2</v>
      </c>
      <c r="P1021" t="s">
        <v>737</v>
      </c>
      <c r="Q1021" t="s">
        <v>1371</v>
      </c>
      <c r="R1021" t="s">
        <v>738</v>
      </c>
      <c r="S1021" t="s">
        <v>739</v>
      </c>
      <c r="T1021" t="s">
        <v>38</v>
      </c>
      <c r="U1021" t="s">
        <v>79</v>
      </c>
      <c r="V1021">
        <v>43</v>
      </c>
      <c r="W1021">
        <v>82</v>
      </c>
      <c r="X1021">
        <v>122</v>
      </c>
      <c r="Y1021">
        <v>67</v>
      </c>
      <c r="Z1021">
        <v>184</v>
      </c>
      <c r="AA1021">
        <v>119</v>
      </c>
      <c r="AB1021" t="s">
        <v>882</v>
      </c>
      <c r="AC1021" t="s">
        <v>2565</v>
      </c>
      <c r="AD1021" t="s">
        <v>210</v>
      </c>
      <c r="AE1021" t="s">
        <v>183</v>
      </c>
      <c r="AF1021">
        <v>2</v>
      </c>
    </row>
    <row r="1022" spans="1:32">
      <c r="A1022">
        <v>319</v>
      </c>
      <c r="B1022">
        <v>899</v>
      </c>
      <c r="C1022" t="s">
        <v>735</v>
      </c>
      <c r="D1022" t="s">
        <v>1059</v>
      </c>
      <c r="E1022" t="s">
        <v>2165</v>
      </c>
      <c r="F1022" t="s">
        <v>193</v>
      </c>
      <c r="G1022" t="s">
        <v>1224</v>
      </c>
      <c r="H1022" t="s">
        <v>223</v>
      </c>
      <c r="I1022" t="s">
        <v>212</v>
      </c>
      <c r="J1022" t="s">
        <v>212</v>
      </c>
      <c r="K1022" t="s">
        <v>736</v>
      </c>
      <c r="L1022" s="84">
        <v>42387</v>
      </c>
      <c r="M1022" t="s">
        <v>381</v>
      </c>
      <c r="N1022" t="s">
        <v>1370</v>
      </c>
      <c r="O1022">
        <v>2</v>
      </c>
      <c r="P1022" t="s">
        <v>737</v>
      </c>
      <c r="Q1022" t="s">
        <v>1371</v>
      </c>
      <c r="R1022" t="s">
        <v>738</v>
      </c>
      <c r="S1022" t="s">
        <v>739</v>
      </c>
      <c r="T1022" t="s">
        <v>36</v>
      </c>
      <c r="U1022" t="s">
        <v>79</v>
      </c>
      <c r="V1022">
        <v>43</v>
      </c>
      <c r="W1022">
        <v>82</v>
      </c>
      <c r="X1022">
        <v>122</v>
      </c>
      <c r="Y1022">
        <v>67</v>
      </c>
      <c r="Z1022">
        <v>184</v>
      </c>
      <c r="AA1022">
        <v>119</v>
      </c>
      <c r="AB1022" t="s">
        <v>882</v>
      </c>
      <c r="AC1022" t="s">
        <v>2565</v>
      </c>
      <c r="AD1022" t="s">
        <v>210</v>
      </c>
      <c r="AE1022" t="s">
        <v>183</v>
      </c>
      <c r="AF1022">
        <v>2</v>
      </c>
    </row>
    <row r="1023" spans="1:32">
      <c r="A1023">
        <v>319</v>
      </c>
      <c r="B1023">
        <v>899</v>
      </c>
      <c r="C1023" t="s">
        <v>735</v>
      </c>
      <c r="D1023" t="s">
        <v>1059</v>
      </c>
      <c r="E1023" t="s">
        <v>2165</v>
      </c>
      <c r="F1023" t="s">
        <v>37</v>
      </c>
      <c r="G1023" t="s">
        <v>1225</v>
      </c>
      <c r="H1023" t="s">
        <v>1701</v>
      </c>
      <c r="I1023" t="s">
        <v>212</v>
      </c>
      <c r="J1023" t="s">
        <v>192</v>
      </c>
      <c r="K1023" t="s">
        <v>736</v>
      </c>
      <c r="L1023" s="84">
        <v>42387</v>
      </c>
      <c r="M1023" t="s">
        <v>381</v>
      </c>
      <c r="N1023" t="s">
        <v>1370</v>
      </c>
      <c r="O1023">
        <v>2</v>
      </c>
      <c r="P1023" t="s">
        <v>737</v>
      </c>
      <c r="Q1023" t="s">
        <v>1371</v>
      </c>
      <c r="R1023" t="s">
        <v>738</v>
      </c>
      <c r="S1023" t="s">
        <v>739</v>
      </c>
      <c r="T1023" t="s">
        <v>37</v>
      </c>
      <c r="U1023" t="s">
        <v>79</v>
      </c>
      <c r="V1023">
        <v>43</v>
      </c>
      <c r="W1023">
        <v>82</v>
      </c>
      <c r="X1023">
        <v>122</v>
      </c>
      <c r="Y1023">
        <v>67</v>
      </c>
      <c r="Z1023">
        <v>184</v>
      </c>
      <c r="AA1023">
        <v>119</v>
      </c>
      <c r="AB1023" t="s">
        <v>882</v>
      </c>
      <c r="AC1023" t="s">
        <v>2565</v>
      </c>
      <c r="AD1023" t="s">
        <v>210</v>
      </c>
      <c r="AE1023" t="s">
        <v>183</v>
      </c>
      <c r="AF1023">
        <v>2</v>
      </c>
    </row>
    <row r="1024" spans="1:32">
      <c r="A1024">
        <v>320</v>
      </c>
      <c r="B1024">
        <v>791</v>
      </c>
      <c r="C1024" t="s">
        <v>441</v>
      </c>
      <c r="D1024" t="s">
        <v>1059</v>
      </c>
      <c r="E1024" t="s">
        <v>2165</v>
      </c>
      <c r="F1024" t="s">
        <v>37</v>
      </c>
      <c r="G1024" t="s">
        <v>1228</v>
      </c>
      <c r="H1024" t="s">
        <v>1701</v>
      </c>
      <c r="I1024" t="s">
        <v>212</v>
      </c>
      <c r="J1024" t="s">
        <v>192</v>
      </c>
      <c r="K1024" t="s">
        <v>443</v>
      </c>
      <c r="L1024" s="84">
        <v>42637</v>
      </c>
      <c r="M1024" t="s">
        <v>352</v>
      </c>
      <c r="N1024" t="s">
        <v>1358</v>
      </c>
      <c r="O1024">
        <v>2</v>
      </c>
      <c r="P1024" t="s">
        <v>444</v>
      </c>
      <c r="Q1024" t="s">
        <v>445</v>
      </c>
      <c r="R1024" t="s">
        <v>446</v>
      </c>
      <c r="S1024" t="s">
        <v>447</v>
      </c>
      <c r="T1024" t="s">
        <v>37</v>
      </c>
      <c r="U1024" t="s">
        <v>79</v>
      </c>
      <c r="V1024">
        <v>57</v>
      </c>
      <c r="W1024">
        <v>82</v>
      </c>
      <c r="X1024">
        <v>122</v>
      </c>
      <c r="Y1024">
        <v>86</v>
      </c>
      <c r="Z1024">
        <v>184</v>
      </c>
      <c r="AA1024">
        <v>128</v>
      </c>
      <c r="AB1024" t="s">
        <v>2106</v>
      </c>
      <c r="AC1024" t="s">
        <v>171</v>
      </c>
      <c r="AD1024" t="s">
        <v>210</v>
      </c>
      <c r="AE1024" t="s">
        <v>183</v>
      </c>
      <c r="AF1024">
        <v>0</v>
      </c>
    </row>
    <row r="1025" spans="1:32">
      <c r="A1025">
        <v>320</v>
      </c>
      <c r="B1025">
        <v>791</v>
      </c>
      <c r="C1025" t="s">
        <v>441</v>
      </c>
      <c r="D1025" t="s">
        <v>1059</v>
      </c>
      <c r="E1025" t="s">
        <v>2165</v>
      </c>
      <c r="F1025" t="s">
        <v>193</v>
      </c>
      <c r="G1025" t="s">
        <v>1229</v>
      </c>
      <c r="H1025" t="s">
        <v>192</v>
      </c>
      <c r="I1025" t="s">
        <v>212</v>
      </c>
      <c r="J1025" t="s">
        <v>212</v>
      </c>
      <c r="K1025" t="s">
        <v>443</v>
      </c>
      <c r="L1025" s="84">
        <v>42637</v>
      </c>
      <c r="M1025" t="s">
        <v>352</v>
      </c>
      <c r="N1025" t="s">
        <v>1358</v>
      </c>
      <c r="O1025">
        <v>2</v>
      </c>
      <c r="P1025" t="s">
        <v>444</v>
      </c>
      <c r="Q1025" t="s">
        <v>445</v>
      </c>
      <c r="R1025" t="s">
        <v>446</v>
      </c>
      <c r="S1025" t="s">
        <v>447</v>
      </c>
      <c r="T1025" t="s">
        <v>36</v>
      </c>
      <c r="U1025" t="s">
        <v>79</v>
      </c>
      <c r="V1025">
        <v>57</v>
      </c>
      <c r="W1025">
        <v>82</v>
      </c>
      <c r="X1025">
        <v>122</v>
      </c>
      <c r="Y1025">
        <v>86</v>
      </c>
      <c r="Z1025">
        <v>184</v>
      </c>
      <c r="AA1025">
        <v>128</v>
      </c>
      <c r="AB1025" t="s">
        <v>2106</v>
      </c>
      <c r="AC1025" t="s">
        <v>171</v>
      </c>
      <c r="AD1025" t="s">
        <v>210</v>
      </c>
      <c r="AE1025" t="s">
        <v>183</v>
      </c>
      <c r="AF1025">
        <v>0</v>
      </c>
    </row>
    <row r="1026" spans="1:32">
      <c r="A1026">
        <v>320</v>
      </c>
      <c r="B1026">
        <v>791</v>
      </c>
      <c r="C1026" t="s">
        <v>441</v>
      </c>
      <c r="D1026" t="s">
        <v>1059</v>
      </c>
      <c r="E1026" t="s">
        <v>2165</v>
      </c>
      <c r="F1026" t="s">
        <v>197</v>
      </c>
      <c r="G1026" t="s">
        <v>1227</v>
      </c>
      <c r="H1026" t="s">
        <v>188</v>
      </c>
      <c r="I1026" t="s">
        <v>192</v>
      </c>
      <c r="J1026" t="s">
        <v>192</v>
      </c>
      <c r="K1026" t="s">
        <v>443</v>
      </c>
      <c r="L1026" s="84">
        <v>42637</v>
      </c>
      <c r="M1026" t="s">
        <v>352</v>
      </c>
      <c r="N1026" t="s">
        <v>1358</v>
      </c>
      <c r="O1026">
        <v>2</v>
      </c>
      <c r="P1026" t="s">
        <v>444</v>
      </c>
      <c r="Q1026" t="s">
        <v>445</v>
      </c>
      <c r="R1026" t="s">
        <v>446</v>
      </c>
      <c r="S1026" t="s">
        <v>447</v>
      </c>
      <c r="T1026" t="s">
        <v>38</v>
      </c>
      <c r="U1026" t="s">
        <v>79</v>
      </c>
      <c r="V1026">
        <v>57</v>
      </c>
      <c r="W1026">
        <v>82</v>
      </c>
      <c r="X1026">
        <v>122</v>
      </c>
      <c r="Y1026">
        <v>86</v>
      </c>
      <c r="Z1026">
        <v>184</v>
      </c>
      <c r="AA1026">
        <v>128</v>
      </c>
      <c r="AB1026" t="s">
        <v>2106</v>
      </c>
      <c r="AC1026" t="s">
        <v>171</v>
      </c>
      <c r="AD1026" t="s">
        <v>210</v>
      </c>
      <c r="AE1026" t="s">
        <v>183</v>
      </c>
      <c r="AF1026">
        <v>0</v>
      </c>
    </row>
    <row r="1027" spans="1:32">
      <c r="A1027">
        <v>320</v>
      </c>
      <c r="B1027">
        <v>791</v>
      </c>
      <c r="C1027" t="s">
        <v>441</v>
      </c>
      <c r="D1027" t="s">
        <v>1059</v>
      </c>
      <c r="E1027" t="s">
        <v>2165</v>
      </c>
      <c r="F1027" t="s">
        <v>6</v>
      </c>
      <c r="G1027" t="s">
        <v>1230</v>
      </c>
      <c r="H1027" t="s">
        <v>260</v>
      </c>
      <c r="I1027" t="s">
        <v>236</v>
      </c>
      <c r="J1027" t="s">
        <v>188</v>
      </c>
      <c r="K1027" t="s">
        <v>443</v>
      </c>
      <c r="L1027" s="84">
        <v>42637</v>
      </c>
      <c r="M1027" t="s">
        <v>352</v>
      </c>
      <c r="N1027" t="s">
        <v>1358</v>
      </c>
      <c r="O1027">
        <v>2</v>
      </c>
      <c r="P1027" t="s">
        <v>444</v>
      </c>
      <c r="Q1027" t="s">
        <v>445</v>
      </c>
      <c r="R1027" t="s">
        <v>446</v>
      </c>
      <c r="S1027" t="s">
        <v>447</v>
      </c>
      <c r="T1027" t="s">
        <v>34</v>
      </c>
      <c r="U1027" t="s">
        <v>79</v>
      </c>
      <c r="V1027">
        <v>57</v>
      </c>
      <c r="W1027">
        <v>82</v>
      </c>
      <c r="X1027">
        <v>122</v>
      </c>
      <c r="Y1027">
        <v>86</v>
      </c>
      <c r="Z1027">
        <v>184</v>
      </c>
      <c r="AA1027">
        <v>128</v>
      </c>
      <c r="AB1027" t="s">
        <v>2106</v>
      </c>
      <c r="AC1027" t="s">
        <v>171</v>
      </c>
      <c r="AD1027" t="s">
        <v>210</v>
      </c>
      <c r="AE1027" t="s">
        <v>183</v>
      </c>
      <c r="AF1027">
        <v>0</v>
      </c>
    </row>
    <row r="1028" spans="1:32">
      <c r="A1028">
        <v>320</v>
      </c>
      <c r="B1028">
        <v>791</v>
      </c>
      <c r="C1028" t="s">
        <v>441</v>
      </c>
      <c r="D1028" t="s">
        <v>1059</v>
      </c>
      <c r="E1028" t="s">
        <v>2165</v>
      </c>
      <c r="F1028" t="s">
        <v>7</v>
      </c>
      <c r="G1028" t="s">
        <v>1233</v>
      </c>
      <c r="H1028" t="s">
        <v>236</v>
      </c>
      <c r="I1028" t="s">
        <v>189</v>
      </c>
      <c r="J1028" t="s">
        <v>274</v>
      </c>
      <c r="K1028" t="s">
        <v>443</v>
      </c>
      <c r="L1028" s="84">
        <v>42637</v>
      </c>
      <c r="M1028" t="s">
        <v>352</v>
      </c>
      <c r="N1028" t="s">
        <v>1358</v>
      </c>
      <c r="O1028">
        <v>2</v>
      </c>
      <c r="P1028" t="s">
        <v>444</v>
      </c>
      <c r="Q1028" t="s">
        <v>445</v>
      </c>
      <c r="R1028" t="s">
        <v>446</v>
      </c>
      <c r="S1028" t="s">
        <v>447</v>
      </c>
      <c r="T1028" t="s">
        <v>32</v>
      </c>
      <c r="U1028" t="s">
        <v>79</v>
      </c>
      <c r="V1028">
        <v>57</v>
      </c>
      <c r="W1028">
        <v>82</v>
      </c>
      <c r="X1028">
        <v>122</v>
      </c>
      <c r="Y1028">
        <v>86</v>
      </c>
      <c r="Z1028">
        <v>184</v>
      </c>
      <c r="AA1028">
        <v>128</v>
      </c>
      <c r="AB1028" t="s">
        <v>2106</v>
      </c>
      <c r="AC1028" t="s">
        <v>171</v>
      </c>
      <c r="AD1028" t="s">
        <v>210</v>
      </c>
      <c r="AE1028" t="s">
        <v>183</v>
      </c>
      <c r="AF1028">
        <v>0</v>
      </c>
    </row>
    <row r="1029" spans="1:32">
      <c r="A1029">
        <v>320</v>
      </c>
      <c r="B1029">
        <v>791</v>
      </c>
      <c r="C1029" t="s">
        <v>441</v>
      </c>
      <c r="D1029" t="s">
        <v>1059</v>
      </c>
      <c r="E1029" t="s">
        <v>2165</v>
      </c>
      <c r="F1029" t="s">
        <v>8</v>
      </c>
      <c r="G1029" t="s">
        <v>1232</v>
      </c>
      <c r="H1029" t="s">
        <v>189</v>
      </c>
      <c r="I1029" t="s">
        <v>259</v>
      </c>
      <c r="J1029" t="s">
        <v>191</v>
      </c>
      <c r="K1029" t="s">
        <v>443</v>
      </c>
      <c r="L1029" s="84">
        <v>42637</v>
      </c>
      <c r="M1029" t="s">
        <v>352</v>
      </c>
      <c r="N1029" t="s">
        <v>1358</v>
      </c>
      <c r="O1029">
        <v>2</v>
      </c>
      <c r="P1029" t="s">
        <v>444</v>
      </c>
      <c r="Q1029" t="s">
        <v>445</v>
      </c>
      <c r="R1029" t="s">
        <v>446</v>
      </c>
      <c r="S1029" t="s">
        <v>447</v>
      </c>
      <c r="T1029" t="s">
        <v>31</v>
      </c>
      <c r="U1029" t="s">
        <v>79</v>
      </c>
      <c r="V1029">
        <v>57</v>
      </c>
      <c r="W1029">
        <v>82</v>
      </c>
      <c r="X1029">
        <v>122</v>
      </c>
      <c r="Y1029">
        <v>86</v>
      </c>
      <c r="Z1029">
        <v>184</v>
      </c>
      <c r="AA1029">
        <v>128</v>
      </c>
      <c r="AB1029" t="s">
        <v>2106</v>
      </c>
      <c r="AC1029" t="s">
        <v>171</v>
      </c>
      <c r="AD1029" t="s">
        <v>210</v>
      </c>
      <c r="AE1029" t="s">
        <v>183</v>
      </c>
      <c r="AF1029">
        <v>0</v>
      </c>
    </row>
    <row r="1030" spans="1:32">
      <c r="A1030">
        <v>320</v>
      </c>
      <c r="B1030">
        <v>791</v>
      </c>
      <c r="C1030" t="s">
        <v>441</v>
      </c>
      <c r="D1030" t="s">
        <v>1059</v>
      </c>
      <c r="E1030" t="s">
        <v>2165</v>
      </c>
      <c r="F1030" t="s">
        <v>5</v>
      </c>
      <c r="G1030" t="s">
        <v>1231</v>
      </c>
      <c r="H1030" t="s">
        <v>185</v>
      </c>
      <c r="I1030" t="s">
        <v>191</v>
      </c>
      <c r="J1030" t="s">
        <v>185</v>
      </c>
      <c r="K1030" t="s">
        <v>443</v>
      </c>
      <c r="L1030" s="84">
        <v>42637</v>
      </c>
      <c r="M1030" t="s">
        <v>352</v>
      </c>
      <c r="N1030" t="s">
        <v>1358</v>
      </c>
      <c r="O1030">
        <v>2</v>
      </c>
      <c r="P1030" t="s">
        <v>444</v>
      </c>
      <c r="Q1030" t="s">
        <v>445</v>
      </c>
      <c r="R1030" t="s">
        <v>446</v>
      </c>
      <c r="S1030" t="s">
        <v>447</v>
      </c>
      <c r="T1030" t="s">
        <v>33</v>
      </c>
      <c r="U1030" t="s">
        <v>79</v>
      </c>
      <c r="V1030">
        <v>57</v>
      </c>
      <c r="W1030">
        <v>82</v>
      </c>
      <c r="X1030">
        <v>122</v>
      </c>
      <c r="Y1030">
        <v>86</v>
      </c>
      <c r="Z1030">
        <v>184</v>
      </c>
      <c r="AA1030">
        <v>128</v>
      </c>
      <c r="AB1030" t="s">
        <v>2106</v>
      </c>
      <c r="AC1030" t="s">
        <v>171</v>
      </c>
      <c r="AD1030" t="s">
        <v>210</v>
      </c>
      <c r="AE1030" t="s">
        <v>183</v>
      </c>
      <c r="AF1030">
        <v>0</v>
      </c>
    </row>
    <row r="1031" spans="1:32">
      <c r="A1031">
        <v>321</v>
      </c>
      <c r="B1031">
        <v>817</v>
      </c>
      <c r="C1031" t="s">
        <v>453</v>
      </c>
      <c r="D1031" t="s">
        <v>1059</v>
      </c>
      <c r="E1031" t="s">
        <v>2165</v>
      </c>
      <c r="F1031" t="s">
        <v>5</v>
      </c>
      <c r="G1031" t="s">
        <v>1238</v>
      </c>
      <c r="H1031" t="s">
        <v>238</v>
      </c>
      <c r="I1031" t="s">
        <v>220</v>
      </c>
      <c r="J1031" t="s">
        <v>212</v>
      </c>
      <c r="K1031" t="s">
        <v>455</v>
      </c>
      <c r="L1031" s="84">
        <v>42259</v>
      </c>
      <c r="M1031" t="s">
        <v>175</v>
      </c>
      <c r="N1031" t="s">
        <v>1359</v>
      </c>
      <c r="O1031">
        <v>2</v>
      </c>
      <c r="P1031" t="s">
        <v>456</v>
      </c>
      <c r="Q1031" t="s">
        <v>457</v>
      </c>
      <c r="R1031" t="s">
        <v>458</v>
      </c>
      <c r="S1031" t="s">
        <v>459</v>
      </c>
      <c r="T1031" t="s">
        <v>33</v>
      </c>
      <c r="U1031" t="s">
        <v>79</v>
      </c>
      <c r="V1031">
        <v>58</v>
      </c>
      <c r="W1031">
        <v>82</v>
      </c>
      <c r="X1031">
        <v>122</v>
      </c>
      <c r="Y1031">
        <v>90</v>
      </c>
      <c r="Z1031">
        <v>184</v>
      </c>
      <c r="AA1031">
        <v>139</v>
      </c>
      <c r="AB1031" t="s">
        <v>882</v>
      </c>
      <c r="AC1031" t="s">
        <v>171</v>
      </c>
      <c r="AD1031" t="s">
        <v>210</v>
      </c>
      <c r="AE1031" t="s">
        <v>183</v>
      </c>
      <c r="AF1031">
        <v>1</v>
      </c>
    </row>
    <row r="1032" spans="1:32">
      <c r="A1032">
        <v>321</v>
      </c>
      <c r="B1032">
        <v>817</v>
      </c>
      <c r="C1032" t="s">
        <v>453</v>
      </c>
      <c r="D1032" t="s">
        <v>1059</v>
      </c>
      <c r="E1032" t="s">
        <v>2165</v>
      </c>
      <c r="F1032" t="s">
        <v>8</v>
      </c>
      <c r="G1032" t="s">
        <v>1237</v>
      </c>
      <c r="H1032" t="s">
        <v>228</v>
      </c>
      <c r="I1032" t="s">
        <v>212</v>
      </c>
      <c r="J1032" t="s">
        <v>173</v>
      </c>
      <c r="K1032" t="s">
        <v>455</v>
      </c>
      <c r="L1032" s="84">
        <v>42259</v>
      </c>
      <c r="M1032" t="s">
        <v>175</v>
      </c>
      <c r="N1032" t="s">
        <v>1359</v>
      </c>
      <c r="O1032">
        <v>2</v>
      </c>
      <c r="P1032" t="s">
        <v>456</v>
      </c>
      <c r="Q1032" t="s">
        <v>457</v>
      </c>
      <c r="R1032" t="s">
        <v>458</v>
      </c>
      <c r="S1032" t="s">
        <v>459</v>
      </c>
      <c r="T1032" t="s">
        <v>31</v>
      </c>
      <c r="U1032" t="s">
        <v>79</v>
      </c>
      <c r="V1032">
        <v>58</v>
      </c>
      <c r="W1032">
        <v>82</v>
      </c>
      <c r="X1032">
        <v>122</v>
      </c>
      <c r="Y1032">
        <v>90</v>
      </c>
      <c r="Z1032">
        <v>184</v>
      </c>
      <c r="AA1032">
        <v>139</v>
      </c>
      <c r="AB1032" t="s">
        <v>882</v>
      </c>
      <c r="AC1032" t="s">
        <v>171</v>
      </c>
      <c r="AD1032" t="s">
        <v>210</v>
      </c>
      <c r="AE1032" t="s">
        <v>183</v>
      </c>
      <c r="AF1032">
        <v>1</v>
      </c>
    </row>
    <row r="1033" spans="1:32">
      <c r="A1033">
        <v>321</v>
      </c>
      <c r="B1033">
        <v>817</v>
      </c>
      <c r="C1033" t="s">
        <v>453</v>
      </c>
      <c r="D1033" t="s">
        <v>1059</v>
      </c>
      <c r="E1033" t="s">
        <v>2165</v>
      </c>
      <c r="F1033" t="s">
        <v>7</v>
      </c>
      <c r="G1033" t="s">
        <v>1234</v>
      </c>
      <c r="H1033" t="s">
        <v>2045</v>
      </c>
      <c r="I1033" t="s">
        <v>188</v>
      </c>
      <c r="J1033" t="s">
        <v>243</v>
      </c>
      <c r="K1033" t="s">
        <v>455</v>
      </c>
      <c r="L1033" s="84">
        <v>42259</v>
      </c>
      <c r="M1033" t="s">
        <v>175</v>
      </c>
      <c r="N1033" t="s">
        <v>1359</v>
      </c>
      <c r="O1033">
        <v>2</v>
      </c>
      <c r="P1033" t="s">
        <v>456</v>
      </c>
      <c r="Q1033" t="s">
        <v>457</v>
      </c>
      <c r="R1033" t="s">
        <v>458</v>
      </c>
      <c r="S1033" t="s">
        <v>459</v>
      </c>
      <c r="T1033" t="s">
        <v>32</v>
      </c>
      <c r="U1033" t="s">
        <v>79</v>
      </c>
      <c r="V1033">
        <v>58</v>
      </c>
      <c r="W1033">
        <v>82</v>
      </c>
      <c r="X1033">
        <v>122</v>
      </c>
      <c r="Y1033">
        <v>90</v>
      </c>
      <c r="Z1033">
        <v>184</v>
      </c>
      <c r="AA1033">
        <v>139</v>
      </c>
      <c r="AB1033" t="s">
        <v>882</v>
      </c>
      <c r="AC1033" t="s">
        <v>171</v>
      </c>
      <c r="AD1033" t="s">
        <v>210</v>
      </c>
      <c r="AE1033" t="s">
        <v>2046</v>
      </c>
      <c r="AF1033">
        <v>1</v>
      </c>
    </row>
    <row r="1034" spans="1:32">
      <c r="A1034">
        <v>321</v>
      </c>
      <c r="B1034">
        <v>817</v>
      </c>
      <c r="C1034" t="s">
        <v>453</v>
      </c>
      <c r="D1034" t="s">
        <v>1059</v>
      </c>
      <c r="E1034" t="s">
        <v>2165</v>
      </c>
      <c r="F1034" t="s">
        <v>6</v>
      </c>
      <c r="G1034" t="s">
        <v>1239</v>
      </c>
      <c r="H1034" t="s">
        <v>181</v>
      </c>
      <c r="I1034" t="s">
        <v>415</v>
      </c>
      <c r="J1034" t="s">
        <v>173</v>
      </c>
      <c r="K1034" t="s">
        <v>455</v>
      </c>
      <c r="L1034" s="84">
        <v>42259</v>
      </c>
      <c r="M1034" t="s">
        <v>175</v>
      </c>
      <c r="N1034" t="s">
        <v>1359</v>
      </c>
      <c r="O1034">
        <v>2</v>
      </c>
      <c r="P1034" t="s">
        <v>456</v>
      </c>
      <c r="Q1034" t="s">
        <v>457</v>
      </c>
      <c r="R1034" t="s">
        <v>458</v>
      </c>
      <c r="S1034" t="s">
        <v>459</v>
      </c>
      <c r="T1034" t="s">
        <v>34</v>
      </c>
      <c r="U1034" t="s">
        <v>79</v>
      </c>
      <c r="V1034">
        <v>58</v>
      </c>
      <c r="W1034">
        <v>82</v>
      </c>
      <c r="X1034">
        <v>122</v>
      </c>
      <c r="Y1034">
        <v>90</v>
      </c>
      <c r="Z1034">
        <v>184</v>
      </c>
      <c r="AA1034">
        <v>139</v>
      </c>
      <c r="AB1034" t="s">
        <v>882</v>
      </c>
      <c r="AC1034" t="s">
        <v>171</v>
      </c>
      <c r="AD1034" t="s">
        <v>210</v>
      </c>
      <c r="AE1034" t="s">
        <v>183</v>
      </c>
      <c r="AF1034">
        <v>1</v>
      </c>
    </row>
    <row r="1035" spans="1:32">
      <c r="A1035">
        <v>321</v>
      </c>
      <c r="B1035">
        <v>817</v>
      </c>
      <c r="C1035" t="s">
        <v>453</v>
      </c>
      <c r="D1035" t="s">
        <v>1059</v>
      </c>
      <c r="E1035" t="s">
        <v>2165</v>
      </c>
      <c r="F1035" t="s">
        <v>197</v>
      </c>
      <c r="G1035" t="s">
        <v>1242</v>
      </c>
      <c r="H1035" t="s">
        <v>192</v>
      </c>
      <c r="I1035" t="s">
        <v>192</v>
      </c>
      <c r="J1035" t="s">
        <v>212</v>
      </c>
      <c r="K1035" t="s">
        <v>455</v>
      </c>
      <c r="L1035" s="84">
        <v>42259</v>
      </c>
      <c r="M1035" t="s">
        <v>175</v>
      </c>
      <c r="N1035" t="s">
        <v>1359</v>
      </c>
      <c r="O1035">
        <v>2</v>
      </c>
      <c r="P1035" t="s">
        <v>456</v>
      </c>
      <c r="Q1035" t="s">
        <v>457</v>
      </c>
      <c r="R1035" t="s">
        <v>458</v>
      </c>
      <c r="S1035" t="s">
        <v>459</v>
      </c>
      <c r="T1035" t="s">
        <v>38</v>
      </c>
      <c r="U1035" t="s">
        <v>79</v>
      </c>
      <c r="V1035">
        <v>58</v>
      </c>
      <c r="W1035">
        <v>82</v>
      </c>
      <c r="X1035">
        <v>122</v>
      </c>
      <c r="Y1035">
        <v>90</v>
      </c>
      <c r="Z1035">
        <v>184</v>
      </c>
      <c r="AA1035">
        <v>139</v>
      </c>
      <c r="AB1035" t="s">
        <v>882</v>
      </c>
      <c r="AC1035" t="s">
        <v>171</v>
      </c>
      <c r="AD1035" t="s">
        <v>210</v>
      </c>
      <c r="AE1035" t="s">
        <v>183</v>
      </c>
      <c r="AF1035">
        <v>1</v>
      </c>
    </row>
    <row r="1036" spans="1:32">
      <c r="A1036">
        <v>321</v>
      </c>
      <c r="B1036">
        <v>817</v>
      </c>
      <c r="C1036" t="s">
        <v>453</v>
      </c>
      <c r="D1036" t="s">
        <v>1059</v>
      </c>
      <c r="E1036" t="s">
        <v>2165</v>
      </c>
      <c r="F1036" t="s">
        <v>193</v>
      </c>
      <c r="G1036" t="s">
        <v>1240</v>
      </c>
      <c r="H1036" t="s">
        <v>188</v>
      </c>
      <c r="I1036" t="s">
        <v>212</v>
      </c>
      <c r="J1036" t="s">
        <v>192</v>
      </c>
      <c r="K1036" t="s">
        <v>455</v>
      </c>
      <c r="L1036" s="84">
        <v>42259</v>
      </c>
      <c r="M1036" t="s">
        <v>175</v>
      </c>
      <c r="N1036" t="s">
        <v>1359</v>
      </c>
      <c r="O1036">
        <v>2</v>
      </c>
      <c r="P1036" t="s">
        <v>456</v>
      </c>
      <c r="Q1036" t="s">
        <v>457</v>
      </c>
      <c r="R1036" t="s">
        <v>458</v>
      </c>
      <c r="S1036" t="s">
        <v>459</v>
      </c>
      <c r="T1036" t="s">
        <v>36</v>
      </c>
      <c r="U1036" t="s">
        <v>79</v>
      </c>
      <c r="V1036">
        <v>58</v>
      </c>
      <c r="W1036">
        <v>82</v>
      </c>
      <c r="X1036">
        <v>122</v>
      </c>
      <c r="Y1036">
        <v>90</v>
      </c>
      <c r="Z1036">
        <v>184</v>
      </c>
      <c r="AA1036">
        <v>139</v>
      </c>
      <c r="AB1036" t="s">
        <v>882</v>
      </c>
      <c r="AC1036" t="s">
        <v>171</v>
      </c>
      <c r="AD1036" t="s">
        <v>210</v>
      </c>
      <c r="AE1036" t="s">
        <v>183</v>
      </c>
      <c r="AF1036">
        <v>1</v>
      </c>
    </row>
    <row r="1037" spans="1:32">
      <c r="A1037">
        <v>321</v>
      </c>
      <c r="B1037">
        <v>817</v>
      </c>
      <c r="C1037" t="s">
        <v>453</v>
      </c>
      <c r="D1037" t="s">
        <v>1059</v>
      </c>
      <c r="E1037" t="s">
        <v>2165</v>
      </c>
      <c r="F1037" t="s">
        <v>37</v>
      </c>
      <c r="G1037" t="s">
        <v>1241</v>
      </c>
      <c r="H1037" t="s">
        <v>1701</v>
      </c>
      <c r="I1037" t="s">
        <v>212</v>
      </c>
      <c r="J1037" t="s">
        <v>192</v>
      </c>
      <c r="K1037" t="s">
        <v>455</v>
      </c>
      <c r="L1037" s="84">
        <v>42259</v>
      </c>
      <c r="M1037" t="s">
        <v>175</v>
      </c>
      <c r="N1037" t="s">
        <v>1359</v>
      </c>
      <c r="O1037">
        <v>2</v>
      </c>
      <c r="P1037" t="s">
        <v>456</v>
      </c>
      <c r="Q1037" t="s">
        <v>457</v>
      </c>
      <c r="R1037" t="s">
        <v>458</v>
      </c>
      <c r="S1037" t="s">
        <v>459</v>
      </c>
      <c r="T1037" t="s">
        <v>37</v>
      </c>
      <c r="U1037" t="s">
        <v>79</v>
      </c>
      <c r="V1037">
        <v>58</v>
      </c>
      <c r="W1037">
        <v>82</v>
      </c>
      <c r="X1037">
        <v>122</v>
      </c>
      <c r="Y1037">
        <v>90</v>
      </c>
      <c r="Z1037">
        <v>184</v>
      </c>
      <c r="AA1037">
        <v>139</v>
      </c>
      <c r="AB1037" t="s">
        <v>882</v>
      </c>
      <c r="AC1037" t="s">
        <v>171</v>
      </c>
      <c r="AD1037" t="s">
        <v>210</v>
      </c>
      <c r="AE1037" t="s">
        <v>183</v>
      </c>
      <c r="AF1037">
        <v>1</v>
      </c>
    </row>
    <row r="1038" spans="1:32">
      <c r="A1038">
        <v>322</v>
      </c>
      <c r="B1038">
        <v>1091</v>
      </c>
      <c r="C1038" t="s">
        <v>2060</v>
      </c>
      <c r="D1038" t="s">
        <v>1059</v>
      </c>
      <c r="E1038" t="s">
        <v>2165</v>
      </c>
      <c r="F1038" t="s">
        <v>37</v>
      </c>
      <c r="G1038" t="s">
        <v>1244</v>
      </c>
      <c r="H1038" t="s">
        <v>1701</v>
      </c>
      <c r="I1038" t="s">
        <v>212</v>
      </c>
      <c r="J1038" t="s">
        <v>192</v>
      </c>
      <c r="K1038" t="s">
        <v>1906</v>
      </c>
      <c r="L1038" s="84">
        <v>42926</v>
      </c>
      <c r="M1038" t="s">
        <v>325</v>
      </c>
      <c r="N1038" t="s">
        <v>365</v>
      </c>
      <c r="O1038">
        <v>9</v>
      </c>
      <c r="P1038" t="s">
        <v>1907</v>
      </c>
      <c r="Q1038" t="s">
        <v>1908</v>
      </c>
      <c r="R1038" t="s">
        <v>2061</v>
      </c>
      <c r="S1038" t="s">
        <v>2062</v>
      </c>
      <c r="T1038" t="s">
        <v>37</v>
      </c>
      <c r="U1038" t="s">
        <v>85</v>
      </c>
      <c r="V1038">
        <v>59</v>
      </c>
      <c r="W1038">
        <v>82</v>
      </c>
      <c r="X1038">
        <v>122</v>
      </c>
      <c r="Y1038">
        <v>90</v>
      </c>
      <c r="Z1038">
        <v>184</v>
      </c>
      <c r="AA1038">
        <v>142</v>
      </c>
      <c r="AB1038" t="s">
        <v>413</v>
      </c>
      <c r="AC1038" t="s">
        <v>2566</v>
      </c>
      <c r="AD1038" t="s">
        <v>210</v>
      </c>
      <c r="AE1038" t="s">
        <v>183</v>
      </c>
      <c r="AF1038">
        <v>1</v>
      </c>
    </row>
    <row r="1039" spans="1:32">
      <c r="A1039">
        <v>322</v>
      </c>
      <c r="B1039">
        <v>1091</v>
      </c>
      <c r="C1039" t="s">
        <v>2060</v>
      </c>
      <c r="D1039" t="s">
        <v>1059</v>
      </c>
      <c r="E1039" t="s">
        <v>2165</v>
      </c>
      <c r="F1039" t="s">
        <v>193</v>
      </c>
      <c r="G1039" t="s">
        <v>1245</v>
      </c>
      <c r="H1039" t="s">
        <v>188</v>
      </c>
      <c r="I1039" t="s">
        <v>212</v>
      </c>
      <c r="J1039" t="s">
        <v>212</v>
      </c>
      <c r="K1039" t="s">
        <v>1906</v>
      </c>
      <c r="L1039" s="84">
        <v>42926</v>
      </c>
      <c r="M1039" t="s">
        <v>325</v>
      </c>
      <c r="N1039" t="s">
        <v>365</v>
      </c>
      <c r="O1039">
        <v>9</v>
      </c>
      <c r="P1039" t="s">
        <v>1907</v>
      </c>
      <c r="Q1039" t="s">
        <v>1908</v>
      </c>
      <c r="R1039" t="s">
        <v>2061</v>
      </c>
      <c r="S1039" t="s">
        <v>2062</v>
      </c>
      <c r="T1039" t="s">
        <v>36</v>
      </c>
      <c r="U1039" t="s">
        <v>85</v>
      </c>
      <c r="V1039">
        <v>59</v>
      </c>
      <c r="W1039">
        <v>82</v>
      </c>
      <c r="X1039">
        <v>122</v>
      </c>
      <c r="Y1039">
        <v>90</v>
      </c>
      <c r="Z1039">
        <v>184</v>
      </c>
      <c r="AA1039">
        <v>142</v>
      </c>
      <c r="AB1039" t="s">
        <v>413</v>
      </c>
      <c r="AC1039" t="s">
        <v>2566</v>
      </c>
      <c r="AD1039" t="s">
        <v>210</v>
      </c>
      <c r="AE1039" t="s">
        <v>183</v>
      </c>
      <c r="AF1039">
        <v>1</v>
      </c>
    </row>
    <row r="1040" spans="1:32">
      <c r="A1040">
        <v>322</v>
      </c>
      <c r="B1040">
        <v>1091</v>
      </c>
      <c r="C1040" t="s">
        <v>2060</v>
      </c>
      <c r="D1040" t="s">
        <v>1059</v>
      </c>
      <c r="E1040" t="s">
        <v>2165</v>
      </c>
      <c r="F1040" t="s">
        <v>197</v>
      </c>
      <c r="G1040" t="s">
        <v>1243</v>
      </c>
      <c r="H1040" t="s">
        <v>188</v>
      </c>
      <c r="I1040" t="s">
        <v>192</v>
      </c>
      <c r="J1040" t="s">
        <v>192</v>
      </c>
      <c r="K1040" t="s">
        <v>1906</v>
      </c>
      <c r="L1040" s="84">
        <v>42926</v>
      </c>
      <c r="M1040" t="s">
        <v>325</v>
      </c>
      <c r="N1040" t="s">
        <v>365</v>
      </c>
      <c r="O1040">
        <v>9</v>
      </c>
      <c r="P1040" t="s">
        <v>1907</v>
      </c>
      <c r="Q1040" t="s">
        <v>1908</v>
      </c>
      <c r="R1040" t="s">
        <v>2061</v>
      </c>
      <c r="S1040" t="s">
        <v>2062</v>
      </c>
      <c r="T1040" t="s">
        <v>38</v>
      </c>
      <c r="U1040" t="s">
        <v>85</v>
      </c>
      <c r="V1040">
        <v>59</v>
      </c>
      <c r="W1040">
        <v>82</v>
      </c>
      <c r="X1040">
        <v>122</v>
      </c>
      <c r="Y1040">
        <v>90</v>
      </c>
      <c r="Z1040">
        <v>184</v>
      </c>
      <c r="AA1040">
        <v>142</v>
      </c>
      <c r="AB1040" t="s">
        <v>413</v>
      </c>
      <c r="AC1040" t="s">
        <v>2566</v>
      </c>
      <c r="AD1040" t="s">
        <v>210</v>
      </c>
      <c r="AE1040" t="s">
        <v>183</v>
      </c>
      <c r="AF1040">
        <v>1</v>
      </c>
    </row>
    <row r="1041" spans="1:32">
      <c r="A1041">
        <v>322</v>
      </c>
      <c r="B1041">
        <v>1091</v>
      </c>
      <c r="C1041" t="s">
        <v>2060</v>
      </c>
      <c r="D1041" t="s">
        <v>1059</v>
      </c>
      <c r="E1041" t="s">
        <v>2165</v>
      </c>
      <c r="F1041" t="s">
        <v>6</v>
      </c>
      <c r="G1041" t="s">
        <v>1246</v>
      </c>
      <c r="H1041" t="s">
        <v>173</v>
      </c>
      <c r="I1041" t="s">
        <v>192</v>
      </c>
      <c r="J1041" t="s">
        <v>324</v>
      </c>
      <c r="K1041" t="s">
        <v>1906</v>
      </c>
      <c r="L1041" s="84">
        <v>42926</v>
      </c>
      <c r="M1041" t="s">
        <v>325</v>
      </c>
      <c r="N1041" t="s">
        <v>365</v>
      </c>
      <c r="O1041">
        <v>9</v>
      </c>
      <c r="P1041" t="s">
        <v>1907</v>
      </c>
      <c r="Q1041" t="s">
        <v>1908</v>
      </c>
      <c r="R1041" t="s">
        <v>2061</v>
      </c>
      <c r="S1041" t="s">
        <v>2062</v>
      </c>
      <c r="T1041" t="s">
        <v>34</v>
      </c>
      <c r="U1041" t="s">
        <v>85</v>
      </c>
      <c r="V1041">
        <v>59</v>
      </c>
      <c r="W1041">
        <v>82</v>
      </c>
      <c r="X1041">
        <v>122</v>
      </c>
      <c r="Y1041">
        <v>90</v>
      </c>
      <c r="Z1041">
        <v>184</v>
      </c>
      <c r="AA1041">
        <v>142</v>
      </c>
      <c r="AB1041" t="s">
        <v>413</v>
      </c>
      <c r="AC1041" t="s">
        <v>2566</v>
      </c>
      <c r="AD1041" t="s">
        <v>210</v>
      </c>
      <c r="AE1041" t="s">
        <v>183</v>
      </c>
      <c r="AF1041">
        <v>1</v>
      </c>
    </row>
    <row r="1042" spans="1:32">
      <c r="A1042">
        <v>322</v>
      </c>
      <c r="B1042">
        <v>1091</v>
      </c>
      <c r="C1042" t="s">
        <v>2060</v>
      </c>
      <c r="D1042" t="s">
        <v>1059</v>
      </c>
      <c r="E1042" t="s">
        <v>2165</v>
      </c>
      <c r="F1042" t="s">
        <v>7</v>
      </c>
      <c r="G1042" t="s">
        <v>1249</v>
      </c>
      <c r="H1042" t="s">
        <v>403</v>
      </c>
      <c r="I1042" t="s">
        <v>171</v>
      </c>
      <c r="J1042" t="s">
        <v>407</v>
      </c>
      <c r="K1042" t="s">
        <v>1906</v>
      </c>
      <c r="L1042" s="84">
        <v>42926</v>
      </c>
      <c r="M1042" t="s">
        <v>325</v>
      </c>
      <c r="N1042" t="s">
        <v>365</v>
      </c>
      <c r="O1042">
        <v>9</v>
      </c>
      <c r="P1042" t="s">
        <v>1907</v>
      </c>
      <c r="Q1042" t="s">
        <v>1908</v>
      </c>
      <c r="R1042" t="s">
        <v>2061</v>
      </c>
      <c r="S1042" t="s">
        <v>2062</v>
      </c>
      <c r="T1042" t="s">
        <v>32</v>
      </c>
      <c r="U1042" t="s">
        <v>85</v>
      </c>
      <c r="V1042">
        <v>59</v>
      </c>
      <c r="W1042">
        <v>82</v>
      </c>
      <c r="X1042">
        <v>122</v>
      </c>
      <c r="Y1042">
        <v>90</v>
      </c>
      <c r="Z1042">
        <v>184</v>
      </c>
      <c r="AA1042">
        <v>142</v>
      </c>
      <c r="AB1042" t="s">
        <v>413</v>
      </c>
      <c r="AC1042" t="s">
        <v>2566</v>
      </c>
      <c r="AD1042" t="s">
        <v>210</v>
      </c>
      <c r="AE1042" t="s">
        <v>183</v>
      </c>
      <c r="AF1042">
        <v>1</v>
      </c>
    </row>
    <row r="1043" spans="1:32">
      <c r="A1043">
        <v>322</v>
      </c>
      <c r="B1043">
        <v>1091</v>
      </c>
      <c r="C1043" t="s">
        <v>2060</v>
      </c>
      <c r="D1043" t="s">
        <v>1059</v>
      </c>
      <c r="E1043" t="s">
        <v>2165</v>
      </c>
      <c r="F1043" t="s">
        <v>8</v>
      </c>
      <c r="G1043" t="s">
        <v>1248</v>
      </c>
      <c r="H1043" t="s">
        <v>192</v>
      </c>
      <c r="I1043" t="s">
        <v>185</v>
      </c>
      <c r="J1043" t="s">
        <v>173</v>
      </c>
      <c r="K1043" t="s">
        <v>1906</v>
      </c>
      <c r="L1043" s="84">
        <v>42926</v>
      </c>
      <c r="M1043" t="s">
        <v>325</v>
      </c>
      <c r="N1043" t="s">
        <v>365</v>
      </c>
      <c r="O1043">
        <v>9</v>
      </c>
      <c r="P1043" t="s">
        <v>1907</v>
      </c>
      <c r="Q1043" t="s">
        <v>1908</v>
      </c>
      <c r="R1043" t="s">
        <v>2061</v>
      </c>
      <c r="S1043" t="s">
        <v>2062</v>
      </c>
      <c r="T1043" t="s">
        <v>31</v>
      </c>
      <c r="U1043" t="s">
        <v>85</v>
      </c>
      <c r="V1043">
        <v>59</v>
      </c>
      <c r="W1043">
        <v>82</v>
      </c>
      <c r="X1043">
        <v>122</v>
      </c>
      <c r="Y1043">
        <v>90</v>
      </c>
      <c r="Z1043">
        <v>184</v>
      </c>
      <c r="AA1043">
        <v>142</v>
      </c>
      <c r="AB1043" t="s">
        <v>413</v>
      </c>
      <c r="AC1043" t="s">
        <v>2566</v>
      </c>
      <c r="AD1043" t="s">
        <v>210</v>
      </c>
      <c r="AE1043" t="s">
        <v>183</v>
      </c>
      <c r="AF1043">
        <v>1</v>
      </c>
    </row>
    <row r="1044" spans="1:32">
      <c r="A1044">
        <v>322</v>
      </c>
      <c r="B1044">
        <v>1091</v>
      </c>
      <c r="C1044" t="s">
        <v>2060</v>
      </c>
      <c r="D1044" t="s">
        <v>1059</v>
      </c>
      <c r="E1044" t="s">
        <v>2165</v>
      </c>
      <c r="F1044" t="s">
        <v>5</v>
      </c>
      <c r="G1044" t="s">
        <v>1247</v>
      </c>
      <c r="H1044" t="s">
        <v>274</v>
      </c>
      <c r="I1044" t="s">
        <v>239</v>
      </c>
      <c r="J1044" t="s">
        <v>223</v>
      </c>
      <c r="K1044" t="s">
        <v>1906</v>
      </c>
      <c r="L1044" s="84">
        <v>42926</v>
      </c>
      <c r="M1044" t="s">
        <v>325</v>
      </c>
      <c r="N1044" t="s">
        <v>365</v>
      </c>
      <c r="O1044">
        <v>9</v>
      </c>
      <c r="P1044" t="s">
        <v>1907</v>
      </c>
      <c r="Q1044" t="s">
        <v>1908</v>
      </c>
      <c r="R1044" t="s">
        <v>2061</v>
      </c>
      <c r="S1044" t="s">
        <v>2062</v>
      </c>
      <c r="T1044" t="s">
        <v>33</v>
      </c>
      <c r="U1044" t="s">
        <v>85</v>
      </c>
      <c r="V1044">
        <v>59</v>
      </c>
      <c r="W1044">
        <v>82</v>
      </c>
      <c r="X1044">
        <v>122</v>
      </c>
      <c r="Y1044">
        <v>90</v>
      </c>
      <c r="Z1044">
        <v>184</v>
      </c>
      <c r="AA1044">
        <v>142</v>
      </c>
      <c r="AB1044" t="s">
        <v>413</v>
      </c>
      <c r="AC1044" t="s">
        <v>2566</v>
      </c>
      <c r="AD1044" t="s">
        <v>210</v>
      </c>
      <c r="AE1044" t="s">
        <v>183</v>
      </c>
      <c r="AF1044">
        <v>1</v>
      </c>
    </row>
    <row r="1045" spans="1:32">
      <c r="A1045">
        <v>323</v>
      </c>
      <c r="B1045">
        <v>1009</v>
      </c>
      <c r="C1045" t="s">
        <v>1909</v>
      </c>
      <c r="D1045" t="s">
        <v>1059</v>
      </c>
      <c r="E1045" t="s">
        <v>2165</v>
      </c>
      <c r="F1045" t="s">
        <v>5</v>
      </c>
      <c r="G1045" t="s">
        <v>1252</v>
      </c>
      <c r="H1045" t="s">
        <v>226</v>
      </c>
      <c r="I1045" t="s">
        <v>223</v>
      </c>
      <c r="J1045" t="s">
        <v>220</v>
      </c>
      <c r="K1045" t="s">
        <v>1910</v>
      </c>
      <c r="L1045" s="84">
        <v>42100</v>
      </c>
      <c r="M1045" t="s">
        <v>352</v>
      </c>
      <c r="N1045" t="s">
        <v>1911</v>
      </c>
      <c r="O1045">
        <v>2</v>
      </c>
      <c r="P1045" t="s">
        <v>1912</v>
      </c>
      <c r="Q1045" t="s">
        <v>1913</v>
      </c>
      <c r="R1045" t="s">
        <v>2063</v>
      </c>
      <c r="S1045" t="s">
        <v>2064</v>
      </c>
      <c r="T1045" t="s">
        <v>33</v>
      </c>
      <c r="U1045" t="s">
        <v>79</v>
      </c>
      <c r="V1045">
        <v>55</v>
      </c>
      <c r="W1045">
        <v>82</v>
      </c>
      <c r="X1045">
        <v>122</v>
      </c>
      <c r="Y1045">
        <v>77</v>
      </c>
      <c r="Z1045">
        <v>184</v>
      </c>
      <c r="AA1045">
        <v>125</v>
      </c>
      <c r="AB1045" t="s">
        <v>1098</v>
      </c>
      <c r="AC1045" t="s">
        <v>2567</v>
      </c>
      <c r="AD1045" t="s">
        <v>182</v>
      </c>
      <c r="AE1045" t="s">
        <v>183</v>
      </c>
      <c r="AF1045">
        <v>1</v>
      </c>
    </row>
    <row r="1046" spans="1:32">
      <c r="A1046">
        <v>323</v>
      </c>
      <c r="B1046">
        <v>1009</v>
      </c>
      <c r="C1046" t="s">
        <v>1909</v>
      </c>
      <c r="D1046" t="s">
        <v>1059</v>
      </c>
      <c r="E1046" t="s">
        <v>2165</v>
      </c>
      <c r="F1046" t="s">
        <v>8</v>
      </c>
      <c r="G1046" t="s">
        <v>1251</v>
      </c>
      <c r="H1046" t="s">
        <v>243</v>
      </c>
      <c r="I1046" t="s">
        <v>237</v>
      </c>
      <c r="J1046" t="s">
        <v>226</v>
      </c>
      <c r="K1046" t="s">
        <v>1910</v>
      </c>
      <c r="L1046" s="84">
        <v>42100</v>
      </c>
      <c r="M1046" t="s">
        <v>352</v>
      </c>
      <c r="N1046" t="s">
        <v>1911</v>
      </c>
      <c r="O1046">
        <v>2</v>
      </c>
      <c r="P1046" t="s">
        <v>1912</v>
      </c>
      <c r="Q1046" t="s">
        <v>1913</v>
      </c>
      <c r="R1046" t="s">
        <v>2063</v>
      </c>
      <c r="S1046" t="s">
        <v>2064</v>
      </c>
      <c r="T1046" t="s">
        <v>31</v>
      </c>
      <c r="U1046" t="s">
        <v>79</v>
      </c>
      <c r="V1046">
        <v>55</v>
      </c>
      <c r="W1046">
        <v>82</v>
      </c>
      <c r="X1046">
        <v>122</v>
      </c>
      <c r="Y1046">
        <v>77</v>
      </c>
      <c r="Z1046">
        <v>184</v>
      </c>
      <c r="AA1046">
        <v>125</v>
      </c>
      <c r="AB1046" t="s">
        <v>1098</v>
      </c>
      <c r="AC1046" t="s">
        <v>2567</v>
      </c>
      <c r="AD1046" t="s">
        <v>182</v>
      </c>
      <c r="AE1046" t="s">
        <v>183</v>
      </c>
      <c r="AF1046">
        <v>1</v>
      </c>
    </row>
    <row r="1047" spans="1:32">
      <c r="A1047">
        <v>323</v>
      </c>
      <c r="B1047">
        <v>1009</v>
      </c>
      <c r="C1047" t="s">
        <v>1909</v>
      </c>
      <c r="D1047" t="s">
        <v>1059</v>
      </c>
      <c r="E1047" t="s">
        <v>2165</v>
      </c>
      <c r="F1047" t="s">
        <v>7</v>
      </c>
      <c r="G1047" t="s">
        <v>1250</v>
      </c>
      <c r="H1047" t="s">
        <v>192</v>
      </c>
      <c r="I1047" t="s">
        <v>185</v>
      </c>
      <c r="J1047" t="s">
        <v>220</v>
      </c>
      <c r="K1047" t="s">
        <v>1910</v>
      </c>
      <c r="L1047" s="84">
        <v>42100</v>
      </c>
      <c r="M1047" t="s">
        <v>352</v>
      </c>
      <c r="N1047" t="s">
        <v>1911</v>
      </c>
      <c r="O1047">
        <v>2</v>
      </c>
      <c r="P1047" t="s">
        <v>1912</v>
      </c>
      <c r="Q1047" t="s">
        <v>1913</v>
      </c>
      <c r="R1047" t="s">
        <v>2063</v>
      </c>
      <c r="S1047" t="s">
        <v>2064</v>
      </c>
      <c r="T1047" t="s">
        <v>32</v>
      </c>
      <c r="U1047" t="s">
        <v>79</v>
      </c>
      <c r="V1047">
        <v>55</v>
      </c>
      <c r="W1047">
        <v>82</v>
      </c>
      <c r="X1047">
        <v>122</v>
      </c>
      <c r="Y1047">
        <v>77</v>
      </c>
      <c r="Z1047">
        <v>184</v>
      </c>
      <c r="AA1047">
        <v>125</v>
      </c>
      <c r="AB1047" t="s">
        <v>1098</v>
      </c>
      <c r="AC1047" t="s">
        <v>2567</v>
      </c>
      <c r="AD1047" t="s">
        <v>182</v>
      </c>
      <c r="AE1047" t="s">
        <v>183</v>
      </c>
      <c r="AF1047">
        <v>1</v>
      </c>
    </row>
    <row r="1048" spans="1:32">
      <c r="A1048">
        <v>323</v>
      </c>
      <c r="B1048">
        <v>1009</v>
      </c>
      <c r="C1048" t="s">
        <v>1909</v>
      </c>
      <c r="D1048" t="s">
        <v>1059</v>
      </c>
      <c r="E1048" t="s">
        <v>2165</v>
      </c>
      <c r="F1048" t="s">
        <v>6</v>
      </c>
      <c r="G1048" t="s">
        <v>1253</v>
      </c>
      <c r="H1048" t="s">
        <v>186</v>
      </c>
      <c r="I1048" t="s">
        <v>376</v>
      </c>
      <c r="J1048" t="s">
        <v>324</v>
      </c>
      <c r="K1048" t="s">
        <v>1910</v>
      </c>
      <c r="L1048" s="84">
        <v>42100</v>
      </c>
      <c r="M1048" t="s">
        <v>352</v>
      </c>
      <c r="N1048" t="s">
        <v>1911</v>
      </c>
      <c r="O1048">
        <v>2</v>
      </c>
      <c r="P1048" t="s">
        <v>1912</v>
      </c>
      <c r="Q1048" t="s">
        <v>1913</v>
      </c>
      <c r="R1048" t="s">
        <v>2063</v>
      </c>
      <c r="S1048" t="s">
        <v>2064</v>
      </c>
      <c r="T1048" t="s">
        <v>34</v>
      </c>
      <c r="U1048" t="s">
        <v>79</v>
      </c>
      <c r="V1048">
        <v>55</v>
      </c>
      <c r="W1048">
        <v>82</v>
      </c>
      <c r="X1048">
        <v>122</v>
      </c>
      <c r="Y1048">
        <v>77</v>
      </c>
      <c r="Z1048">
        <v>184</v>
      </c>
      <c r="AA1048">
        <v>125</v>
      </c>
      <c r="AB1048" t="s">
        <v>1098</v>
      </c>
      <c r="AC1048" t="s">
        <v>2567</v>
      </c>
      <c r="AD1048" t="s">
        <v>182</v>
      </c>
      <c r="AE1048" t="s">
        <v>183</v>
      </c>
      <c r="AF1048">
        <v>1</v>
      </c>
    </row>
    <row r="1049" spans="1:32">
      <c r="A1049">
        <v>323</v>
      </c>
      <c r="B1049">
        <v>1009</v>
      </c>
      <c r="C1049" t="s">
        <v>1909</v>
      </c>
      <c r="D1049" t="s">
        <v>1059</v>
      </c>
      <c r="E1049" t="s">
        <v>2165</v>
      </c>
      <c r="F1049" t="s">
        <v>197</v>
      </c>
      <c r="G1049" t="s">
        <v>1256</v>
      </c>
      <c r="H1049" t="s">
        <v>192</v>
      </c>
      <c r="I1049" t="s">
        <v>192</v>
      </c>
      <c r="J1049" t="s">
        <v>192</v>
      </c>
      <c r="K1049" t="s">
        <v>1910</v>
      </c>
      <c r="L1049" s="84">
        <v>42100</v>
      </c>
      <c r="M1049" t="s">
        <v>352</v>
      </c>
      <c r="N1049" t="s">
        <v>1911</v>
      </c>
      <c r="O1049">
        <v>2</v>
      </c>
      <c r="P1049" t="s">
        <v>1912</v>
      </c>
      <c r="Q1049" t="s">
        <v>1913</v>
      </c>
      <c r="R1049" t="s">
        <v>2063</v>
      </c>
      <c r="S1049" t="s">
        <v>2064</v>
      </c>
      <c r="T1049" t="s">
        <v>38</v>
      </c>
      <c r="U1049" t="s">
        <v>79</v>
      </c>
      <c r="V1049">
        <v>55</v>
      </c>
      <c r="W1049">
        <v>82</v>
      </c>
      <c r="X1049">
        <v>122</v>
      </c>
      <c r="Y1049">
        <v>77</v>
      </c>
      <c r="Z1049">
        <v>184</v>
      </c>
      <c r="AA1049">
        <v>125</v>
      </c>
      <c r="AB1049" t="s">
        <v>1098</v>
      </c>
      <c r="AC1049" t="s">
        <v>2567</v>
      </c>
      <c r="AD1049" t="s">
        <v>182</v>
      </c>
      <c r="AE1049" t="s">
        <v>183</v>
      </c>
      <c r="AF1049">
        <v>1</v>
      </c>
    </row>
    <row r="1050" spans="1:32">
      <c r="A1050">
        <v>323</v>
      </c>
      <c r="B1050">
        <v>1009</v>
      </c>
      <c r="C1050" t="s">
        <v>1909</v>
      </c>
      <c r="D1050" t="s">
        <v>1059</v>
      </c>
      <c r="E1050" t="s">
        <v>2165</v>
      </c>
      <c r="F1050" t="s">
        <v>193</v>
      </c>
      <c r="G1050" t="s">
        <v>1254</v>
      </c>
      <c r="H1050" t="s">
        <v>192</v>
      </c>
      <c r="I1050" t="s">
        <v>212</v>
      </c>
      <c r="J1050" t="s">
        <v>192</v>
      </c>
      <c r="K1050" t="s">
        <v>1910</v>
      </c>
      <c r="L1050" s="84">
        <v>42100</v>
      </c>
      <c r="M1050" t="s">
        <v>352</v>
      </c>
      <c r="N1050" t="s">
        <v>1911</v>
      </c>
      <c r="O1050">
        <v>2</v>
      </c>
      <c r="P1050" t="s">
        <v>1912</v>
      </c>
      <c r="Q1050" t="s">
        <v>1913</v>
      </c>
      <c r="R1050" t="s">
        <v>2063</v>
      </c>
      <c r="S1050" t="s">
        <v>2064</v>
      </c>
      <c r="T1050" t="s">
        <v>36</v>
      </c>
      <c r="U1050" t="s">
        <v>79</v>
      </c>
      <c r="V1050">
        <v>55</v>
      </c>
      <c r="W1050">
        <v>82</v>
      </c>
      <c r="X1050">
        <v>122</v>
      </c>
      <c r="Y1050">
        <v>77</v>
      </c>
      <c r="Z1050">
        <v>184</v>
      </c>
      <c r="AA1050">
        <v>125</v>
      </c>
      <c r="AB1050" t="s">
        <v>1098</v>
      </c>
      <c r="AC1050" t="s">
        <v>2567</v>
      </c>
      <c r="AD1050" t="s">
        <v>182</v>
      </c>
      <c r="AE1050" t="s">
        <v>183</v>
      </c>
      <c r="AF1050">
        <v>1</v>
      </c>
    </row>
    <row r="1051" spans="1:32">
      <c r="A1051">
        <v>323</v>
      </c>
      <c r="B1051">
        <v>1009</v>
      </c>
      <c r="C1051" t="s">
        <v>1909</v>
      </c>
      <c r="D1051" t="s">
        <v>1059</v>
      </c>
      <c r="E1051" t="s">
        <v>2165</v>
      </c>
      <c r="F1051" t="s">
        <v>37</v>
      </c>
      <c r="G1051" t="s">
        <v>1255</v>
      </c>
      <c r="H1051" t="s">
        <v>1701</v>
      </c>
      <c r="I1051" t="s">
        <v>212</v>
      </c>
      <c r="J1051" t="s">
        <v>212</v>
      </c>
      <c r="K1051" t="s">
        <v>1910</v>
      </c>
      <c r="L1051" s="84">
        <v>42100</v>
      </c>
      <c r="M1051" t="s">
        <v>352</v>
      </c>
      <c r="N1051" t="s">
        <v>1911</v>
      </c>
      <c r="O1051">
        <v>2</v>
      </c>
      <c r="P1051" t="s">
        <v>1912</v>
      </c>
      <c r="Q1051" t="s">
        <v>1913</v>
      </c>
      <c r="R1051" t="s">
        <v>2063</v>
      </c>
      <c r="S1051" t="s">
        <v>2064</v>
      </c>
      <c r="T1051" t="s">
        <v>37</v>
      </c>
      <c r="U1051" t="s">
        <v>79</v>
      </c>
      <c r="V1051">
        <v>55</v>
      </c>
      <c r="W1051">
        <v>82</v>
      </c>
      <c r="X1051">
        <v>122</v>
      </c>
      <c r="Y1051">
        <v>77</v>
      </c>
      <c r="Z1051">
        <v>184</v>
      </c>
      <c r="AA1051">
        <v>125</v>
      </c>
      <c r="AB1051" t="s">
        <v>1098</v>
      </c>
      <c r="AC1051" t="s">
        <v>2567</v>
      </c>
      <c r="AD1051" t="s">
        <v>182</v>
      </c>
      <c r="AE1051" t="s">
        <v>183</v>
      </c>
      <c r="AF1051">
        <v>1</v>
      </c>
    </row>
    <row r="1052" spans="1:32">
      <c r="A1052">
        <v>324</v>
      </c>
      <c r="B1052">
        <v>811</v>
      </c>
      <c r="C1052" t="s">
        <v>428</v>
      </c>
      <c r="D1052" t="s">
        <v>1059</v>
      </c>
      <c r="E1052" t="s">
        <v>2165</v>
      </c>
      <c r="F1052" t="s">
        <v>37</v>
      </c>
      <c r="G1052" t="s">
        <v>1260</v>
      </c>
      <c r="H1052" t="s">
        <v>1701</v>
      </c>
      <c r="I1052" t="s">
        <v>212</v>
      </c>
      <c r="J1052" t="s">
        <v>192</v>
      </c>
      <c r="K1052" t="s">
        <v>430</v>
      </c>
      <c r="L1052" s="84">
        <v>42234</v>
      </c>
      <c r="M1052" t="s">
        <v>325</v>
      </c>
      <c r="N1052" t="s">
        <v>1357</v>
      </c>
      <c r="O1052">
        <v>2</v>
      </c>
      <c r="P1052" t="s">
        <v>431</v>
      </c>
      <c r="Q1052" t="s">
        <v>432</v>
      </c>
      <c r="R1052" t="s">
        <v>433</v>
      </c>
      <c r="S1052" t="s">
        <v>434</v>
      </c>
      <c r="T1052" t="s">
        <v>37</v>
      </c>
      <c r="U1052" t="s">
        <v>79</v>
      </c>
      <c r="V1052">
        <v>70</v>
      </c>
      <c r="W1052">
        <v>82</v>
      </c>
      <c r="X1052">
        <v>122</v>
      </c>
      <c r="Y1052">
        <v>105</v>
      </c>
      <c r="Z1052">
        <v>184</v>
      </c>
      <c r="AA1052">
        <v>158</v>
      </c>
      <c r="AB1052" t="s">
        <v>882</v>
      </c>
      <c r="AC1052" t="s">
        <v>256</v>
      </c>
      <c r="AD1052" t="s">
        <v>210</v>
      </c>
      <c r="AE1052" t="s">
        <v>183</v>
      </c>
      <c r="AF1052">
        <v>1</v>
      </c>
    </row>
    <row r="1053" spans="1:32">
      <c r="A1053">
        <v>324</v>
      </c>
      <c r="B1053">
        <v>811</v>
      </c>
      <c r="C1053" t="s">
        <v>428</v>
      </c>
      <c r="D1053" t="s">
        <v>1059</v>
      </c>
      <c r="E1053" t="s">
        <v>2165</v>
      </c>
      <c r="F1053" t="s">
        <v>193</v>
      </c>
      <c r="G1053" t="s">
        <v>1261</v>
      </c>
      <c r="H1053" t="s">
        <v>212</v>
      </c>
      <c r="I1053" t="s">
        <v>212</v>
      </c>
      <c r="J1053" t="s">
        <v>192</v>
      </c>
      <c r="K1053" t="s">
        <v>430</v>
      </c>
      <c r="L1053" s="84">
        <v>42234</v>
      </c>
      <c r="M1053" t="s">
        <v>325</v>
      </c>
      <c r="N1053" t="s">
        <v>1357</v>
      </c>
      <c r="O1053">
        <v>2</v>
      </c>
      <c r="P1053" t="s">
        <v>431</v>
      </c>
      <c r="Q1053" t="s">
        <v>432</v>
      </c>
      <c r="R1053" t="s">
        <v>433</v>
      </c>
      <c r="S1053" t="s">
        <v>434</v>
      </c>
      <c r="T1053" t="s">
        <v>36</v>
      </c>
      <c r="U1053" t="s">
        <v>79</v>
      </c>
      <c r="V1053">
        <v>70</v>
      </c>
      <c r="W1053">
        <v>82</v>
      </c>
      <c r="X1053">
        <v>122</v>
      </c>
      <c r="Y1053">
        <v>105</v>
      </c>
      <c r="Z1053">
        <v>184</v>
      </c>
      <c r="AA1053">
        <v>158</v>
      </c>
      <c r="AB1053" t="s">
        <v>882</v>
      </c>
      <c r="AC1053" t="s">
        <v>256</v>
      </c>
      <c r="AD1053" t="s">
        <v>210</v>
      </c>
      <c r="AE1053" t="s">
        <v>183</v>
      </c>
      <c r="AF1053">
        <v>1</v>
      </c>
    </row>
    <row r="1054" spans="1:32">
      <c r="A1054">
        <v>324</v>
      </c>
      <c r="B1054">
        <v>811</v>
      </c>
      <c r="C1054" t="s">
        <v>428</v>
      </c>
      <c r="D1054" t="s">
        <v>1059</v>
      </c>
      <c r="E1054" t="s">
        <v>2165</v>
      </c>
      <c r="F1054" t="s">
        <v>197</v>
      </c>
      <c r="G1054" t="s">
        <v>1257</v>
      </c>
      <c r="H1054" t="s">
        <v>188</v>
      </c>
      <c r="I1054" t="s">
        <v>192</v>
      </c>
      <c r="J1054" t="s">
        <v>212</v>
      </c>
      <c r="K1054" t="s">
        <v>430</v>
      </c>
      <c r="L1054" s="84">
        <v>42234</v>
      </c>
      <c r="M1054" t="s">
        <v>325</v>
      </c>
      <c r="N1054" t="s">
        <v>1357</v>
      </c>
      <c r="O1054">
        <v>2</v>
      </c>
      <c r="P1054" t="s">
        <v>431</v>
      </c>
      <c r="Q1054" t="s">
        <v>432</v>
      </c>
      <c r="R1054" t="s">
        <v>433</v>
      </c>
      <c r="S1054" t="s">
        <v>434</v>
      </c>
      <c r="T1054" t="s">
        <v>38</v>
      </c>
      <c r="U1054" t="s">
        <v>79</v>
      </c>
      <c r="V1054">
        <v>70</v>
      </c>
      <c r="W1054">
        <v>82</v>
      </c>
      <c r="X1054">
        <v>122</v>
      </c>
      <c r="Y1054">
        <v>105</v>
      </c>
      <c r="Z1054">
        <v>184</v>
      </c>
      <c r="AA1054">
        <v>158</v>
      </c>
      <c r="AB1054" t="s">
        <v>882</v>
      </c>
      <c r="AC1054" t="s">
        <v>256</v>
      </c>
      <c r="AD1054" t="s">
        <v>210</v>
      </c>
      <c r="AE1054" t="s">
        <v>183</v>
      </c>
      <c r="AF1054">
        <v>1</v>
      </c>
    </row>
    <row r="1055" spans="1:32">
      <c r="A1055">
        <v>324</v>
      </c>
      <c r="B1055">
        <v>811</v>
      </c>
      <c r="C1055" t="s">
        <v>428</v>
      </c>
      <c r="D1055" t="s">
        <v>1059</v>
      </c>
      <c r="E1055" t="s">
        <v>2165</v>
      </c>
      <c r="F1055" t="s">
        <v>6</v>
      </c>
      <c r="G1055" t="s">
        <v>1262</v>
      </c>
      <c r="H1055" t="s">
        <v>223</v>
      </c>
      <c r="I1055" t="s">
        <v>274</v>
      </c>
      <c r="J1055" t="s">
        <v>181</v>
      </c>
      <c r="K1055" t="s">
        <v>430</v>
      </c>
      <c r="L1055" s="84">
        <v>42234</v>
      </c>
      <c r="M1055" t="s">
        <v>325</v>
      </c>
      <c r="N1055" t="s">
        <v>1357</v>
      </c>
      <c r="O1055">
        <v>2</v>
      </c>
      <c r="P1055" t="s">
        <v>431</v>
      </c>
      <c r="Q1055" t="s">
        <v>432</v>
      </c>
      <c r="R1055" t="s">
        <v>433</v>
      </c>
      <c r="S1055" t="s">
        <v>434</v>
      </c>
      <c r="T1055" t="s">
        <v>34</v>
      </c>
      <c r="U1055" t="s">
        <v>79</v>
      </c>
      <c r="V1055">
        <v>70</v>
      </c>
      <c r="W1055">
        <v>82</v>
      </c>
      <c r="X1055">
        <v>122</v>
      </c>
      <c r="Y1055">
        <v>105</v>
      </c>
      <c r="Z1055">
        <v>184</v>
      </c>
      <c r="AA1055">
        <v>158</v>
      </c>
      <c r="AB1055" t="s">
        <v>882</v>
      </c>
      <c r="AC1055" t="s">
        <v>256</v>
      </c>
      <c r="AD1055" t="s">
        <v>210</v>
      </c>
      <c r="AE1055" t="s">
        <v>183</v>
      </c>
      <c r="AF1055">
        <v>1</v>
      </c>
    </row>
    <row r="1056" spans="1:32">
      <c r="A1056">
        <v>324</v>
      </c>
      <c r="B1056">
        <v>811</v>
      </c>
      <c r="C1056" t="s">
        <v>428</v>
      </c>
      <c r="D1056" t="s">
        <v>1059</v>
      </c>
      <c r="E1056" t="s">
        <v>2165</v>
      </c>
      <c r="F1056" t="s">
        <v>7</v>
      </c>
      <c r="G1056" t="s">
        <v>1265</v>
      </c>
      <c r="H1056" t="s">
        <v>2049</v>
      </c>
      <c r="I1056" t="s">
        <v>185</v>
      </c>
      <c r="J1056" t="s">
        <v>171</v>
      </c>
      <c r="K1056" t="s">
        <v>430</v>
      </c>
      <c r="L1056" s="84">
        <v>42234</v>
      </c>
      <c r="M1056" t="s">
        <v>325</v>
      </c>
      <c r="N1056" t="s">
        <v>1357</v>
      </c>
      <c r="O1056">
        <v>2</v>
      </c>
      <c r="P1056" t="s">
        <v>431</v>
      </c>
      <c r="Q1056" t="s">
        <v>432</v>
      </c>
      <c r="R1056" t="s">
        <v>433</v>
      </c>
      <c r="S1056" t="s">
        <v>434</v>
      </c>
      <c r="T1056" t="s">
        <v>32</v>
      </c>
      <c r="U1056" t="s">
        <v>79</v>
      </c>
      <c r="V1056">
        <v>70</v>
      </c>
      <c r="W1056">
        <v>82</v>
      </c>
      <c r="X1056">
        <v>122</v>
      </c>
      <c r="Y1056">
        <v>105</v>
      </c>
      <c r="Z1056">
        <v>184</v>
      </c>
      <c r="AA1056">
        <v>158</v>
      </c>
      <c r="AB1056" t="s">
        <v>882</v>
      </c>
      <c r="AC1056" t="s">
        <v>256</v>
      </c>
      <c r="AD1056" t="s">
        <v>210</v>
      </c>
      <c r="AE1056" t="s">
        <v>2050</v>
      </c>
      <c r="AF1056">
        <v>1</v>
      </c>
    </row>
    <row r="1057" spans="1:32">
      <c r="A1057">
        <v>324</v>
      </c>
      <c r="B1057">
        <v>811</v>
      </c>
      <c r="C1057" t="s">
        <v>428</v>
      </c>
      <c r="D1057" t="s">
        <v>1059</v>
      </c>
      <c r="E1057" t="s">
        <v>2165</v>
      </c>
      <c r="F1057" t="s">
        <v>8</v>
      </c>
      <c r="G1057" t="s">
        <v>1264</v>
      </c>
      <c r="H1057" t="s">
        <v>256</v>
      </c>
      <c r="I1057" t="s">
        <v>237</v>
      </c>
      <c r="J1057" t="s">
        <v>223</v>
      </c>
      <c r="K1057" t="s">
        <v>430</v>
      </c>
      <c r="L1057" s="84">
        <v>42234</v>
      </c>
      <c r="M1057" t="s">
        <v>325</v>
      </c>
      <c r="N1057" t="s">
        <v>1357</v>
      </c>
      <c r="O1057">
        <v>2</v>
      </c>
      <c r="P1057" t="s">
        <v>431</v>
      </c>
      <c r="Q1057" t="s">
        <v>432</v>
      </c>
      <c r="R1057" t="s">
        <v>433</v>
      </c>
      <c r="S1057" t="s">
        <v>434</v>
      </c>
      <c r="T1057" t="s">
        <v>31</v>
      </c>
      <c r="U1057" t="s">
        <v>79</v>
      </c>
      <c r="V1057">
        <v>70</v>
      </c>
      <c r="W1057">
        <v>82</v>
      </c>
      <c r="X1057">
        <v>122</v>
      </c>
      <c r="Y1057">
        <v>105</v>
      </c>
      <c r="Z1057">
        <v>184</v>
      </c>
      <c r="AA1057">
        <v>158</v>
      </c>
      <c r="AB1057" t="s">
        <v>882</v>
      </c>
      <c r="AC1057" t="s">
        <v>256</v>
      </c>
      <c r="AD1057" t="s">
        <v>210</v>
      </c>
      <c r="AE1057" t="s">
        <v>183</v>
      </c>
      <c r="AF1057">
        <v>1</v>
      </c>
    </row>
    <row r="1058" spans="1:32">
      <c r="A1058">
        <v>324</v>
      </c>
      <c r="B1058">
        <v>811</v>
      </c>
      <c r="C1058" t="s">
        <v>428</v>
      </c>
      <c r="D1058" t="s">
        <v>1059</v>
      </c>
      <c r="E1058" t="s">
        <v>2165</v>
      </c>
      <c r="F1058" t="s">
        <v>5</v>
      </c>
      <c r="G1058" t="s">
        <v>1263</v>
      </c>
      <c r="H1058" t="s">
        <v>297</v>
      </c>
      <c r="I1058" t="s">
        <v>297</v>
      </c>
      <c r="J1058" t="s">
        <v>274</v>
      </c>
      <c r="K1058" t="s">
        <v>430</v>
      </c>
      <c r="L1058" s="84">
        <v>42234</v>
      </c>
      <c r="M1058" t="s">
        <v>325</v>
      </c>
      <c r="N1058" t="s">
        <v>1357</v>
      </c>
      <c r="O1058">
        <v>2</v>
      </c>
      <c r="P1058" t="s">
        <v>431</v>
      </c>
      <c r="Q1058" t="s">
        <v>432</v>
      </c>
      <c r="R1058" t="s">
        <v>433</v>
      </c>
      <c r="S1058" t="s">
        <v>434</v>
      </c>
      <c r="T1058" t="s">
        <v>33</v>
      </c>
      <c r="U1058" t="s">
        <v>79</v>
      </c>
      <c r="V1058">
        <v>70</v>
      </c>
      <c r="W1058">
        <v>82</v>
      </c>
      <c r="X1058">
        <v>122</v>
      </c>
      <c r="Y1058">
        <v>105</v>
      </c>
      <c r="Z1058">
        <v>184</v>
      </c>
      <c r="AA1058">
        <v>158</v>
      </c>
      <c r="AB1058" t="s">
        <v>882</v>
      </c>
      <c r="AC1058" t="s">
        <v>256</v>
      </c>
      <c r="AD1058" t="s">
        <v>210</v>
      </c>
      <c r="AE1058" t="s">
        <v>183</v>
      </c>
      <c r="AF1058">
        <v>1</v>
      </c>
    </row>
    <row r="1059" spans="1:32">
      <c r="A1059">
        <v>325</v>
      </c>
      <c r="B1059">
        <v>794</v>
      </c>
      <c r="C1059" t="s">
        <v>472</v>
      </c>
      <c r="D1059" t="s">
        <v>1059</v>
      </c>
      <c r="E1059" t="s">
        <v>2165</v>
      </c>
      <c r="F1059" t="s">
        <v>5</v>
      </c>
      <c r="G1059" t="s">
        <v>1269</v>
      </c>
      <c r="H1059" t="s">
        <v>236</v>
      </c>
      <c r="I1059" t="s">
        <v>220</v>
      </c>
      <c r="J1059" t="s">
        <v>171</v>
      </c>
      <c r="K1059" t="s">
        <v>474</v>
      </c>
      <c r="L1059" s="84">
        <v>41993</v>
      </c>
      <c r="M1059" t="s">
        <v>352</v>
      </c>
      <c r="N1059" t="s">
        <v>1360</v>
      </c>
      <c r="O1059">
        <v>3</v>
      </c>
      <c r="P1059" t="s">
        <v>475</v>
      </c>
      <c r="Q1059" t="s">
        <v>476</v>
      </c>
      <c r="R1059" t="s">
        <v>477</v>
      </c>
      <c r="S1059" t="s">
        <v>478</v>
      </c>
      <c r="T1059" t="s">
        <v>33</v>
      </c>
      <c r="U1059" t="s">
        <v>80</v>
      </c>
      <c r="V1059">
        <v>63</v>
      </c>
      <c r="W1059">
        <v>82</v>
      </c>
      <c r="X1059">
        <v>122</v>
      </c>
      <c r="Y1059">
        <v>96</v>
      </c>
      <c r="Z1059">
        <v>184</v>
      </c>
      <c r="AA1059">
        <v>156</v>
      </c>
      <c r="AB1059" t="s">
        <v>1236</v>
      </c>
      <c r="AC1059" t="s">
        <v>228</v>
      </c>
      <c r="AD1059" t="s">
        <v>210</v>
      </c>
      <c r="AE1059" t="s">
        <v>183</v>
      </c>
      <c r="AF1059">
        <v>0</v>
      </c>
    </row>
    <row r="1060" spans="1:32">
      <c r="A1060">
        <v>325</v>
      </c>
      <c r="B1060">
        <v>794</v>
      </c>
      <c r="C1060" t="s">
        <v>472</v>
      </c>
      <c r="D1060" t="s">
        <v>1059</v>
      </c>
      <c r="E1060" t="s">
        <v>2165</v>
      </c>
      <c r="F1060" t="s">
        <v>8</v>
      </c>
      <c r="G1060" t="s">
        <v>1268</v>
      </c>
      <c r="H1060" t="s">
        <v>260</v>
      </c>
      <c r="I1060" t="s">
        <v>274</v>
      </c>
      <c r="J1060" t="s">
        <v>188</v>
      </c>
      <c r="K1060" t="s">
        <v>474</v>
      </c>
      <c r="L1060" s="84">
        <v>41993</v>
      </c>
      <c r="M1060" t="s">
        <v>352</v>
      </c>
      <c r="N1060" t="s">
        <v>1360</v>
      </c>
      <c r="O1060">
        <v>3</v>
      </c>
      <c r="P1060" t="s">
        <v>475</v>
      </c>
      <c r="Q1060" t="s">
        <v>476</v>
      </c>
      <c r="R1060" t="s">
        <v>477</v>
      </c>
      <c r="S1060" t="s">
        <v>478</v>
      </c>
      <c r="T1060" t="s">
        <v>31</v>
      </c>
      <c r="U1060" t="s">
        <v>80</v>
      </c>
      <c r="V1060">
        <v>63</v>
      </c>
      <c r="W1060">
        <v>82</v>
      </c>
      <c r="X1060">
        <v>122</v>
      </c>
      <c r="Y1060">
        <v>96</v>
      </c>
      <c r="Z1060">
        <v>184</v>
      </c>
      <c r="AA1060">
        <v>156</v>
      </c>
      <c r="AB1060" t="s">
        <v>1236</v>
      </c>
      <c r="AC1060" t="s">
        <v>228</v>
      </c>
      <c r="AD1060" t="s">
        <v>210</v>
      </c>
      <c r="AE1060" t="s">
        <v>183</v>
      </c>
      <c r="AF1060">
        <v>0</v>
      </c>
    </row>
    <row r="1061" spans="1:32">
      <c r="A1061">
        <v>325</v>
      </c>
      <c r="B1061">
        <v>794</v>
      </c>
      <c r="C1061" t="s">
        <v>472</v>
      </c>
      <c r="D1061" t="s">
        <v>1059</v>
      </c>
      <c r="E1061" t="s">
        <v>2165</v>
      </c>
      <c r="F1061" t="s">
        <v>7</v>
      </c>
      <c r="G1061" t="s">
        <v>1266</v>
      </c>
      <c r="H1061" t="s">
        <v>236</v>
      </c>
      <c r="I1061" t="s">
        <v>215</v>
      </c>
      <c r="J1061" t="s">
        <v>237</v>
      </c>
      <c r="K1061" t="s">
        <v>474</v>
      </c>
      <c r="L1061" s="84">
        <v>41993</v>
      </c>
      <c r="M1061" t="s">
        <v>352</v>
      </c>
      <c r="N1061" t="s">
        <v>1360</v>
      </c>
      <c r="O1061">
        <v>3</v>
      </c>
      <c r="P1061" t="s">
        <v>475</v>
      </c>
      <c r="Q1061" t="s">
        <v>476</v>
      </c>
      <c r="R1061" t="s">
        <v>477</v>
      </c>
      <c r="S1061" t="s">
        <v>478</v>
      </c>
      <c r="T1061" t="s">
        <v>32</v>
      </c>
      <c r="U1061" t="s">
        <v>80</v>
      </c>
      <c r="V1061">
        <v>63</v>
      </c>
      <c r="W1061">
        <v>82</v>
      </c>
      <c r="X1061">
        <v>122</v>
      </c>
      <c r="Y1061">
        <v>96</v>
      </c>
      <c r="Z1061">
        <v>184</v>
      </c>
      <c r="AA1061">
        <v>156</v>
      </c>
      <c r="AB1061" t="s">
        <v>1236</v>
      </c>
      <c r="AC1061" t="s">
        <v>228</v>
      </c>
      <c r="AD1061" t="s">
        <v>210</v>
      </c>
      <c r="AE1061" t="s">
        <v>183</v>
      </c>
      <c r="AF1061">
        <v>0</v>
      </c>
    </row>
    <row r="1062" spans="1:32">
      <c r="A1062">
        <v>325</v>
      </c>
      <c r="B1062">
        <v>794</v>
      </c>
      <c r="C1062" t="s">
        <v>472</v>
      </c>
      <c r="D1062" t="s">
        <v>1059</v>
      </c>
      <c r="E1062" t="s">
        <v>2165</v>
      </c>
      <c r="F1062" t="s">
        <v>6</v>
      </c>
      <c r="G1062" t="s">
        <v>1270</v>
      </c>
      <c r="H1062" t="s">
        <v>228</v>
      </c>
      <c r="I1062" t="s">
        <v>226</v>
      </c>
      <c r="J1062" t="s">
        <v>415</v>
      </c>
      <c r="K1062" t="s">
        <v>474</v>
      </c>
      <c r="L1062" s="84">
        <v>41993</v>
      </c>
      <c r="M1062" t="s">
        <v>352</v>
      </c>
      <c r="N1062" t="s">
        <v>1360</v>
      </c>
      <c r="O1062">
        <v>3</v>
      </c>
      <c r="P1062" t="s">
        <v>475</v>
      </c>
      <c r="Q1062" t="s">
        <v>476</v>
      </c>
      <c r="R1062" t="s">
        <v>477</v>
      </c>
      <c r="S1062" t="s">
        <v>478</v>
      </c>
      <c r="T1062" t="s">
        <v>34</v>
      </c>
      <c r="U1062" t="s">
        <v>80</v>
      </c>
      <c r="V1062">
        <v>63</v>
      </c>
      <c r="W1062">
        <v>82</v>
      </c>
      <c r="X1062">
        <v>122</v>
      </c>
      <c r="Y1062">
        <v>96</v>
      </c>
      <c r="Z1062">
        <v>184</v>
      </c>
      <c r="AA1062">
        <v>156</v>
      </c>
      <c r="AB1062" t="s">
        <v>1236</v>
      </c>
      <c r="AC1062" t="s">
        <v>228</v>
      </c>
      <c r="AD1062" t="s">
        <v>210</v>
      </c>
      <c r="AE1062" t="s">
        <v>183</v>
      </c>
      <c r="AF1062">
        <v>0</v>
      </c>
    </row>
    <row r="1063" spans="1:32">
      <c r="A1063">
        <v>325</v>
      </c>
      <c r="B1063">
        <v>794</v>
      </c>
      <c r="C1063" t="s">
        <v>472</v>
      </c>
      <c r="D1063" t="s">
        <v>1059</v>
      </c>
      <c r="E1063" t="s">
        <v>2165</v>
      </c>
      <c r="F1063" t="s">
        <v>197</v>
      </c>
      <c r="G1063" t="s">
        <v>1273</v>
      </c>
      <c r="H1063" t="s">
        <v>192</v>
      </c>
      <c r="I1063" t="s">
        <v>192</v>
      </c>
      <c r="J1063" t="s">
        <v>192</v>
      </c>
      <c r="K1063" t="s">
        <v>474</v>
      </c>
      <c r="L1063" s="84">
        <v>41993</v>
      </c>
      <c r="M1063" t="s">
        <v>352</v>
      </c>
      <c r="N1063" t="s">
        <v>1360</v>
      </c>
      <c r="O1063">
        <v>3</v>
      </c>
      <c r="P1063" t="s">
        <v>475</v>
      </c>
      <c r="Q1063" t="s">
        <v>476</v>
      </c>
      <c r="R1063" t="s">
        <v>477</v>
      </c>
      <c r="S1063" t="s">
        <v>478</v>
      </c>
      <c r="T1063" t="s">
        <v>38</v>
      </c>
      <c r="U1063" t="s">
        <v>80</v>
      </c>
      <c r="V1063">
        <v>63</v>
      </c>
      <c r="W1063">
        <v>82</v>
      </c>
      <c r="X1063">
        <v>122</v>
      </c>
      <c r="Y1063">
        <v>96</v>
      </c>
      <c r="Z1063">
        <v>184</v>
      </c>
      <c r="AA1063">
        <v>156</v>
      </c>
      <c r="AB1063" t="s">
        <v>1236</v>
      </c>
      <c r="AC1063" t="s">
        <v>228</v>
      </c>
      <c r="AD1063" t="s">
        <v>210</v>
      </c>
      <c r="AE1063" t="s">
        <v>183</v>
      </c>
      <c r="AF1063">
        <v>0</v>
      </c>
    </row>
    <row r="1064" spans="1:32">
      <c r="A1064">
        <v>325</v>
      </c>
      <c r="B1064">
        <v>794</v>
      </c>
      <c r="C1064" t="s">
        <v>472</v>
      </c>
      <c r="D1064" t="s">
        <v>1059</v>
      </c>
      <c r="E1064" t="s">
        <v>2165</v>
      </c>
      <c r="F1064" t="s">
        <v>193</v>
      </c>
      <c r="G1064" t="s">
        <v>1271</v>
      </c>
      <c r="H1064" t="s">
        <v>223</v>
      </c>
      <c r="I1064" t="s">
        <v>212</v>
      </c>
      <c r="J1064" t="s">
        <v>192</v>
      </c>
      <c r="K1064" t="s">
        <v>474</v>
      </c>
      <c r="L1064" s="84">
        <v>41993</v>
      </c>
      <c r="M1064" t="s">
        <v>352</v>
      </c>
      <c r="N1064" t="s">
        <v>1360</v>
      </c>
      <c r="O1064">
        <v>3</v>
      </c>
      <c r="P1064" t="s">
        <v>475</v>
      </c>
      <c r="Q1064" t="s">
        <v>476</v>
      </c>
      <c r="R1064" t="s">
        <v>477</v>
      </c>
      <c r="S1064" t="s">
        <v>478</v>
      </c>
      <c r="T1064" t="s">
        <v>36</v>
      </c>
      <c r="U1064" t="s">
        <v>80</v>
      </c>
      <c r="V1064">
        <v>63</v>
      </c>
      <c r="W1064">
        <v>82</v>
      </c>
      <c r="X1064">
        <v>122</v>
      </c>
      <c r="Y1064">
        <v>96</v>
      </c>
      <c r="Z1064">
        <v>184</v>
      </c>
      <c r="AA1064">
        <v>156</v>
      </c>
      <c r="AB1064" t="s">
        <v>1236</v>
      </c>
      <c r="AC1064" t="s">
        <v>228</v>
      </c>
      <c r="AD1064" t="s">
        <v>210</v>
      </c>
      <c r="AE1064" t="s">
        <v>183</v>
      </c>
      <c r="AF1064">
        <v>0</v>
      </c>
    </row>
    <row r="1065" spans="1:32">
      <c r="A1065">
        <v>325</v>
      </c>
      <c r="B1065">
        <v>794</v>
      </c>
      <c r="C1065" t="s">
        <v>472</v>
      </c>
      <c r="D1065" t="s">
        <v>1059</v>
      </c>
      <c r="E1065" t="s">
        <v>2165</v>
      </c>
      <c r="F1065" t="s">
        <v>37</v>
      </c>
      <c r="G1065" t="s">
        <v>1272</v>
      </c>
      <c r="H1065" t="s">
        <v>1701</v>
      </c>
      <c r="I1065" t="s">
        <v>212</v>
      </c>
      <c r="J1065" t="s">
        <v>192</v>
      </c>
      <c r="K1065" t="s">
        <v>474</v>
      </c>
      <c r="L1065" s="84">
        <v>41993</v>
      </c>
      <c r="M1065" t="s">
        <v>352</v>
      </c>
      <c r="N1065" t="s">
        <v>1360</v>
      </c>
      <c r="O1065">
        <v>3</v>
      </c>
      <c r="P1065" t="s">
        <v>475</v>
      </c>
      <c r="Q1065" t="s">
        <v>476</v>
      </c>
      <c r="R1065" t="s">
        <v>477</v>
      </c>
      <c r="S1065" t="s">
        <v>478</v>
      </c>
      <c r="T1065" t="s">
        <v>37</v>
      </c>
      <c r="U1065" t="s">
        <v>80</v>
      </c>
      <c r="V1065">
        <v>63</v>
      </c>
      <c r="W1065">
        <v>82</v>
      </c>
      <c r="X1065">
        <v>122</v>
      </c>
      <c r="Y1065">
        <v>96</v>
      </c>
      <c r="Z1065">
        <v>184</v>
      </c>
      <c r="AA1065">
        <v>156</v>
      </c>
      <c r="AB1065" t="s">
        <v>1236</v>
      </c>
      <c r="AC1065" t="s">
        <v>228</v>
      </c>
      <c r="AD1065" t="s">
        <v>210</v>
      </c>
      <c r="AE1065" t="s">
        <v>183</v>
      </c>
      <c r="AF1065">
        <v>0</v>
      </c>
    </row>
    <row r="1066" spans="1:32">
      <c r="A1066">
        <v>326</v>
      </c>
      <c r="B1066">
        <v>788</v>
      </c>
      <c r="C1066" t="s">
        <v>485</v>
      </c>
      <c r="D1066" t="s">
        <v>1059</v>
      </c>
      <c r="E1066" t="s">
        <v>2165</v>
      </c>
      <c r="F1066" t="s">
        <v>37</v>
      </c>
      <c r="G1066" t="s">
        <v>1275</v>
      </c>
      <c r="H1066" t="s">
        <v>1701</v>
      </c>
      <c r="I1066" t="s">
        <v>212</v>
      </c>
      <c r="J1066" t="s">
        <v>192</v>
      </c>
      <c r="K1066" t="s">
        <v>487</v>
      </c>
      <c r="L1066" s="84">
        <v>42600</v>
      </c>
      <c r="M1066" t="s">
        <v>325</v>
      </c>
      <c r="N1066" t="s">
        <v>488</v>
      </c>
      <c r="O1066">
        <v>9</v>
      </c>
      <c r="P1066" t="s">
        <v>489</v>
      </c>
      <c r="Q1066" t="s">
        <v>490</v>
      </c>
      <c r="R1066" t="s">
        <v>491</v>
      </c>
      <c r="S1066" t="s">
        <v>492</v>
      </c>
      <c r="T1066" t="s">
        <v>37</v>
      </c>
      <c r="U1066" t="s">
        <v>85</v>
      </c>
      <c r="V1066">
        <v>81</v>
      </c>
      <c r="W1066">
        <v>82</v>
      </c>
      <c r="X1066">
        <v>122</v>
      </c>
      <c r="Y1066">
        <v>121</v>
      </c>
      <c r="Z1066">
        <v>184</v>
      </c>
      <c r="AA1066">
        <v>179</v>
      </c>
      <c r="AB1066" t="s">
        <v>327</v>
      </c>
      <c r="AC1066" t="s">
        <v>181</v>
      </c>
      <c r="AD1066" t="s">
        <v>210</v>
      </c>
      <c r="AE1066" t="s">
        <v>183</v>
      </c>
      <c r="AF1066">
        <v>0</v>
      </c>
    </row>
    <row r="1067" spans="1:32">
      <c r="A1067">
        <v>326</v>
      </c>
      <c r="B1067">
        <v>788</v>
      </c>
      <c r="C1067" t="s">
        <v>485</v>
      </c>
      <c r="D1067" t="s">
        <v>1059</v>
      </c>
      <c r="E1067" t="s">
        <v>2165</v>
      </c>
      <c r="F1067" t="s">
        <v>193</v>
      </c>
      <c r="G1067" t="s">
        <v>1276</v>
      </c>
      <c r="H1067" t="s">
        <v>192</v>
      </c>
      <c r="I1067" t="s">
        <v>212</v>
      </c>
      <c r="J1067" t="s">
        <v>192</v>
      </c>
      <c r="K1067" t="s">
        <v>487</v>
      </c>
      <c r="L1067" s="84">
        <v>42600</v>
      </c>
      <c r="M1067" t="s">
        <v>325</v>
      </c>
      <c r="N1067" t="s">
        <v>488</v>
      </c>
      <c r="O1067">
        <v>9</v>
      </c>
      <c r="P1067" t="s">
        <v>489</v>
      </c>
      <c r="Q1067" t="s">
        <v>490</v>
      </c>
      <c r="R1067" t="s">
        <v>491</v>
      </c>
      <c r="S1067" t="s">
        <v>492</v>
      </c>
      <c r="T1067" t="s">
        <v>36</v>
      </c>
      <c r="U1067" t="s">
        <v>85</v>
      </c>
      <c r="V1067">
        <v>81</v>
      </c>
      <c r="W1067">
        <v>82</v>
      </c>
      <c r="X1067">
        <v>122</v>
      </c>
      <c r="Y1067">
        <v>121</v>
      </c>
      <c r="Z1067">
        <v>184</v>
      </c>
      <c r="AA1067">
        <v>179</v>
      </c>
      <c r="AB1067" t="s">
        <v>327</v>
      </c>
      <c r="AC1067" t="s">
        <v>181</v>
      </c>
      <c r="AD1067" t="s">
        <v>210</v>
      </c>
      <c r="AE1067" t="s">
        <v>183</v>
      </c>
      <c r="AF1067">
        <v>0</v>
      </c>
    </row>
    <row r="1068" spans="1:32">
      <c r="A1068">
        <v>326</v>
      </c>
      <c r="B1068">
        <v>788</v>
      </c>
      <c r="C1068" t="s">
        <v>485</v>
      </c>
      <c r="D1068" t="s">
        <v>1059</v>
      </c>
      <c r="E1068" t="s">
        <v>2165</v>
      </c>
      <c r="F1068" t="s">
        <v>197</v>
      </c>
      <c r="G1068" t="s">
        <v>1274</v>
      </c>
      <c r="H1068" t="s">
        <v>188</v>
      </c>
      <c r="I1068" t="s">
        <v>192</v>
      </c>
      <c r="J1068" t="s">
        <v>212</v>
      </c>
      <c r="K1068" t="s">
        <v>487</v>
      </c>
      <c r="L1068" s="84">
        <v>42600</v>
      </c>
      <c r="M1068" t="s">
        <v>325</v>
      </c>
      <c r="N1068" t="s">
        <v>488</v>
      </c>
      <c r="O1068">
        <v>9</v>
      </c>
      <c r="P1068" t="s">
        <v>489</v>
      </c>
      <c r="Q1068" t="s">
        <v>490</v>
      </c>
      <c r="R1068" t="s">
        <v>491</v>
      </c>
      <c r="S1068" t="s">
        <v>492</v>
      </c>
      <c r="T1068" t="s">
        <v>38</v>
      </c>
      <c r="U1068" t="s">
        <v>85</v>
      </c>
      <c r="V1068">
        <v>81</v>
      </c>
      <c r="W1068">
        <v>82</v>
      </c>
      <c r="X1068">
        <v>122</v>
      </c>
      <c r="Y1068">
        <v>121</v>
      </c>
      <c r="Z1068">
        <v>184</v>
      </c>
      <c r="AA1068">
        <v>179</v>
      </c>
      <c r="AB1068" t="s">
        <v>327</v>
      </c>
      <c r="AC1068" t="s">
        <v>181</v>
      </c>
      <c r="AD1068" t="s">
        <v>210</v>
      </c>
      <c r="AE1068" t="s">
        <v>183</v>
      </c>
      <c r="AF1068">
        <v>0</v>
      </c>
    </row>
    <row r="1069" spans="1:32">
      <c r="A1069">
        <v>326</v>
      </c>
      <c r="B1069">
        <v>788</v>
      </c>
      <c r="C1069" t="s">
        <v>485</v>
      </c>
      <c r="D1069" t="s">
        <v>1059</v>
      </c>
      <c r="E1069" t="s">
        <v>2165</v>
      </c>
      <c r="F1069" t="s">
        <v>6</v>
      </c>
      <c r="G1069" t="s">
        <v>1277</v>
      </c>
      <c r="H1069" t="s">
        <v>256</v>
      </c>
      <c r="I1069" t="s">
        <v>226</v>
      </c>
      <c r="J1069" t="s">
        <v>243</v>
      </c>
      <c r="K1069" t="s">
        <v>487</v>
      </c>
      <c r="L1069" s="84">
        <v>42600</v>
      </c>
      <c r="M1069" t="s">
        <v>325</v>
      </c>
      <c r="N1069" t="s">
        <v>488</v>
      </c>
      <c r="O1069">
        <v>9</v>
      </c>
      <c r="P1069" t="s">
        <v>489</v>
      </c>
      <c r="Q1069" t="s">
        <v>490</v>
      </c>
      <c r="R1069" t="s">
        <v>491</v>
      </c>
      <c r="S1069" t="s">
        <v>492</v>
      </c>
      <c r="T1069" t="s">
        <v>34</v>
      </c>
      <c r="U1069" t="s">
        <v>85</v>
      </c>
      <c r="V1069">
        <v>81</v>
      </c>
      <c r="W1069">
        <v>82</v>
      </c>
      <c r="X1069">
        <v>122</v>
      </c>
      <c r="Y1069">
        <v>121</v>
      </c>
      <c r="Z1069">
        <v>184</v>
      </c>
      <c r="AA1069">
        <v>179</v>
      </c>
      <c r="AB1069" t="s">
        <v>327</v>
      </c>
      <c r="AC1069" t="s">
        <v>181</v>
      </c>
      <c r="AD1069" t="s">
        <v>210</v>
      </c>
      <c r="AE1069" t="s">
        <v>183</v>
      </c>
      <c r="AF1069">
        <v>0</v>
      </c>
    </row>
    <row r="1070" spans="1:32">
      <c r="A1070">
        <v>326</v>
      </c>
      <c r="B1070">
        <v>788</v>
      </c>
      <c r="C1070" t="s">
        <v>485</v>
      </c>
      <c r="D1070" t="s">
        <v>1059</v>
      </c>
      <c r="E1070" t="s">
        <v>2165</v>
      </c>
      <c r="F1070" t="s">
        <v>7</v>
      </c>
      <c r="G1070" t="s">
        <v>1280</v>
      </c>
      <c r="H1070" t="s">
        <v>215</v>
      </c>
      <c r="I1070" t="s">
        <v>218</v>
      </c>
      <c r="J1070" t="s">
        <v>260</v>
      </c>
      <c r="K1070" t="s">
        <v>487</v>
      </c>
      <c r="L1070" s="84">
        <v>42600</v>
      </c>
      <c r="M1070" t="s">
        <v>325</v>
      </c>
      <c r="N1070" t="s">
        <v>488</v>
      </c>
      <c r="O1070">
        <v>9</v>
      </c>
      <c r="P1070" t="s">
        <v>489</v>
      </c>
      <c r="Q1070" t="s">
        <v>490</v>
      </c>
      <c r="R1070" t="s">
        <v>491</v>
      </c>
      <c r="S1070" t="s">
        <v>492</v>
      </c>
      <c r="T1070" t="s">
        <v>32</v>
      </c>
      <c r="U1070" t="s">
        <v>85</v>
      </c>
      <c r="V1070">
        <v>81</v>
      </c>
      <c r="W1070">
        <v>82</v>
      </c>
      <c r="X1070">
        <v>122</v>
      </c>
      <c r="Y1070">
        <v>121</v>
      </c>
      <c r="Z1070">
        <v>184</v>
      </c>
      <c r="AA1070">
        <v>179</v>
      </c>
      <c r="AB1070" t="s">
        <v>327</v>
      </c>
      <c r="AC1070" t="s">
        <v>181</v>
      </c>
      <c r="AD1070" t="s">
        <v>210</v>
      </c>
      <c r="AE1070" t="s">
        <v>183</v>
      </c>
      <c r="AF1070">
        <v>0</v>
      </c>
    </row>
    <row r="1071" spans="1:32">
      <c r="A1071">
        <v>326</v>
      </c>
      <c r="B1071">
        <v>788</v>
      </c>
      <c r="C1071" t="s">
        <v>485</v>
      </c>
      <c r="D1071" t="s">
        <v>1059</v>
      </c>
      <c r="E1071" t="s">
        <v>2165</v>
      </c>
      <c r="F1071" t="s">
        <v>8</v>
      </c>
      <c r="G1071" t="s">
        <v>1279</v>
      </c>
      <c r="H1071" t="s">
        <v>237</v>
      </c>
      <c r="I1071" t="s">
        <v>220</v>
      </c>
      <c r="J1071" t="s">
        <v>237</v>
      </c>
      <c r="K1071" t="s">
        <v>487</v>
      </c>
      <c r="L1071" s="84">
        <v>42600</v>
      </c>
      <c r="M1071" t="s">
        <v>325</v>
      </c>
      <c r="N1071" t="s">
        <v>488</v>
      </c>
      <c r="O1071">
        <v>9</v>
      </c>
      <c r="P1071" t="s">
        <v>489</v>
      </c>
      <c r="Q1071" t="s">
        <v>490</v>
      </c>
      <c r="R1071" t="s">
        <v>491</v>
      </c>
      <c r="S1071" t="s">
        <v>492</v>
      </c>
      <c r="T1071" t="s">
        <v>31</v>
      </c>
      <c r="U1071" t="s">
        <v>85</v>
      </c>
      <c r="V1071">
        <v>81</v>
      </c>
      <c r="W1071">
        <v>82</v>
      </c>
      <c r="X1071">
        <v>122</v>
      </c>
      <c r="Y1071">
        <v>121</v>
      </c>
      <c r="Z1071">
        <v>184</v>
      </c>
      <c r="AA1071">
        <v>179</v>
      </c>
      <c r="AB1071" t="s">
        <v>327</v>
      </c>
      <c r="AC1071" t="s">
        <v>181</v>
      </c>
      <c r="AD1071" t="s">
        <v>210</v>
      </c>
      <c r="AE1071" t="s">
        <v>183</v>
      </c>
      <c r="AF1071">
        <v>0</v>
      </c>
    </row>
    <row r="1072" spans="1:32">
      <c r="A1072">
        <v>326</v>
      </c>
      <c r="B1072">
        <v>788</v>
      </c>
      <c r="C1072" t="s">
        <v>485</v>
      </c>
      <c r="D1072" t="s">
        <v>1059</v>
      </c>
      <c r="E1072" t="s">
        <v>2165</v>
      </c>
      <c r="F1072" t="s">
        <v>5</v>
      </c>
      <c r="G1072" t="s">
        <v>1278</v>
      </c>
      <c r="H1072" t="s">
        <v>259</v>
      </c>
      <c r="I1072" t="s">
        <v>215</v>
      </c>
      <c r="J1072" t="s">
        <v>216</v>
      </c>
      <c r="K1072" t="s">
        <v>487</v>
      </c>
      <c r="L1072" s="84">
        <v>42600</v>
      </c>
      <c r="M1072" t="s">
        <v>325</v>
      </c>
      <c r="N1072" t="s">
        <v>488</v>
      </c>
      <c r="O1072">
        <v>9</v>
      </c>
      <c r="P1072" t="s">
        <v>489</v>
      </c>
      <c r="Q1072" t="s">
        <v>490</v>
      </c>
      <c r="R1072" t="s">
        <v>491</v>
      </c>
      <c r="S1072" t="s">
        <v>492</v>
      </c>
      <c r="T1072" t="s">
        <v>33</v>
      </c>
      <c r="U1072" t="s">
        <v>85</v>
      </c>
      <c r="V1072">
        <v>81</v>
      </c>
      <c r="W1072">
        <v>82</v>
      </c>
      <c r="X1072">
        <v>122</v>
      </c>
      <c r="Y1072">
        <v>121</v>
      </c>
      <c r="Z1072">
        <v>184</v>
      </c>
      <c r="AA1072">
        <v>179</v>
      </c>
      <c r="AB1072" t="s">
        <v>327</v>
      </c>
      <c r="AC1072" t="s">
        <v>181</v>
      </c>
      <c r="AD1072" t="s">
        <v>210</v>
      </c>
      <c r="AE1072" t="s">
        <v>183</v>
      </c>
      <c r="AF1072">
        <v>0</v>
      </c>
    </row>
    <row r="1073" spans="1:32">
      <c r="A1073">
        <v>327</v>
      </c>
      <c r="B1073">
        <v>957</v>
      </c>
      <c r="C1073" t="s">
        <v>908</v>
      </c>
      <c r="D1073" t="s">
        <v>1059</v>
      </c>
      <c r="E1073" t="s">
        <v>2165</v>
      </c>
      <c r="F1073" t="s">
        <v>5</v>
      </c>
      <c r="G1073" t="s">
        <v>1283</v>
      </c>
      <c r="H1073" t="s">
        <v>185</v>
      </c>
      <c r="I1073" t="s">
        <v>223</v>
      </c>
      <c r="J1073" t="s">
        <v>192</v>
      </c>
      <c r="K1073" t="s">
        <v>909</v>
      </c>
      <c r="L1073" s="84">
        <v>42293</v>
      </c>
      <c r="M1073" t="s">
        <v>203</v>
      </c>
      <c r="N1073" t="s">
        <v>604</v>
      </c>
      <c r="O1073">
        <v>2</v>
      </c>
      <c r="P1073" t="s">
        <v>910</v>
      </c>
      <c r="Q1073" t="s">
        <v>2065</v>
      </c>
      <c r="R1073" t="s">
        <v>911</v>
      </c>
      <c r="S1073" t="s">
        <v>912</v>
      </c>
      <c r="T1073" t="s">
        <v>33</v>
      </c>
      <c r="U1073" t="s">
        <v>79</v>
      </c>
      <c r="V1073">
        <v>62</v>
      </c>
      <c r="W1073">
        <v>82</v>
      </c>
      <c r="X1073">
        <v>122</v>
      </c>
      <c r="Y1073">
        <v>91</v>
      </c>
      <c r="Z1073">
        <v>184</v>
      </c>
      <c r="AA1073">
        <v>146</v>
      </c>
      <c r="AB1073" t="s">
        <v>303</v>
      </c>
      <c r="AC1073" t="s">
        <v>223</v>
      </c>
      <c r="AD1073" t="s">
        <v>182</v>
      </c>
      <c r="AE1073" t="s">
        <v>183</v>
      </c>
      <c r="AF1073">
        <v>0</v>
      </c>
    </row>
    <row r="1074" spans="1:32">
      <c r="A1074">
        <v>327</v>
      </c>
      <c r="B1074">
        <v>957</v>
      </c>
      <c r="C1074" t="s">
        <v>908</v>
      </c>
      <c r="D1074" t="s">
        <v>1059</v>
      </c>
      <c r="E1074" t="s">
        <v>2165</v>
      </c>
      <c r="F1074" t="s">
        <v>8</v>
      </c>
      <c r="G1074" t="s">
        <v>1282</v>
      </c>
      <c r="H1074" t="s">
        <v>256</v>
      </c>
      <c r="I1074" t="s">
        <v>226</v>
      </c>
      <c r="J1074" t="s">
        <v>192</v>
      </c>
      <c r="K1074" t="s">
        <v>909</v>
      </c>
      <c r="L1074" s="84">
        <v>42293</v>
      </c>
      <c r="M1074" t="s">
        <v>203</v>
      </c>
      <c r="N1074" t="s">
        <v>604</v>
      </c>
      <c r="O1074">
        <v>2</v>
      </c>
      <c r="P1074" t="s">
        <v>910</v>
      </c>
      <c r="Q1074" t="s">
        <v>2065</v>
      </c>
      <c r="R1074" t="s">
        <v>911</v>
      </c>
      <c r="S1074" t="s">
        <v>912</v>
      </c>
      <c r="T1074" t="s">
        <v>31</v>
      </c>
      <c r="U1074" t="s">
        <v>79</v>
      </c>
      <c r="V1074">
        <v>62</v>
      </c>
      <c r="W1074">
        <v>82</v>
      </c>
      <c r="X1074">
        <v>122</v>
      </c>
      <c r="Y1074">
        <v>91</v>
      </c>
      <c r="Z1074">
        <v>184</v>
      </c>
      <c r="AA1074">
        <v>146</v>
      </c>
      <c r="AB1074" t="s">
        <v>303</v>
      </c>
      <c r="AC1074" t="s">
        <v>223</v>
      </c>
      <c r="AD1074" t="s">
        <v>182</v>
      </c>
      <c r="AE1074" t="s">
        <v>183</v>
      </c>
      <c r="AF1074">
        <v>0</v>
      </c>
    </row>
    <row r="1075" spans="1:32">
      <c r="A1075">
        <v>327</v>
      </c>
      <c r="B1075">
        <v>957</v>
      </c>
      <c r="C1075" t="s">
        <v>908</v>
      </c>
      <c r="D1075" t="s">
        <v>1059</v>
      </c>
      <c r="E1075" t="s">
        <v>2165</v>
      </c>
      <c r="F1075" t="s">
        <v>7</v>
      </c>
      <c r="G1075" t="s">
        <v>1281</v>
      </c>
      <c r="H1075" t="s">
        <v>212</v>
      </c>
      <c r="I1075" t="s">
        <v>256</v>
      </c>
      <c r="J1075" t="s">
        <v>274</v>
      </c>
      <c r="K1075" t="s">
        <v>909</v>
      </c>
      <c r="L1075" s="84">
        <v>42293</v>
      </c>
      <c r="M1075" t="s">
        <v>203</v>
      </c>
      <c r="N1075" t="s">
        <v>604</v>
      </c>
      <c r="O1075">
        <v>2</v>
      </c>
      <c r="P1075" t="s">
        <v>910</v>
      </c>
      <c r="Q1075" t="s">
        <v>2065</v>
      </c>
      <c r="R1075" t="s">
        <v>911</v>
      </c>
      <c r="S1075" t="s">
        <v>912</v>
      </c>
      <c r="T1075" t="s">
        <v>32</v>
      </c>
      <c r="U1075" t="s">
        <v>79</v>
      </c>
      <c r="V1075">
        <v>62</v>
      </c>
      <c r="W1075">
        <v>82</v>
      </c>
      <c r="X1075">
        <v>122</v>
      </c>
      <c r="Y1075">
        <v>91</v>
      </c>
      <c r="Z1075">
        <v>184</v>
      </c>
      <c r="AA1075">
        <v>146</v>
      </c>
      <c r="AB1075" t="s">
        <v>303</v>
      </c>
      <c r="AC1075" t="s">
        <v>223</v>
      </c>
      <c r="AD1075" t="s">
        <v>182</v>
      </c>
      <c r="AE1075" t="s">
        <v>183</v>
      </c>
      <c r="AF1075">
        <v>0</v>
      </c>
    </row>
    <row r="1076" spans="1:32">
      <c r="A1076">
        <v>327</v>
      </c>
      <c r="B1076">
        <v>957</v>
      </c>
      <c r="C1076" t="s">
        <v>908</v>
      </c>
      <c r="D1076" t="s">
        <v>1059</v>
      </c>
      <c r="E1076" t="s">
        <v>2165</v>
      </c>
      <c r="F1076" t="s">
        <v>6</v>
      </c>
      <c r="G1076" t="s">
        <v>1284</v>
      </c>
      <c r="H1076" t="s">
        <v>171</v>
      </c>
      <c r="I1076" t="s">
        <v>173</v>
      </c>
      <c r="J1076" t="s">
        <v>212</v>
      </c>
      <c r="K1076" t="s">
        <v>909</v>
      </c>
      <c r="L1076" s="84">
        <v>42293</v>
      </c>
      <c r="M1076" t="s">
        <v>203</v>
      </c>
      <c r="N1076" t="s">
        <v>604</v>
      </c>
      <c r="O1076">
        <v>2</v>
      </c>
      <c r="P1076" t="s">
        <v>910</v>
      </c>
      <c r="Q1076" t="s">
        <v>2065</v>
      </c>
      <c r="R1076" t="s">
        <v>911</v>
      </c>
      <c r="S1076" t="s">
        <v>912</v>
      </c>
      <c r="T1076" t="s">
        <v>34</v>
      </c>
      <c r="U1076" t="s">
        <v>79</v>
      </c>
      <c r="V1076">
        <v>62</v>
      </c>
      <c r="W1076">
        <v>82</v>
      </c>
      <c r="X1076">
        <v>122</v>
      </c>
      <c r="Y1076">
        <v>91</v>
      </c>
      <c r="Z1076">
        <v>184</v>
      </c>
      <c r="AA1076">
        <v>146</v>
      </c>
      <c r="AB1076" t="s">
        <v>303</v>
      </c>
      <c r="AC1076" t="s">
        <v>223</v>
      </c>
      <c r="AD1076" t="s">
        <v>182</v>
      </c>
      <c r="AE1076" t="s">
        <v>183</v>
      </c>
      <c r="AF1076">
        <v>0</v>
      </c>
    </row>
    <row r="1077" spans="1:32">
      <c r="A1077">
        <v>327</v>
      </c>
      <c r="B1077">
        <v>957</v>
      </c>
      <c r="C1077" t="s">
        <v>908</v>
      </c>
      <c r="D1077" t="s">
        <v>1059</v>
      </c>
      <c r="E1077" t="s">
        <v>2165</v>
      </c>
      <c r="F1077" t="s">
        <v>197</v>
      </c>
      <c r="G1077" t="s">
        <v>1287</v>
      </c>
      <c r="H1077" t="s">
        <v>192</v>
      </c>
      <c r="I1077" t="s">
        <v>192</v>
      </c>
      <c r="J1077" t="s">
        <v>212</v>
      </c>
      <c r="K1077" t="s">
        <v>909</v>
      </c>
      <c r="L1077" s="84">
        <v>42293</v>
      </c>
      <c r="M1077" t="s">
        <v>203</v>
      </c>
      <c r="N1077" t="s">
        <v>604</v>
      </c>
      <c r="O1077">
        <v>2</v>
      </c>
      <c r="P1077" t="s">
        <v>910</v>
      </c>
      <c r="Q1077" t="s">
        <v>2065</v>
      </c>
      <c r="R1077" t="s">
        <v>911</v>
      </c>
      <c r="S1077" t="s">
        <v>912</v>
      </c>
      <c r="T1077" t="s">
        <v>38</v>
      </c>
      <c r="U1077" t="s">
        <v>79</v>
      </c>
      <c r="V1077">
        <v>62</v>
      </c>
      <c r="W1077">
        <v>82</v>
      </c>
      <c r="X1077">
        <v>122</v>
      </c>
      <c r="Y1077">
        <v>91</v>
      </c>
      <c r="Z1077">
        <v>184</v>
      </c>
      <c r="AA1077">
        <v>146</v>
      </c>
      <c r="AB1077" t="s">
        <v>303</v>
      </c>
      <c r="AC1077" t="s">
        <v>223</v>
      </c>
      <c r="AD1077" t="s">
        <v>182</v>
      </c>
      <c r="AE1077" t="s">
        <v>183</v>
      </c>
      <c r="AF1077">
        <v>0</v>
      </c>
    </row>
    <row r="1078" spans="1:32">
      <c r="A1078">
        <v>327</v>
      </c>
      <c r="B1078">
        <v>957</v>
      </c>
      <c r="C1078" t="s">
        <v>908</v>
      </c>
      <c r="D1078" t="s">
        <v>1059</v>
      </c>
      <c r="E1078" t="s">
        <v>2165</v>
      </c>
      <c r="F1078" t="s">
        <v>193</v>
      </c>
      <c r="G1078" t="s">
        <v>1285</v>
      </c>
      <c r="H1078" t="s">
        <v>188</v>
      </c>
      <c r="I1078" t="s">
        <v>212</v>
      </c>
      <c r="J1078" t="s">
        <v>192</v>
      </c>
      <c r="K1078" t="s">
        <v>909</v>
      </c>
      <c r="L1078" s="84">
        <v>42293</v>
      </c>
      <c r="M1078" t="s">
        <v>203</v>
      </c>
      <c r="N1078" t="s">
        <v>604</v>
      </c>
      <c r="O1078">
        <v>2</v>
      </c>
      <c r="P1078" t="s">
        <v>910</v>
      </c>
      <c r="Q1078" t="s">
        <v>2065</v>
      </c>
      <c r="R1078" t="s">
        <v>911</v>
      </c>
      <c r="S1078" t="s">
        <v>912</v>
      </c>
      <c r="T1078" t="s">
        <v>36</v>
      </c>
      <c r="U1078" t="s">
        <v>79</v>
      </c>
      <c r="V1078">
        <v>62</v>
      </c>
      <c r="W1078">
        <v>82</v>
      </c>
      <c r="X1078">
        <v>122</v>
      </c>
      <c r="Y1078">
        <v>91</v>
      </c>
      <c r="Z1078">
        <v>184</v>
      </c>
      <c r="AA1078">
        <v>146</v>
      </c>
      <c r="AB1078" t="s">
        <v>303</v>
      </c>
      <c r="AC1078" t="s">
        <v>223</v>
      </c>
      <c r="AD1078" t="s">
        <v>182</v>
      </c>
      <c r="AE1078" t="s">
        <v>183</v>
      </c>
      <c r="AF1078">
        <v>0</v>
      </c>
    </row>
    <row r="1079" spans="1:32">
      <c r="A1079">
        <v>327</v>
      </c>
      <c r="B1079">
        <v>957</v>
      </c>
      <c r="C1079" t="s">
        <v>908</v>
      </c>
      <c r="D1079" t="s">
        <v>1059</v>
      </c>
      <c r="E1079" t="s">
        <v>2165</v>
      </c>
      <c r="F1079" t="s">
        <v>37</v>
      </c>
      <c r="G1079" t="s">
        <v>1286</v>
      </c>
      <c r="H1079" t="s">
        <v>1701</v>
      </c>
      <c r="I1079" t="s">
        <v>212</v>
      </c>
      <c r="J1079" t="s">
        <v>192</v>
      </c>
      <c r="K1079" t="s">
        <v>909</v>
      </c>
      <c r="L1079" s="84">
        <v>42293</v>
      </c>
      <c r="M1079" t="s">
        <v>203</v>
      </c>
      <c r="N1079" t="s">
        <v>604</v>
      </c>
      <c r="O1079">
        <v>2</v>
      </c>
      <c r="P1079" t="s">
        <v>910</v>
      </c>
      <c r="Q1079" t="s">
        <v>2065</v>
      </c>
      <c r="R1079" t="s">
        <v>911</v>
      </c>
      <c r="S1079" t="s">
        <v>912</v>
      </c>
      <c r="T1079" t="s">
        <v>37</v>
      </c>
      <c r="U1079" t="s">
        <v>79</v>
      </c>
      <c r="V1079">
        <v>62</v>
      </c>
      <c r="W1079">
        <v>82</v>
      </c>
      <c r="X1079">
        <v>122</v>
      </c>
      <c r="Y1079">
        <v>91</v>
      </c>
      <c r="Z1079">
        <v>184</v>
      </c>
      <c r="AA1079">
        <v>146</v>
      </c>
      <c r="AB1079" t="s">
        <v>303</v>
      </c>
      <c r="AC1079" t="s">
        <v>223</v>
      </c>
      <c r="AD1079" t="s">
        <v>182</v>
      </c>
      <c r="AE1079" t="s">
        <v>183</v>
      </c>
      <c r="AF1079">
        <v>0</v>
      </c>
    </row>
    <row r="1080" spans="1:32">
      <c r="A1080">
        <v>328</v>
      </c>
      <c r="B1080">
        <v>834</v>
      </c>
      <c r="C1080" t="s">
        <v>918</v>
      </c>
      <c r="D1080" t="s">
        <v>1059</v>
      </c>
      <c r="E1080" t="s">
        <v>2165</v>
      </c>
      <c r="F1080" t="s">
        <v>37</v>
      </c>
      <c r="G1080" t="s">
        <v>1289</v>
      </c>
      <c r="H1080" t="s">
        <v>1701</v>
      </c>
      <c r="I1080" t="s">
        <v>212</v>
      </c>
      <c r="J1080" t="s">
        <v>192</v>
      </c>
      <c r="K1080" t="s">
        <v>920</v>
      </c>
      <c r="L1080" s="84">
        <v>42018</v>
      </c>
      <c r="M1080" t="s">
        <v>203</v>
      </c>
      <c r="N1080" t="s">
        <v>503</v>
      </c>
      <c r="O1080">
        <v>2</v>
      </c>
      <c r="P1080" t="s">
        <v>921</v>
      </c>
      <c r="Q1080" t="s">
        <v>922</v>
      </c>
      <c r="R1080" t="s">
        <v>923</v>
      </c>
      <c r="S1080" t="s">
        <v>1389</v>
      </c>
      <c r="T1080" t="s">
        <v>37</v>
      </c>
      <c r="U1080" t="s">
        <v>79</v>
      </c>
      <c r="V1080">
        <v>76</v>
      </c>
      <c r="W1080">
        <v>82</v>
      </c>
      <c r="X1080">
        <v>122</v>
      </c>
      <c r="Y1080">
        <v>113</v>
      </c>
      <c r="Z1080">
        <v>184</v>
      </c>
      <c r="AA1080">
        <v>171</v>
      </c>
      <c r="AB1080" t="s">
        <v>271</v>
      </c>
      <c r="AC1080" t="s">
        <v>192</v>
      </c>
      <c r="AD1080" t="s">
        <v>210</v>
      </c>
      <c r="AE1080" t="s">
        <v>183</v>
      </c>
      <c r="AF1080">
        <v>0</v>
      </c>
    </row>
    <row r="1081" spans="1:32">
      <c r="A1081">
        <v>328</v>
      </c>
      <c r="B1081">
        <v>834</v>
      </c>
      <c r="C1081" t="s">
        <v>918</v>
      </c>
      <c r="D1081" t="s">
        <v>1059</v>
      </c>
      <c r="E1081" t="s">
        <v>2165</v>
      </c>
      <c r="F1081" t="s">
        <v>193</v>
      </c>
      <c r="G1081" t="s">
        <v>1290</v>
      </c>
      <c r="H1081" t="s">
        <v>188</v>
      </c>
      <c r="I1081" t="s">
        <v>212</v>
      </c>
      <c r="J1081" t="s">
        <v>192</v>
      </c>
      <c r="K1081" t="s">
        <v>920</v>
      </c>
      <c r="L1081" s="84">
        <v>42018</v>
      </c>
      <c r="M1081" t="s">
        <v>203</v>
      </c>
      <c r="N1081" t="s">
        <v>503</v>
      </c>
      <c r="O1081">
        <v>2</v>
      </c>
      <c r="P1081" t="s">
        <v>921</v>
      </c>
      <c r="Q1081" t="s">
        <v>922</v>
      </c>
      <c r="R1081" t="s">
        <v>923</v>
      </c>
      <c r="S1081" t="s">
        <v>1389</v>
      </c>
      <c r="T1081" t="s">
        <v>36</v>
      </c>
      <c r="U1081" t="s">
        <v>79</v>
      </c>
      <c r="V1081">
        <v>76</v>
      </c>
      <c r="W1081">
        <v>82</v>
      </c>
      <c r="X1081">
        <v>122</v>
      </c>
      <c r="Y1081">
        <v>113</v>
      </c>
      <c r="Z1081">
        <v>184</v>
      </c>
      <c r="AA1081">
        <v>171</v>
      </c>
      <c r="AB1081" t="s">
        <v>271</v>
      </c>
      <c r="AC1081" t="s">
        <v>192</v>
      </c>
      <c r="AD1081" t="s">
        <v>210</v>
      </c>
      <c r="AE1081" t="s">
        <v>183</v>
      </c>
      <c r="AF1081">
        <v>0</v>
      </c>
    </row>
    <row r="1082" spans="1:32">
      <c r="A1082">
        <v>328</v>
      </c>
      <c r="B1082">
        <v>834</v>
      </c>
      <c r="C1082" t="s">
        <v>918</v>
      </c>
      <c r="D1082" t="s">
        <v>1059</v>
      </c>
      <c r="E1082" t="s">
        <v>2165</v>
      </c>
      <c r="F1082" t="s">
        <v>197</v>
      </c>
      <c r="G1082" t="s">
        <v>1288</v>
      </c>
      <c r="H1082" t="s">
        <v>212</v>
      </c>
      <c r="I1082" t="s">
        <v>192</v>
      </c>
      <c r="J1082" t="s">
        <v>192</v>
      </c>
      <c r="K1082" t="s">
        <v>920</v>
      </c>
      <c r="L1082" s="84">
        <v>42018</v>
      </c>
      <c r="M1082" t="s">
        <v>203</v>
      </c>
      <c r="N1082" t="s">
        <v>503</v>
      </c>
      <c r="O1082">
        <v>2</v>
      </c>
      <c r="P1082" t="s">
        <v>921</v>
      </c>
      <c r="Q1082" t="s">
        <v>922</v>
      </c>
      <c r="R1082" t="s">
        <v>923</v>
      </c>
      <c r="S1082" t="s">
        <v>1389</v>
      </c>
      <c r="T1082" t="s">
        <v>38</v>
      </c>
      <c r="U1082" t="s">
        <v>79</v>
      </c>
      <c r="V1082">
        <v>76</v>
      </c>
      <c r="W1082">
        <v>82</v>
      </c>
      <c r="X1082">
        <v>122</v>
      </c>
      <c r="Y1082">
        <v>113</v>
      </c>
      <c r="Z1082">
        <v>184</v>
      </c>
      <c r="AA1082">
        <v>171</v>
      </c>
      <c r="AB1082" t="s">
        <v>271</v>
      </c>
      <c r="AC1082" t="s">
        <v>192</v>
      </c>
      <c r="AD1082" t="s">
        <v>210</v>
      </c>
      <c r="AE1082" t="s">
        <v>183</v>
      </c>
      <c r="AF1082">
        <v>0</v>
      </c>
    </row>
    <row r="1083" spans="1:32">
      <c r="A1083">
        <v>328</v>
      </c>
      <c r="B1083">
        <v>834</v>
      </c>
      <c r="C1083" t="s">
        <v>918</v>
      </c>
      <c r="D1083" t="s">
        <v>1059</v>
      </c>
      <c r="E1083" t="s">
        <v>2165</v>
      </c>
      <c r="F1083" t="s">
        <v>6</v>
      </c>
      <c r="G1083" t="s">
        <v>1291</v>
      </c>
      <c r="H1083" t="s">
        <v>226</v>
      </c>
      <c r="I1083" t="s">
        <v>187</v>
      </c>
      <c r="J1083" t="s">
        <v>192</v>
      </c>
      <c r="K1083" t="s">
        <v>920</v>
      </c>
      <c r="L1083" s="84">
        <v>42018</v>
      </c>
      <c r="M1083" t="s">
        <v>203</v>
      </c>
      <c r="N1083" t="s">
        <v>503</v>
      </c>
      <c r="O1083">
        <v>2</v>
      </c>
      <c r="P1083" t="s">
        <v>921</v>
      </c>
      <c r="Q1083" t="s">
        <v>922</v>
      </c>
      <c r="R1083" t="s">
        <v>923</v>
      </c>
      <c r="S1083" t="s">
        <v>1389</v>
      </c>
      <c r="T1083" t="s">
        <v>34</v>
      </c>
      <c r="U1083" t="s">
        <v>79</v>
      </c>
      <c r="V1083">
        <v>76</v>
      </c>
      <c r="W1083">
        <v>82</v>
      </c>
      <c r="X1083">
        <v>122</v>
      </c>
      <c r="Y1083">
        <v>113</v>
      </c>
      <c r="Z1083">
        <v>184</v>
      </c>
      <c r="AA1083">
        <v>171</v>
      </c>
      <c r="AB1083" t="s">
        <v>271</v>
      </c>
      <c r="AC1083" t="s">
        <v>192</v>
      </c>
      <c r="AD1083" t="s">
        <v>210</v>
      </c>
      <c r="AE1083" t="s">
        <v>183</v>
      </c>
      <c r="AF1083">
        <v>0</v>
      </c>
    </row>
    <row r="1084" spans="1:32">
      <c r="A1084">
        <v>328</v>
      </c>
      <c r="B1084">
        <v>834</v>
      </c>
      <c r="C1084" t="s">
        <v>918</v>
      </c>
      <c r="D1084" t="s">
        <v>1059</v>
      </c>
      <c r="E1084" t="s">
        <v>2165</v>
      </c>
      <c r="F1084" t="s">
        <v>7</v>
      </c>
      <c r="G1084" t="s">
        <v>1294</v>
      </c>
      <c r="H1084" t="s">
        <v>192</v>
      </c>
      <c r="I1084" t="s">
        <v>376</v>
      </c>
      <c r="J1084" t="s">
        <v>181</v>
      </c>
      <c r="K1084" t="s">
        <v>920</v>
      </c>
      <c r="L1084" s="84">
        <v>42018</v>
      </c>
      <c r="M1084" t="s">
        <v>203</v>
      </c>
      <c r="N1084" t="s">
        <v>503</v>
      </c>
      <c r="O1084">
        <v>2</v>
      </c>
      <c r="P1084" t="s">
        <v>921</v>
      </c>
      <c r="Q1084" t="s">
        <v>922</v>
      </c>
      <c r="R1084" t="s">
        <v>923</v>
      </c>
      <c r="S1084" t="s">
        <v>1389</v>
      </c>
      <c r="T1084" t="s">
        <v>32</v>
      </c>
      <c r="U1084" t="s">
        <v>79</v>
      </c>
      <c r="V1084">
        <v>76</v>
      </c>
      <c r="W1084">
        <v>82</v>
      </c>
      <c r="X1084">
        <v>122</v>
      </c>
      <c r="Y1084">
        <v>113</v>
      </c>
      <c r="Z1084">
        <v>184</v>
      </c>
      <c r="AA1084">
        <v>171</v>
      </c>
      <c r="AB1084" t="s">
        <v>271</v>
      </c>
      <c r="AC1084" t="s">
        <v>192</v>
      </c>
      <c r="AD1084" t="s">
        <v>210</v>
      </c>
      <c r="AE1084" t="s">
        <v>183</v>
      </c>
      <c r="AF1084">
        <v>0</v>
      </c>
    </row>
    <row r="1085" spans="1:32">
      <c r="A1085">
        <v>328</v>
      </c>
      <c r="B1085">
        <v>834</v>
      </c>
      <c r="C1085" t="s">
        <v>918</v>
      </c>
      <c r="D1085" t="s">
        <v>1059</v>
      </c>
      <c r="E1085" t="s">
        <v>2165</v>
      </c>
      <c r="F1085" t="s">
        <v>8</v>
      </c>
      <c r="G1085" t="s">
        <v>1293</v>
      </c>
      <c r="H1085" t="s">
        <v>237</v>
      </c>
      <c r="I1085" t="s">
        <v>188</v>
      </c>
      <c r="J1085" t="s">
        <v>188</v>
      </c>
      <c r="K1085" t="s">
        <v>920</v>
      </c>
      <c r="L1085" s="84">
        <v>42018</v>
      </c>
      <c r="M1085" t="s">
        <v>203</v>
      </c>
      <c r="N1085" t="s">
        <v>503</v>
      </c>
      <c r="O1085">
        <v>2</v>
      </c>
      <c r="P1085" t="s">
        <v>921</v>
      </c>
      <c r="Q1085" t="s">
        <v>922</v>
      </c>
      <c r="R1085" t="s">
        <v>923</v>
      </c>
      <c r="S1085" t="s">
        <v>1389</v>
      </c>
      <c r="T1085" t="s">
        <v>31</v>
      </c>
      <c r="U1085" t="s">
        <v>79</v>
      </c>
      <c r="V1085">
        <v>76</v>
      </c>
      <c r="W1085">
        <v>82</v>
      </c>
      <c r="X1085">
        <v>122</v>
      </c>
      <c r="Y1085">
        <v>113</v>
      </c>
      <c r="Z1085">
        <v>184</v>
      </c>
      <c r="AA1085">
        <v>171</v>
      </c>
      <c r="AB1085" t="s">
        <v>271</v>
      </c>
      <c r="AC1085" t="s">
        <v>192</v>
      </c>
      <c r="AD1085" t="s">
        <v>210</v>
      </c>
      <c r="AE1085" t="s">
        <v>183</v>
      </c>
      <c r="AF1085">
        <v>0</v>
      </c>
    </row>
    <row r="1086" spans="1:32">
      <c r="A1086">
        <v>328</v>
      </c>
      <c r="B1086">
        <v>834</v>
      </c>
      <c r="C1086" t="s">
        <v>918</v>
      </c>
      <c r="D1086" t="s">
        <v>1059</v>
      </c>
      <c r="E1086" t="s">
        <v>2165</v>
      </c>
      <c r="F1086" t="s">
        <v>5</v>
      </c>
      <c r="G1086" t="s">
        <v>1292</v>
      </c>
      <c r="H1086" t="s">
        <v>239</v>
      </c>
      <c r="I1086" t="s">
        <v>185</v>
      </c>
      <c r="J1086" t="s">
        <v>223</v>
      </c>
      <c r="K1086" t="s">
        <v>920</v>
      </c>
      <c r="L1086" s="84">
        <v>42018</v>
      </c>
      <c r="M1086" t="s">
        <v>203</v>
      </c>
      <c r="N1086" t="s">
        <v>503</v>
      </c>
      <c r="O1086">
        <v>2</v>
      </c>
      <c r="P1086" t="s">
        <v>921</v>
      </c>
      <c r="Q1086" t="s">
        <v>922</v>
      </c>
      <c r="R1086" t="s">
        <v>923</v>
      </c>
      <c r="S1086" t="s">
        <v>1389</v>
      </c>
      <c r="T1086" t="s">
        <v>33</v>
      </c>
      <c r="U1086" t="s">
        <v>79</v>
      </c>
      <c r="V1086">
        <v>76</v>
      </c>
      <c r="W1086">
        <v>82</v>
      </c>
      <c r="X1086">
        <v>122</v>
      </c>
      <c r="Y1086">
        <v>113</v>
      </c>
      <c r="Z1086">
        <v>184</v>
      </c>
      <c r="AA1086">
        <v>171</v>
      </c>
      <c r="AB1086" t="s">
        <v>271</v>
      </c>
      <c r="AC1086" t="s">
        <v>192</v>
      </c>
      <c r="AD1086" t="s">
        <v>210</v>
      </c>
      <c r="AE1086" t="s">
        <v>183</v>
      </c>
      <c r="AF1086">
        <v>0</v>
      </c>
    </row>
    <row r="1087" spans="1:32">
      <c r="A1087">
        <v>329</v>
      </c>
      <c r="B1087">
        <v>854</v>
      </c>
      <c r="C1087" t="s">
        <v>500</v>
      </c>
      <c r="D1087" t="s">
        <v>1059</v>
      </c>
      <c r="E1087" t="s">
        <v>2165</v>
      </c>
      <c r="F1087" t="s">
        <v>5</v>
      </c>
      <c r="G1087" t="s">
        <v>1298</v>
      </c>
      <c r="H1087" t="s">
        <v>218</v>
      </c>
      <c r="I1087" t="s">
        <v>259</v>
      </c>
      <c r="J1087" t="s">
        <v>497</v>
      </c>
      <c r="K1087" t="s">
        <v>502</v>
      </c>
      <c r="L1087" s="84">
        <v>42002</v>
      </c>
      <c r="M1087" t="s">
        <v>325</v>
      </c>
      <c r="N1087" t="s">
        <v>503</v>
      </c>
      <c r="O1087">
        <v>2</v>
      </c>
      <c r="P1087" t="s">
        <v>504</v>
      </c>
      <c r="Q1087" t="s">
        <v>505</v>
      </c>
      <c r="R1087" t="s">
        <v>506</v>
      </c>
      <c r="S1087" t="s">
        <v>507</v>
      </c>
      <c r="T1087" t="s">
        <v>33</v>
      </c>
      <c r="U1087" t="s">
        <v>79</v>
      </c>
      <c r="V1087">
        <v>61</v>
      </c>
      <c r="W1087">
        <v>82</v>
      </c>
      <c r="X1087">
        <v>122</v>
      </c>
      <c r="Y1087">
        <v>96</v>
      </c>
      <c r="Z1087">
        <v>184</v>
      </c>
      <c r="AA1087">
        <v>152</v>
      </c>
      <c r="AB1087" t="s">
        <v>882</v>
      </c>
      <c r="AC1087" t="s">
        <v>212</v>
      </c>
      <c r="AD1087" t="s">
        <v>609</v>
      </c>
      <c r="AE1087" t="s">
        <v>183</v>
      </c>
      <c r="AF1087">
        <v>0</v>
      </c>
    </row>
    <row r="1088" spans="1:32">
      <c r="A1088">
        <v>329</v>
      </c>
      <c r="B1088">
        <v>854</v>
      </c>
      <c r="C1088" t="s">
        <v>500</v>
      </c>
      <c r="D1088" t="s">
        <v>1059</v>
      </c>
      <c r="E1088" t="s">
        <v>2165</v>
      </c>
      <c r="F1088" t="s">
        <v>8</v>
      </c>
      <c r="G1088" t="s">
        <v>1297</v>
      </c>
      <c r="H1088" t="s">
        <v>239</v>
      </c>
      <c r="I1088" t="s">
        <v>260</v>
      </c>
      <c r="J1088" t="s">
        <v>215</v>
      </c>
      <c r="K1088" t="s">
        <v>502</v>
      </c>
      <c r="L1088" s="84">
        <v>42002</v>
      </c>
      <c r="M1088" t="s">
        <v>325</v>
      </c>
      <c r="N1088" t="s">
        <v>503</v>
      </c>
      <c r="O1088">
        <v>2</v>
      </c>
      <c r="P1088" t="s">
        <v>504</v>
      </c>
      <c r="Q1088" t="s">
        <v>505</v>
      </c>
      <c r="R1088" t="s">
        <v>506</v>
      </c>
      <c r="S1088" t="s">
        <v>507</v>
      </c>
      <c r="T1088" t="s">
        <v>31</v>
      </c>
      <c r="U1088" t="s">
        <v>79</v>
      </c>
      <c r="V1088">
        <v>61</v>
      </c>
      <c r="W1088">
        <v>82</v>
      </c>
      <c r="X1088">
        <v>122</v>
      </c>
      <c r="Y1088">
        <v>96</v>
      </c>
      <c r="Z1088">
        <v>184</v>
      </c>
      <c r="AA1088">
        <v>152</v>
      </c>
      <c r="AB1088" t="s">
        <v>882</v>
      </c>
      <c r="AC1088" t="s">
        <v>212</v>
      </c>
      <c r="AD1088" t="s">
        <v>609</v>
      </c>
      <c r="AE1088" t="s">
        <v>183</v>
      </c>
      <c r="AF1088">
        <v>0</v>
      </c>
    </row>
    <row r="1089" spans="1:32">
      <c r="A1089">
        <v>329</v>
      </c>
      <c r="B1089">
        <v>854</v>
      </c>
      <c r="C1089" t="s">
        <v>500</v>
      </c>
      <c r="D1089" t="s">
        <v>1059</v>
      </c>
      <c r="E1089" t="s">
        <v>2165</v>
      </c>
      <c r="F1089" t="s">
        <v>7</v>
      </c>
      <c r="G1089" t="s">
        <v>1295</v>
      </c>
      <c r="H1089" t="s">
        <v>297</v>
      </c>
      <c r="I1089" t="s">
        <v>215</v>
      </c>
      <c r="J1089" t="s">
        <v>218</v>
      </c>
      <c r="K1089" t="s">
        <v>502</v>
      </c>
      <c r="L1089" s="84">
        <v>42002</v>
      </c>
      <c r="M1089" t="s">
        <v>325</v>
      </c>
      <c r="N1089" t="s">
        <v>503</v>
      </c>
      <c r="O1089">
        <v>2</v>
      </c>
      <c r="P1089" t="s">
        <v>504</v>
      </c>
      <c r="Q1089" t="s">
        <v>505</v>
      </c>
      <c r="R1089" t="s">
        <v>506</v>
      </c>
      <c r="S1089" t="s">
        <v>507</v>
      </c>
      <c r="T1089" t="s">
        <v>32</v>
      </c>
      <c r="U1089" t="s">
        <v>79</v>
      </c>
      <c r="V1089">
        <v>61</v>
      </c>
      <c r="W1089">
        <v>82</v>
      </c>
      <c r="X1089">
        <v>122</v>
      </c>
      <c r="Y1089">
        <v>96</v>
      </c>
      <c r="Z1089">
        <v>184</v>
      </c>
      <c r="AA1089">
        <v>152</v>
      </c>
      <c r="AB1089" t="s">
        <v>882</v>
      </c>
      <c r="AC1089" t="s">
        <v>212</v>
      </c>
      <c r="AD1089" t="s">
        <v>609</v>
      </c>
      <c r="AE1089" t="s">
        <v>183</v>
      </c>
      <c r="AF1089">
        <v>0</v>
      </c>
    </row>
    <row r="1090" spans="1:32">
      <c r="A1090">
        <v>329</v>
      </c>
      <c r="B1090">
        <v>854</v>
      </c>
      <c r="C1090" t="s">
        <v>500</v>
      </c>
      <c r="D1090" t="s">
        <v>1059</v>
      </c>
      <c r="E1090" t="s">
        <v>2165</v>
      </c>
      <c r="F1090" t="s">
        <v>6</v>
      </c>
      <c r="G1090" t="s">
        <v>1299</v>
      </c>
      <c r="H1090" t="s">
        <v>275</v>
      </c>
      <c r="I1090" t="s">
        <v>236</v>
      </c>
      <c r="J1090" t="s">
        <v>226</v>
      </c>
      <c r="K1090" t="s">
        <v>502</v>
      </c>
      <c r="L1090" s="84">
        <v>42002</v>
      </c>
      <c r="M1090" t="s">
        <v>325</v>
      </c>
      <c r="N1090" t="s">
        <v>503</v>
      </c>
      <c r="O1090">
        <v>2</v>
      </c>
      <c r="P1090" t="s">
        <v>504</v>
      </c>
      <c r="Q1090" t="s">
        <v>505</v>
      </c>
      <c r="R1090" t="s">
        <v>506</v>
      </c>
      <c r="S1090" t="s">
        <v>507</v>
      </c>
      <c r="T1090" t="s">
        <v>34</v>
      </c>
      <c r="U1090" t="s">
        <v>79</v>
      </c>
      <c r="V1090">
        <v>61</v>
      </c>
      <c r="W1090">
        <v>82</v>
      </c>
      <c r="X1090">
        <v>122</v>
      </c>
      <c r="Y1090">
        <v>96</v>
      </c>
      <c r="Z1090">
        <v>184</v>
      </c>
      <c r="AA1090">
        <v>152</v>
      </c>
      <c r="AB1090" t="s">
        <v>882</v>
      </c>
      <c r="AC1090" t="s">
        <v>212</v>
      </c>
      <c r="AD1090" t="s">
        <v>609</v>
      </c>
      <c r="AE1090" t="s">
        <v>183</v>
      </c>
      <c r="AF1090">
        <v>0</v>
      </c>
    </row>
    <row r="1091" spans="1:32">
      <c r="A1091">
        <v>329</v>
      </c>
      <c r="B1091">
        <v>854</v>
      </c>
      <c r="C1091" t="s">
        <v>500</v>
      </c>
      <c r="D1091" t="s">
        <v>1059</v>
      </c>
      <c r="E1091" t="s">
        <v>2165</v>
      </c>
      <c r="F1091" t="s">
        <v>197</v>
      </c>
      <c r="G1091" t="s">
        <v>1302</v>
      </c>
      <c r="H1091" t="s">
        <v>192</v>
      </c>
      <c r="I1091" t="s">
        <v>192</v>
      </c>
      <c r="J1091" t="s">
        <v>192</v>
      </c>
      <c r="K1091" t="s">
        <v>502</v>
      </c>
      <c r="L1091" s="84">
        <v>42002</v>
      </c>
      <c r="M1091" t="s">
        <v>325</v>
      </c>
      <c r="N1091" t="s">
        <v>503</v>
      </c>
      <c r="O1091">
        <v>2</v>
      </c>
      <c r="P1091" t="s">
        <v>504</v>
      </c>
      <c r="Q1091" t="s">
        <v>505</v>
      </c>
      <c r="R1091" t="s">
        <v>506</v>
      </c>
      <c r="S1091" t="s">
        <v>507</v>
      </c>
      <c r="T1091" t="s">
        <v>38</v>
      </c>
      <c r="U1091" t="s">
        <v>79</v>
      </c>
      <c r="V1091">
        <v>61</v>
      </c>
      <c r="W1091">
        <v>82</v>
      </c>
      <c r="X1091">
        <v>122</v>
      </c>
      <c r="Y1091">
        <v>96</v>
      </c>
      <c r="Z1091">
        <v>184</v>
      </c>
      <c r="AA1091">
        <v>152</v>
      </c>
      <c r="AB1091" t="s">
        <v>882</v>
      </c>
      <c r="AC1091" t="s">
        <v>212</v>
      </c>
      <c r="AD1091" t="s">
        <v>609</v>
      </c>
      <c r="AE1091" t="s">
        <v>183</v>
      </c>
      <c r="AF1091">
        <v>0</v>
      </c>
    </row>
    <row r="1092" spans="1:32">
      <c r="A1092">
        <v>329</v>
      </c>
      <c r="B1092">
        <v>854</v>
      </c>
      <c r="C1092" t="s">
        <v>500</v>
      </c>
      <c r="D1092" t="s">
        <v>1059</v>
      </c>
      <c r="E1092" t="s">
        <v>2165</v>
      </c>
      <c r="F1092" t="s">
        <v>193</v>
      </c>
      <c r="G1092" t="s">
        <v>1300</v>
      </c>
      <c r="H1092" t="s">
        <v>192</v>
      </c>
      <c r="I1092" t="s">
        <v>212</v>
      </c>
      <c r="J1092" t="s">
        <v>212</v>
      </c>
      <c r="K1092" t="s">
        <v>502</v>
      </c>
      <c r="L1092" s="84">
        <v>42002</v>
      </c>
      <c r="M1092" t="s">
        <v>325</v>
      </c>
      <c r="N1092" t="s">
        <v>503</v>
      </c>
      <c r="O1092">
        <v>2</v>
      </c>
      <c r="P1092" t="s">
        <v>504</v>
      </c>
      <c r="Q1092" t="s">
        <v>505</v>
      </c>
      <c r="R1092" t="s">
        <v>506</v>
      </c>
      <c r="S1092" t="s">
        <v>507</v>
      </c>
      <c r="T1092" t="s">
        <v>36</v>
      </c>
      <c r="U1092" t="s">
        <v>79</v>
      </c>
      <c r="V1092">
        <v>61</v>
      </c>
      <c r="W1092">
        <v>82</v>
      </c>
      <c r="X1092">
        <v>122</v>
      </c>
      <c r="Y1092">
        <v>96</v>
      </c>
      <c r="Z1092">
        <v>184</v>
      </c>
      <c r="AA1092">
        <v>152</v>
      </c>
      <c r="AB1092" t="s">
        <v>882</v>
      </c>
      <c r="AC1092" t="s">
        <v>212</v>
      </c>
      <c r="AD1092" t="s">
        <v>609</v>
      </c>
      <c r="AE1092" t="s">
        <v>183</v>
      </c>
      <c r="AF1092">
        <v>0</v>
      </c>
    </row>
    <row r="1093" spans="1:32">
      <c r="A1093">
        <v>329</v>
      </c>
      <c r="B1093">
        <v>854</v>
      </c>
      <c r="C1093" t="s">
        <v>500</v>
      </c>
      <c r="D1093" t="s">
        <v>1059</v>
      </c>
      <c r="E1093" t="s">
        <v>2165</v>
      </c>
      <c r="F1093" t="s">
        <v>37</v>
      </c>
      <c r="G1093" t="s">
        <v>1301</v>
      </c>
      <c r="H1093" t="s">
        <v>1701</v>
      </c>
      <c r="I1093" t="s">
        <v>212</v>
      </c>
      <c r="J1093" t="s">
        <v>192</v>
      </c>
      <c r="K1093" t="s">
        <v>502</v>
      </c>
      <c r="L1093" s="84">
        <v>42002</v>
      </c>
      <c r="M1093" t="s">
        <v>325</v>
      </c>
      <c r="N1093" t="s">
        <v>503</v>
      </c>
      <c r="O1093">
        <v>2</v>
      </c>
      <c r="P1093" t="s">
        <v>504</v>
      </c>
      <c r="Q1093" t="s">
        <v>505</v>
      </c>
      <c r="R1093" t="s">
        <v>506</v>
      </c>
      <c r="S1093" t="s">
        <v>507</v>
      </c>
      <c r="T1093" t="s">
        <v>37</v>
      </c>
      <c r="U1093" t="s">
        <v>79</v>
      </c>
      <c r="V1093">
        <v>61</v>
      </c>
      <c r="W1093">
        <v>82</v>
      </c>
      <c r="X1093">
        <v>122</v>
      </c>
      <c r="Y1093">
        <v>96</v>
      </c>
      <c r="Z1093">
        <v>184</v>
      </c>
      <c r="AA1093">
        <v>152</v>
      </c>
      <c r="AB1093" t="s">
        <v>882</v>
      </c>
      <c r="AC1093" t="s">
        <v>212</v>
      </c>
      <c r="AD1093" t="s">
        <v>609</v>
      </c>
      <c r="AE1093" t="s">
        <v>183</v>
      </c>
      <c r="AF1093">
        <v>0</v>
      </c>
    </row>
    <row r="1094" spans="1:32">
      <c r="A1094">
        <v>330</v>
      </c>
      <c r="B1094">
        <v>1159</v>
      </c>
      <c r="C1094" t="s">
        <v>2568</v>
      </c>
      <c r="D1094" t="s">
        <v>1059</v>
      </c>
      <c r="E1094" t="s">
        <v>2165</v>
      </c>
      <c r="F1094" t="s">
        <v>37</v>
      </c>
      <c r="G1094" t="s">
        <v>1304</v>
      </c>
      <c r="H1094" t="s">
        <v>1701</v>
      </c>
      <c r="I1094" t="s">
        <v>212</v>
      </c>
      <c r="J1094" t="s">
        <v>212</v>
      </c>
      <c r="K1094" t="s">
        <v>2569</v>
      </c>
      <c r="L1094" s="84">
        <v>42572</v>
      </c>
      <c r="M1094" t="s">
        <v>381</v>
      </c>
      <c r="N1094" t="s">
        <v>2570</v>
      </c>
      <c r="O1094">
        <v>2</v>
      </c>
      <c r="P1094" t="s">
        <v>2485</v>
      </c>
      <c r="Q1094" t="s">
        <v>2571</v>
      </c>
      <c r="R1094" t="s">
        <v>2572</v>
      </c>
      <c r="S1094" t="s">
        <v>2573</v>
      </c>
      <c r="T1094" t="s">
        <v>37</v>
      </c>
      <c r="U1094" t="s">
        <v>79</v>
      </c>
      <c r="V1094">
        <v>53</v>
      </c>
      <c r="W1094">
        <v>82</v>
      </c>
      <c r="X1094">
        <v>122</v>
      </c>
      <c r="Y1094">
        <v>88</v>
      </c>
      <c r="Z1094">
        <v>184</v>
      </c>
      <c r="AA1094">
        <v>146</v>
      </c>
      <c r="AB1094" t="s">
        <v>520</v>
      </c>
      <c r="AC1094" t="s">
        <v>192</v>
      </c>
      <c r="AD1094" t="s">
        <v>210</v>
      </c>
      <c r="AE1094" t="s">
        <v>183</v>
      </c>
      <c r="AF1094">
        <v>0</v>
      </c>
    </row>
    <row r="1095" spans="1:32">
      <c r="A1095">
        <v>330</v>
      </c>
      <c r="B1095">
        <v>1159</v>
      </c>
      <c r="C1095" t="s">
        <v>2568</v>
      </c>
      <c r="D1095" t="s">
        <v>1059</v>
      </c>
      <c r="E1095" t="s">
        <v>2165</v>
      </c>
      <c r="F1095" t="s">
        <v>193</v>
      </c>
      <c r="G1095" t="s">
        <v>1305</v>
      </c>
      <c r="H1095" t="s">
        <v>192</v>
      </c>
      <c r="I1095" t="s">
        <v>212</v>
      </c>
      <c r="J1095" t="s">
        <v>192</v>
      </c>
      <c r="K1095" t="s">
        <v>2569</v>
      </c>
      <c r="L1095" s="84">
        <v>42572</v>
      </c>
      <c r="M1095" t="s">
        <v>381</v>
      </c>
      <c r="N1095" t="s">
        <v>2570</v>
      </c>
      <c r="O1095">
        <v>2</v>
      </c>
      <c r="P1095" t="s">
        <v>2485</v>
      </c>
      <c r="Q1095" t="s">
        <v>2571</v>
      </c>
      <c r="R1095" t="s">
        <v>2572</v>
      </c>
      <c r="S1095" t="s">
        <v>2573</v>
      </c>
      <c r="T1095" t="s">
        <v>36</v>
      </c>
      <c r="U1095" t="s">
        <v>79</v>
      </c>
      <c r="V1095">
        <v>53</v>
      </c>
      <c r="W1095">
        <v>82</v>
      </c>
      <c r="X1095">
        <v>122</v>
      </c>
      <c r="Y1095">
        <v>88</v>
      </c>
      <c r="Z1095">
        <v>184</v>
      </c>
      <c r="AA1095">
        <v>146</v>
      </c>
      <c r="AB1095" t="s">
        <v>520</v>
      </c>
      <c r="AC1095" t="s">
        <v>192</v>
      </c>
      <c r="AD1095" t="s">
        <v>210</v>
      </c>
      <c r="AE1095" t="s">
        <v>183</v>
      </c>
      <c r="AF1095">
        <v>0</v>
      </c>
    </row>
    <row r="1096" spans="1:32">
      <c r="A1096">
        <v>330</v>
      </c>
      <c r="B1096">
        <v>1159</v>
      </c>
      <c r="C1096" t="s">
        <v>2568</v>
      </c>
      <c r="D1096" t="s">
        <v>1059</v>
      </c>
      <c r="E1096" t="s">
        <v>2165</v>
      </c>
      <c r="F1096" t="s">
        <v>197</v>
      </c>
      <c r="G1096" t="s">
        <v>1303</v>
      </c>
      <c r="H1096" t="s">
        <v>188</v>
      </c>
      <c r="I1096" t="s">
        <v>192</v>
      </c>
      <c r="J1096" t="s">
        <v>192</v>
      </c>
      <c r="K1096" t="s">
        <v>2569</v>
      </c>
      <c r="L1096" s="84">
        <v>42572</v>
      </c>
      <c r="M1096" t="s">
        <v>381</v>
      </c>
      <c r="N1096" t="s">
        <v>2570</v>
      </c>
      <c r="O1096">
        <v>2</v>
      </c>
      <c r="P1096" t="s">
        <v>2485</v>
      </c>
      <c r="Q1096" t="s">
        <v>2571</v>
      </c>
      <c r="R1096" t="s">
        <v>2572</v>
      </c>
      <c r="S1096" t="s">
        <v>2573</v>
      </c>
      <c r="T1096" t="s">
        <v>38</v>
      </c>
      <c r="U1096" t="s">
        <v>79</v>
      </c>
      <c r="V1096">
        <v>53</v>
      </c>
      <c r="W1096">
        <v>82</v>
      </c>
      <c r="X1096">
        <v>122</v>
      </c>
      <c r="Y1096">
        <v>88</v>
      </c>
      <c r="Z1096">
        <v>184</v>
      </c>
      <c r="AA1096">
        <v>146</v>
      </c>
      <c r="AB1096" t="s">
        <v>520</v>
      </c>
      <c r="AC1096" t="s">
        <v>192</v>
      </c>
      <c r="AD1096" t="s">
        <v>210</v>
      </c>
      <c r="AE1096" t="s">
        <v>183</v>
      </c>
      <c r="AF1096">
        <v>0</v>
      </c>
    </row>
    <row r="1097" spans="1:32">
      <c r="A1097">
        <v>330</v>
      </c>
      <c r="B1097">
        <v>1159</v>
      </c>
      <c r="C1097" t="s">
        <v>2568</v>
      </c>
      <c r="D1097" t="s">
        <v>1059</v>
      </c>
      <c r="E1097" t="s">
        <v>2165</v>
      </c>
      <c r="F1097" t="s">
        <v>6</v>
      </c>
      <c r="G1097" t="s">
        <v>1306</v>
      </c>
      <c r="H1097" t="s">
        <v>226</v>
      </c>
      <c r="I1097" t="s">
        <v>212</v>
      </c>
      <c r="J1097" t="s">
        <v>243</v>
      </c>
      <c r="K1097" t="s">
        <v>2569</v>
      </c>
      <c r="L1097" s="84">
        <v>42572</v>
      </c>
      <c r="M1097" t="s">
        <v>381</v>
      </c>
      <c r="N1097" t="s">
        <v>2570</v>
      </c>
      <c r="O1097">
        <v>2</v>
      </c>
      <c r="P1097" t="s">
        <v>2485</v>
      </c>
      <c r="Q1097" t="s">
        <v>2571</v>
      </c>
      <c r="R1097" t="s">
        <v>2572</v>
      </c>
      <c r="S1097" t="s">
        <v>2573</v>
      </c>
      <c r="T1097" t="s">
        <v>34</v>
      </c>
      <c r="U1097" t="s">
        <v>79</v>
      </c>
      <c r="V1097">
        <v>53</v>
      </c>
      <c r="W1097">
        <v>82</v>
      </c>
      <c r="X1097">
        <v>122</v>
      </c>
      <c r="Y1097">
        <v>88</v>
      </c>
      <c r="Z1097">
        <v>184</v>
      </c>
      <c r="AA1097">
        <v>146</v>
      </c>
      <c r="AB1097" t="s">
        <v>520</v>
      </c>
      <c r="AC1097" t="s">
        <v>192</v>
      </c>
      <c r="AD1097" t="s">
        <v>210</v>
      </c>
      <c r="AE1097" t="s">
        <v>183</v>
      </c>
      <c r="AF1097">
        <v>0</v>
      </c>
    </row>
    <row r="1098" spans="1:32">
      <c r="A1098">
        <v>330</v>
      </c>
      <c r="B1098">
        <v>1159</v>
      </c>
      <c r="C1098" t="s">
        <v>2568</v>
      </c>
      <c r="D1098" t="s">
        <v>1059</v>
      </c>
      <c r="E1098" t="s">
        <v>2165</v>
      </c>
      <c r="F1098" t="s">
        <v>7</v>
      </c>
      <c r="G1098" t="s">
        <v>1309</v>
      </c>
      <c r="H1098" t="s">
        <v>260</v>
      </c>
      <c r="I1098" t="s">
        <v>238</v>
      </c>
      <c r="J1098" t="s">
        <v>274</v>
      </c>
      <c r="K1098" t="s">
        <v>2569</v>
      </c>
      <c r="L1098" s="84">
        <v>42572</v>
      </c>
      <c r="M1098" t="s">
        <v>381</v>
      </c>
      <c r="N1098" t="s">
        <v>2570</v>
      </c>
      <c r="O1098">
        <v>2</v>
      </c>
      <c r="P1098" t="s">
        <v>2485</v>
      </c>
      <c r="Q1098" t="s">
        <v>2571</v>
      </c>
      <c r="R1098" t="s">
        <v>2572</v>
      </c>
      <c r="S1098" t="s">
        <v>2573</v>
      </c>
      <c r="T1098" t="s">
        <v>32</v>
      </c>
      <c r="U1098" t="s">
        <v>79</v>
      </c>
      <c r="V1098">
        <v>53</v>
      </c>
      <c r="W1098">
        <v>82</v>
      </c>
      <c r="X1098">
        <v>122</v>
      </c>
      <c r="Y1098">
        <v>88</v>
      </c>
      <c r="Z1098">
        <v>184</v>
      </c>
      <c r="AA1098">
        <v>146</v>
      </c>
      <c r="AB1098" t="s">
        <v>520</v>
      </c>
      <c r="AC1098" t="s">
        <v>192</v>
      </c>
      <c r="AD1098" t="s">
        <v>210</v>
      </c>
      <c r="AE1098" t="s">
        <v>183</v>
      </c>
      <c r="AF1098">
        <v>0</v>
      </c>
    </row>
    <row r="1099" spans="1:32">
      <c r="A1099">
        <v>330</v>
      </c>
      <c r="B1099">
        <v>1159</v>
      </c>
      <c r="C1099" t="s">
        <v>2568</v>
      </c>
      <c r="D1099" t="s">
        <v>1059</v>
      </c>
      <c r="E1099" t="s">
        <v>2165</v>
      </c>
      <c r="F1099" t="s">
        <v>8</v>
      </c>
      <c r="G1099" t="s">
        <v>1308</v>
      </c>
      <c r="H1099" t="s">
        <v>238</v>
      </c>
      <c r="I1099" t="s">
        <v>236</v>
      </c>
      <c r="J1099" t="s">
        <v>223</v>
      </c>
      <c r="K1099" t="s">
        <v>2569</v>
      </c>
      <c r="L1099" s="84">
        <v>42572</v>
      </c>
      <c r="M1099" t="s">
        <v>381</v>
      </c>
      <c r="N1099" t="s">
        <v>2570</v>
      </c>
      <c r="O1099">
        <v>2</v>
      </c>
      <c r="P1099" t="s">
        <v>2485</v>
      </c>
      <c r="Q1099" t="s">
        <v>2571</v>
      </c>
      <c r="R1099" t="s">
        <v>2572</v>
      </c>
      <c r="S1099" t="s">
        <v>2573</v>
      </c>
      <c r="T1099" t="s">
        <v>31</v>
      </c>
      <c r="U1099" t="s">
        <v>79</v>
      </c>
      <c r="V1099">
        <v>53</v>
      </c>
      <c r="W1099">
        <v>82</v>
      </c>
      <c r="X1099">
        <v>122</v>
      </c>
      <c r="Y1099">
        <v>88</v>
      </c>
      <c r="Z1099">
        <v>184</v>
      </c>
      <c r="AA1099">
        <v>146</v>
      </c>
      <c r="AB1099" t="s">
        <v>520</v>
      </c>
      <c r="AC1099" t="s">
        <v>192</v>
      </c>
      <c r="AD1099" t="s">
        <v>210</v>
      </c>
      <c r="AE1099" t="s">
        <v>183</v>
      </c>
      <c r="AF1099">
        <v>0</v>
      </c>
    </row>
    <row r="1100" spans="1:32">
      <c r="A1100">
        <v>330</v>
      </c>
      <c r="B1100">
        <v>1159</v>
      </c>
      <c r="C1100" t="s">
        <v>2568</v>
      </c>
      <c r="D1100" t="s">
        <v>1059</v>
      </c>
      <c r="E1100" t="s">
        <v>2165</v>
      </c>
      <c r="F1100" t="s">
        <v>5</v>
      </c>
      <c r="G1100" t="s">
        <v>1307</v>
      </c>
      <c r="H1100" t="s">
        <v>497</v>
      </c>
      <c r="I1100" t="s">
        <v>297</v>
      </c>
      <c r="J1100" t="s">
        <v>236</v>
      </c>
      <c r="K1100" t="s">
        <v>2569</v>
      </c>
      <c r="L1100" s="84">
        <v>42572</v>
      </c>
      <c r="M1100" t="s">
        <v>381</v>
      </c>
      <c r="N1100" t="s">
        <v>2570</v>
      </c>
      <c r="O1100">
        <v>2</v>
      </c>
      <c r="P1100" t="s">
        <v>2485</v>
      </c>
      <c r="Q1100" t="s">
        <v>2571</v>
      </c>
      <c r="R1100" t="s">
        <v>2572</v>
      </c>
      <c r="S1100" t="s">
        <v>2573</v>
      </c>
      <c r="T1100" t="s">
        <v>33</v>
      </c>
      <c r="U1100" t="s">
        <v>79</v>
      </c>
      <c r="V1100">
        <v>53</v>
      </c>
      <c r="W1100">
        <v>82</v>
      </c>
      <c r="X1100">
        <v>122</v>
      </c>
      <c r="Y1100">
        <v>88</v>
      </c>
      <c r="Z1100">
        <v>184</v>
      </c>
      <c r="AA1100">
        <v>146</v>
      </c>
      <c r="AB1100" t="s">
        <v>520</v>
      </c>
      <c r="AC1100" t="s">
        <v>192</v>
      </c>
      <c r="AD1100" t="s">
        <v>210</v>
      </c>
      <c r="AE1100" t="s">
        <v>183</v>
      </c>
      <c r="AF1100">
        <v>0</v>
      </c>
    </row>
    <row r="1101" spans="1:32">
      <c r="A1101">
        <v>331</v>
      </c>
      <c r="B1101">
        <v>809</v>
      </c>
      <c r="C1101" t="s">
        <v>513</v>
      </c>
      <c r="D1101" t="s">
        <v>1059</v>
      </c>
      <c r="E1101" t="s">
        <v>2165</v>
      </c>
      <c r="F1101" t="s">
        <v>5</v>
      </c>
      <c r="G1101" t="s">
        <v>1314</v>
      </c>
      <c r="H1101" t="s">
        <v>239</v>
      </c>
      <c r="I1101" t="s">
        <v>297</v>
      </c>
      <c r="J1101" t="s">
        <v>220</v>
      </c>
      <c r="K1101" t="s">
        <v>515</v>
      </c>
      <c r="L1101" s="84">
        <v>42888</v>
      </c>
      <c r="M1101" t="s">
        <v>325</v>
      </c>
      <c r="N1101" t="s">
        <v>1361</v>
      </c>
      <c r="O1101">
        <v>2</v>
      </c>
      <c r="P1101" t="s">
        <v>516</v>
      </c>
      <c r="Q1101" t="s">
        <v>517</v>
      </c>
      <c r="R1101" t="s">
        <v>518</v>
      </c>
      <c r="S1101" t="s">
        <v>519</v>
      </c>
      <c r="T1101" t="s">
        <v>33</v>
      </c>
      <c r="U1101" t="s">
        <v>79</v>
      </c>
      <c r="V1101">
        <v>67</v>
      </c>
      <c r="W1101">
        <v>82</v>
      </c>
      <c r="X1101">
        <v>122</v>
      </c>
      <c r="Y1101">
        <v>101</v>
      </c>
      <c r="Z1101">
        <v>184</v>
      </c>
      <c r="AA1101">
        <v>156</v>
      </c>
      <c r="AB1101" t="s">
        <v>370</v>
      </c>
      <c r="AC1101" t="s">
        <v>228</v>
      </c>
      <c r="AD1101" t="s">
        <v>210</v>
      </c>
      <c r="AE1101" t="s">
        <v>183</v>
      </c>
      <c r="AF1101">
        <v>0</v>
      </c>
    </row>
    <row r="1102" spans="1:32">
      <c r="A1102">
        <v>331</v>
      </c>
      <c r="B1102">
        <v>809</v>
      </c>
      <c r="C1102" t="s">
        <v>513</v>
      </c>
      <c r="D1102" t="s">
        <v>1059</v>
      </c>
      <c r="E1102" t="s">
        <v>2165</v>
      </c>
      <c r="F1102" t="s">
        <v>8</v>
      </c>
      <c r="G1102" t="s">
        <v>1313</v>
      </c>
      <c r="H1102" t="s">
        <v>238</v>
      </c>
      <c r="I1102" t="s">
        <v>237</v>
      </c>
      <c r="J1102" t="s">
        <v>228</v>
      </c>
      <c r="K1102" t="s">
        <v>515</v>
      </c>
      <c r="L1102" s="84">
        <v>42888</v>
      </c>
      <c r="M1102" t="s">
        <v>325</v>
      </c>
      <c r="N1102" t="s">
        <v>1361</v>
      </c>
      <c r="O1102">
        <v>2</v>
      </c>
      <c r="P1102" t="s">
        <v>516</v>
      </c>
      <c r="Q1102" t="s">
        <v>517</v>
      </c>
      <c r="R1102" t="s">
        <v>518</v>
      </c>
      <c r="S1102" t="s">
        <v>519</v>
      </c>
      <c r="T1102" t="s">
        <v>31</v>
      </c>
      <c r="U1102" t="s">
        <v>79</v>
      </c>
      <c r="V1102">
        <v>67</v>
      </c>
      <c r="W1102">
        <v>82</v>
      </c>
      <c r="X1102">
        <v>122</v>
      </c>
      <c r="Y1102">
        <v>101</v>
      </c>
      <c r="Z1102">
        <v>184</v>
      </c>
      <c r="AA1102">
        <v>156</v>
      </c>
      <c r="AB1102" t="s">
        <v>370</v>
      </c>
      <c r="AC1102" t="s">
        <v>228</v>
      </c>
      <c r="AD1102" t="s">
        <v>210</v>
      </c>
      <c r="AE1102" t="s">
        <v>183</v>
      </c>
      <c r="AF1102">
        <v>0</v>
      </c>
    </row>
    <row r="1103" spans="1:32">
      <c r="A1103">
        <v>331</v>
      </c>
      <c r="B1103">
        <v>809</v>
      </c>
      <c r="C1103" t="s">
        <v>513</v>
      </c>
      <c r="D1103" t="s">
        <v>1059</v>
      </c>
      <c r="E1103" t="s">
        <v>2165</v>
      </c>
      <c r="F1103" t="s">
        <v>7</v>
      </c>
      <c r="G1103" t="s">
        <v>1310</v>
      </c>
      <c r="H1103" t="s">
        <v>223</v>
      </c>
      <c r="I1103" t="s">
        <v>220</v>
      </c>
      <c r="J1103" t="s">
        <v>238</v>
      </c>
      <c r="K1103" t="s">
        <v>515</v>
      </c>
      <c r="L1103" s="84">
        <v>42888</v>
      </c>
      <c r="M1103" t="s">
        <v>325</v>
      </c>
      <c r="N1103" t="s">
        <v>1361</v>
      </c>
      <c r="O1103">
        <v>2</v>
      </c>
      <c r="P1103" t="s">
        <v>516</v>
      </c>
      <c r="Q1103" t="s">
        <v>517</v>
      </c>
      <c r="R1103" t="s">
        <v>518</v>
      </c>
      <c r="S1103" t="s">
        <v>519</v>
      </c>
      <c r="T1103" t="s">
        <v>32</v>
      </c>
      <c r="U1103" t="s">
        <v>79</v>
      </c>
      <c r="V1103">
        <v>67</v>
      </c>
      <c r="W1103">
        <v>82</v>
      </c>
      <c r="X1103">
        <v>122</v>
      </c>
      <c r="Y1103">
        <v>101</v>
      </c>
      <c r="Z1103">
        <v>184</v>
      </c>
      <c r="AA1103">
        <v>156</v>
      </c>
      <c r="AB1103" t="s">
        <v>370</v>
      </c>
      <c r="AC1103" t="s">
        <v>228</v>
      </c>
      <c r="AD1103" t="s">
        <v>210</v>
      </c>
      <c r="AE1103" t="s">
        <v>183</v>
      </c>
      <c r="AF1103">
        <v>0</v>
      </c>
    </row>
    <row r="1104" spans="1:32">
      <c r="A1104">
        <v>331</v>
      </c>
      <c r="B1104">
        <v>809</v>
      </c>
      <c r="C1104" t="s">
        <v>513</v>
      </c>
      <c r="D1104" t="s">
        <v>1059</v>
      </c>
      <c r="E1104" t="s">
        <v>2165</v>
      </c>
      <c r="F1104" t="s">
        <v>6</v>
      </c>
      <c r="G1104" t="s">
        <v>1315</v>
      </c>
      <c r="H1104" t="s">
        <v>226</v>
      </c>
      <c r="I1104" t="s">
        <v>181</v>
      </c>
      <c r="J1104" t="s">
        <v>376</v>
      </c>
      <c r="K1104" t="s">
        <v>515</v>
      </c>
      <c r="L1104" s="84">
        <v>42888</v>
      </c>
      <c r="M1104" t="s">
        <v>325</v>
      </c>
      <c r="N1104" t="s">
        <v>1361</v>
      </c>
      <c r="O1104">
        <v>2</v>
      </c>
      <c r="P1104" t="s">
        <v>516</v>
      </c>
      <c r="Q1104" t="s">
        <v>517</v>
      </c>
      <c r="R1104" t="s">
        <v>518</v>
      </c>
      <c r="S1104" t="s">
        <v>519</v>
      </c>
      <c r="T1104" t="s">
        <v>34</v>
      </c>
      <c r="U1104" t="s">
        <v>79</v>
      </c>
      <c r="V1104">
        <v>67</v>
      </c>
      <c r="W1104">
        <v>82</v>
      </c>
      <c r="X1104">
        <v>122</v>
      </c>
      <c r="Y1104">
        <v>101</v>
      </c>
      <c r="Z1104">
        <v>184</v>
      </c>
      <c r="AA1104">
        <v>156</v>
      </c>
      <c r="AB1104" t="s">
        <v>370</v>
      </c>
      <c r="AC1104" t="s">
        <v>228</v>
      </c>
      <c r="AD1104" t="s">
        <v>210</v>
      </c>
      <c r="AE1104" t="s">
        <v>183</v>
      </c>
      <c r="AF1104">
        <v>0</v>
      </c>
    </row>
    <row r="1105" spans="1:32">
      <c r="A1105">
        <v>331</v>
      </c>
      <c r="B1105">
        <v>809</v>
      </c>
      <c r="C1105" t="s">
        <v>513</v>
      </c>
      <c r="D1105" t="s">
        <v>1059</v>
      </c>
      <c r="E1105" t="s">
        <v>2165</v>
      </c>
      <c r="F1105" t="s">
        <v>197</v>
      </c>
      <c r="G1105" t="s">
        <v>1318</v>
      </c>
      <c r="H1105" t="s">
        <v>192</v>
      </c>
      <c r="I1105" t="s">
        <v>192</v>
      </c>
      <c r="J1105" t="s">
        <v>212</v>
      </c>
      <c r="K1105" t="s">
        <v>515</v>
      </c>
      <c r="L1105" s="84">
        <v>42888</v>
      </c>
      <c r="M1105" t="s">
        <v>325</v>
      </c>
      <c r="N1105" t="s">
        <v>1361</v>
      </c>
      <c r="O1105">
        <v>2</v>
      </c>
      <c r="P1105" t="s">
        <v>516</v>
      </c>
      <c r="Q1105" t="s">
        <v>517</v>
      </c>
      <c r="R1105" t="s">
        <v>518</v>
      </c>
      <c r="S1105" t="s">
        <v>519</v>
      </c>
      <c r="T1105" t="s">
        <v>38</v>
      </c>
      <c r="U1105" t="s">
        <v>79</v>
      </c>
      <c r="V1105">
        <v>67</v>
      </c>
      <c r="W1105">
        <v>82</v>
      </c>
      <c r="X1105">
        <v>122</v>
      </c>
      <c r="Y1105">
        <v>101</v>
      </c>
      <c r="Z1105">
        <v>184</v>
      </c>
      <c r="AA1105">
        <v>156</v>
      </c>
      <c r="AB1105" t="s">
        <v>370</v>
      </c>
      <c r="AC1105" t="s">
        <v>228</v>
      </c>
      <c r="AD1105" t="s">
        <v>210</v>
      </c>
      <c r="AE1105" t="s">
        <v>183</v>
      </c>
      <c r="AF1105">
        <v>0</v>
      </c>
    </row>
    <row r="1106" spans="1:32">
      <c r="A1106">
        <v>331</v>
      </c>
      <c r="B1106">
        <v>809</v>
      </c>
      <c r="C1106" t="s">
        <v>513</v>
      </c>
      <c r="D1106" t="s">
        <v>1059</v>
      </c>
      <c r="E1106" t="s">
        <v>2165</v>
      </c>
      <c r="F1106" t="s">
        <v>193</v>
      </c>
      <c r="G1106" t="s">
        <v>1316</v>
      </c>
      <c r="H1106" t="s">
        <v>223</v>
      </c>
      <c r="I1106" t="s">
        <v>212</v>
      </c>
      <c r="J1106" t="s">
        <v>192</v>
      </c>
      <c r="K1106" t="s">
        <v>515</v>
      </c>
      <c r="L1106" s="84">
        <v>42888</v>
      </c>
      <c r="M1106" t="s">
        <v>325</v>
      </c>
      <c r="N1106" t="s">
        <v>1361</v>
      </c>
      <c r="O1106">
        <v>2</v>
      </c>
      <c r="P1106" t="s">
        <v>516</v>
      </c>
      <c r="Q1106" t="s">
        <v>517</v>
      </c>
      <c r="R1106" t="s">
        <v>518</v>
      </c>
      <c r="S1106" t="s">
        <v>519</v>
      </c>
      <c r="T1106" t="s">
        <v>36</v>
      </c>
      <c r="U1106" t="s">
        <v>79</v>
      </c>
      <c r="V1106">
        <v>67</v>
      </c>
      <c r="W1106">
        <v>82</v>
      </c>
      <c r="X1106">
        <v>122</v>
      </c>
      <c r="Y1106">
        <v>101</v>
      </c>
      <c r="Z1106">
        <v>184</v>
      </c>
      <c r="AA1106">
        <v>156</v>
      </c>
      <c r="AB1106" t="s">
        <v>370</v>
      </c>
      <c r="AC1106" t="s">
        <v>228</v>
      </c>
      <c r="AD1106" t="s">
        <v>210</v>
      </c>
      <c r="AE1106" t="s">
        <v>183</v>
      </c>
      <c r="AF1106">
        <v>0</v>
      </c>
    </row>
    <row r="1107" spans="1:32">
      <c r="A1107">
        <v>331</v>
      </c>
      <c r="B1107">
        <v>809</v>
      </c>
      <c r="C1107" t="s">
        <v>513</v>
      </c>
      <c r="D1107" t="s">
        <v>1059</v>
      </c>
      <c r="E1107" t="s">
        <v>2165</v>
      </c>
      <c r="F1107" t="s">
        <v>37</v>
      </c>
      <c r="G1107" t="s">
        <v>1317</v>
      </c>
      <c r="H1107" t="s">
        <v>1701</v>
      </c>
      <c r="I1107" t="s">
        <v>212</v>
      </c>
      <c r="J1107" t="s">
        <v>192</v>
      </c>
      <c r="K1107" t="s">
        <v>515</v>
      </c>
      <c r="L1107" s="84">
        <v>42888</v>
      </c>
      <c r="M1107" t="s">
        <v>325</v>
      </c>
      <c r="N1107" t="s">
        <v>1361</v>
      </c>
      <c r="O1107">
        <v>2</v>
      </c>
      <c r="P1107" t="s">
        <v>516</v>
      </c>
      <c r="Q1107" t="s">
        <v>517</v>
      </c>
      <c r="R1107" t="s">
        <v>518</v>
      </c>
      <c r="S1107" t="s">
        <v>519</v>
      </c>
      <c r="T1107" t="s">
        <v>37</v>
      </c>
      <c r="U1107" t="s">
        <v>79</v>
      </c>
      <c r="V1107">
        <v>67</v>
      </c>
      <c r="W1107">
        <v>82</v>
      </c>
      <c r="X1107">
        <v>122</v>
      </c>
      <c r="Y1107">
        <v>101</v>
      </c>
      <c r="Z1107">
        <v>184</v>
      </c>
      <c r="AA1107">
        <v>156</v>
      </c>
      <c r="AB1107" t="s">
        <v>370</v>
      </c>
      <c r="AC1107" t="s">
        <v>228</v>
      </c>
      <c r="AD1107" t="s">
        <v>210</v>
      </c>
      <c r="AE1107" t="s">
        <v>183</v>
      </c>
      <c r="AF1107">
        <v>0</v>
      </c>
    </row>
    <row r="1108" spans="1:32">
      <c r="A1108">
        <v>332</v>
      </c>
      <c r="B1108">
        <v>807</v>
      </c>
      <c r="C1108" t="s">
        <v>526</v>
      </c>
      <c r="D1108" t="s">
        <v>1059</v>
      </c>
      <c r="E1108" t="s">
        <v>2165</v>
      </c>
      <c r="F1108" t="s">
        <v>37</v>
      </c>
      <c r="G1108" t="s">
        <v>1320</v>
      </c>
      <c r="H1108" t="s">
        <v>1701</v>
      </c>
      <c r="I1108" t="s">
        <v>212</v>
      </c>
      <c r="J1108" t="s">
        <v>192</v>
      </c>
      <c r="K1108" t="s">
        <v>528</v>
      </c>
      <c r="L1108" s="84">
        <v>42455</v>
      </c>
      <c r="M1108" t="s">
        <v>203</v>
      </c>
      <c r="N1108" t="s">
        <v>1362</v>
      </c>
      <c r="O1108">
        <v>2</v>
      </c>
      <c r="P1108" t="s">
        <v>529</v>
      </c>
      <c r="Q1108" t="s">
        <v>530</v>
      </c>
      <c r="R1108" t="s">
        <v>531</v>
      </c>
      <c r="S1108" t="s">
        <v>532</v>
      </c>
      <c r="T1108" t="s">
        <v>37</v>
      </c>
      <c r="U1108" t="s">
        <v>79</v>
      </c>
      <c r="V1108">
        <v>52</v>
      </c>
      <c r="W1108">
        <v>82</v>
      </c>
      <c r="X1108">
        <v>122</v>
      </c>
      <c r="Y1108">
        <v>85</v>
      </c>
      <c r="Z1108">
        <v>184</v>
      </c>
      <c r="AA1108">
        <v>127</v>
      </c>
      <c r="AB1108" t="s">
        <v>1049</v>
      </c>
      <c r="AC1108" t="s">
        <v>192</v>
      </c>
      <c r="AD1108" t="s">
        <v>182</v>
      </c>
      <c r="AE1108" t="s">
        <v>183</v>
      </c>
      <c r="AF1108">
        <v>0</v>
      </c>
    </row>
    <row r="1109" spans="1:32">
      <c r="A1109">
        <v>332</v>
      </c>
      <c r="B1109">
        <v>807</v>
      </c>
      <c r="C1109" t="s">
        <v>526</v>
      </c>
      <c r="D1109" t="s">
        <v>1059</v>
      </c>
      <c r="E1109" t="s">
        <v>2165</v>
      </c>
      <c r="F1109" t="s">
        <v>193</v>
      </c>
      <c r="G1109" t="s">
        <v>1321</v>
      </c>
      <c r="H1109" t="s">
        <v>188</v>
      </c>
      <c r="I1109" t="s">
        <v>212</v>
      </c>
      <c r="J1109" t="s">
        <v>192</v>
      </c>
      <c r="K1109" t="s">
        <v>528</v>
      </c>
      <c r="L1109" s="84">
        <v>42455</v>
      </c>
      <c r="M1109" t="s">
        <v>203</v>
      </c>
      <c r="N1109" t="s">
        <v>1362</v>
      </c>
      <c r="O1109">
        <v>2</v>
      </c>
      <c r="P1109" t="s">
        <v>529</v>
      </c>
      <c r="Q1109" t="s">
        <v>530</v>
      </c>
      <c r="R1109" t="s">
        <v>531</v>
      </c>
      <c r="S1109" t="s">
        <v>532</v>
      </c>
      <c r="T1109" t="s">
        <v>36</v>
      </c>
      <c r="U1109" t="s">
        <v>79</v>
      </c>
      <c r="V1109">
        <v>52</v>
      </c>
      <c r="W1109">
        <v>82</v>
      </c>
      <c r="X1109">
        <v>122</v>
      </c>
      <c r="Y1109">
        <v>85</v>
      </c>
      <c r="Z1109">
        <v>184</v>
      </c>
      <c r="AA1109">
        <v>127</v>
      </c>
      <c r="AB1109" t="s">
        <v>1049</v>
      </c>
      <c r="AC1109" t="s">
        <v>192</v>
      </c>
      <c r="AD1109" t="s">
        <v>182</v>
      </c>
      <c r="AE1109" t="s">
        <v>183</v>
      </c>
      <c r="AF1109">
        <v>0</v>
      </c>
    </row>
    <row r="1110" spans="1:32">
      <c r="A1110">
        <v>332</v>
      </c>
      <c r="B1110">
        <v>807</v>
      </c>
      <c r="C1110" t="s">
        <v>526</v>
      </c>
      <c r="D1110" t="s">
        <v>1059</v>
      </c>
      <c r="E1110" t="s">
        <v>2165</v>
      </c>
      <c r="F1110" t="s">
        <v>197</v>
      </c>
      <c r="G1110" t="s">
        <v>1319</v>
      </c>
      <c r="H1110" t="s">
        <v>212</v>
      </c>
      <c r="I1110" t="s">
        <v>192</v>
      </c>
      <c r="J1110" t="s">
        <v>192</v>
      </c>
      <c r="K1110" t="s">
        <v>528</v>
      </c>
      <c r="L1110" s="84">
        <v>42455</v>
      </c>
      <c r="M1110" t="s">
        <v>203</v>
      </c>
      <c r="N1110" t="s">
        <v>1362</v>
      </c>
      <c r="O1110">
        <v>2</v>
      </c>
      <c r="P1110" t="s">
        <v>529</v>
      </c>
      <c r="Q1110" t="s">
        <v>530</v>
      </c>
      <c r="R1110" t="s">
        <v>531</v>
      </c>
      <c r="S1110" t="s">
        <v>532</v>
      </c>
      <c r="T1110" t="s">
        <v>38</v>
      </c>
      <c r="U1110" t="s">
        <v>79</v>
      </c>
      <c r="V1110">
        <v>52</v>
      </c>
      <c r="W1110">
        <v>82</v>
      </c>
      <c r="X1110">
        <v>122</v>
      </c>
      <c r="Y1110">
        <v>85</v>
      </c>
      <c r="Z1110">
        <v>184</v>
      </c>
      <c r="AA1110">
        <v>127</v>
      </c>
      <c r="AB1110" t="s">
        <v>1049</v>
      </c>
      <c r="AC1110" t="s">
        <v>192</v>
      </c>
      <c r="AD1110" t="s">
        <v>182</v>
      </c>
      <c r="AE1110" t="s">
        <v>183</v>
      </c>
      <c r="AF1110">
        <v>0</v>
      </c>
    </row>
    <row r="1111" spans="1:32">
      <c r="A1111">
        <v>332</v>
      </c>
      <c r="B1111">
        <v>807</v>
      </c>
      <c r="C1111" t="s">
        <v>526</v>
      </c>
      <c r="D1111" t="s">
        <v>1059</v>
      </c>
      <c r="E1111" t="s">
        <v>2165</v>
      </c>
      <c r="F1111" t="s">
        <v>6</v>
      </c>
      <c r="G1111" t="s">
        <v>1322</v>
      </c>
      <c r="H1111" t="s">
        <v>237</v>
      </c>
      <c r="I1111" t="s">
        <v>436</v>
      </c>
      <c r="J1111" t="s">
        <v>212</v>
      </c>
      <c r="K1111" t="s">
        <v>528</v>
      </c>
      <c r="L1111" s="84">
        <v>42455</v>
      </c>
      <c r="M1111" t="s">
        <v>203</v>
      </c>
      <c r="N1111" t="s">
        <v>1362</v>
      </c>
      <c r="O1111">
        <v>2</v>
      </c>
      <c r="P1111" t="s">
        <v>529</v>
      </c>
      <c r="Q1111" t="s">
        <v>530</v>
      </c>
      <c r="R1111" t="s">
        <v>531</v>
      </c>
      <c r="S1111" t="s">
        <v>532</v>
      </c>
      <c r="T1111" t="s">
        <v>34</v>
      </c>
      <c r="U1111" t="s">
        <v>79</v>
      </c>
      <c r="V1111">
        <v>52</v>
      </c>
      <c r="W1111">
        <v>82</v>
      </c>
      <c r="X1111">
        <v>122</v>
      </c>
      <c r="Y1111">
        <v>85</v>
      </c>
      <c r="Z1111">
        <v>184</v>
      </c>
      <c r="AA1111">
        <v>127</v>
      </c>
      <c r="AB1111" t="s">
        <v>1049</v>
      </c>
      <c r="AC1111" t="s">
        <v>192</v>
      </c>
      <c r="AD1111" t="s">
        <v>182</v>
      </c>
      <c r="AE1111" t="s">
        <v>183</v>
      </c>
      <c r="AF1111">
        <v>0</v>
      </c>
    </row>
    <row r="1112" spans="1:32">
      <c r="A1112">
        <v>332</v>
      </c>
      <c r="B1112">
        <v>807</v>
      </c>
      <c r="C1112" t="s">
        <v>526</v>
      </c>
      <c r="D1112" t="s">
        <v>1059</v>
      </c>
      <c r="E1112" t="s">
        <v>2165</v>
      </c>
      <c r="F1112" t="s">
        <v>7</v>
      </c>
      <c r="G1112" t="s">
        <v>1325</v>
      </c>
      <c r="H1112" t="s">
        <v>212</v>
      </c>
      <c r="I1112" t="s">
        <v>220</v>
      </c>
      <c r="J1112" t="s">
        <v>181</v>
      </c>
      <c r="K1112" t="s">
        <v>528</v>
      </c>
      <c r="L1112" s="84">
        <v>42455</v>
      </c>
      <c r="M1112" t="s">
        <v>203</v>
      </c>
      <c r="N1112" t="s">
        <v>1362</v>
      </c>
      <c r="O1112">
        <v>2</v>
      </c>
      <c r="P1112" t="s">
        <v>529</v>
      </c>
      <c r="Q1112" t="s">
        <v>530</v>
      </c>
      <c r="R1112" t="s">
        <v>531</v>
      </c>
      <c r="S1112" t="s">
        <v>532</v>
      </c>
      <c r="T1112" t="s">
        <v>32</v>
      </c>
      <c r="U1112" t="s">
        <v>79</v>
      </c>
      <c r="V1112">
        <v>52</v>
      </c>
      <c r="W1112">
        <v>82</v>
      </c>
      <c r="X1112">
        <v>122</v>
      </c>
      <c r="Y1112">
        <v>85</v>
      </c>
      <c r="Z1112">
        <v>184</v>
      </c>
      <c r="AA1112">
        <v>127</v>
      </c>
      <c r="AB1112" t="s">
        <v>1049</v>
      </c>
      <c r="AC1112" t="s">
        <v>192</v>
      </c>
      <c r="AD1112" t="s">
        <v>182</v>
      </c>
      <c r="AE1112" t="s">
        <v>183</v>
      </c>
      <c r="AF1112">
        <v>0</v>
      </c>
    </row>
    <row r="1113" spans="1:32">
      <c r="A1113">
        <v>332</v>
      </c>
      <c r="B1113">
        <v>807</v>
      </c>
      <c r="C1113" t="s">
        <v>526</v>
      </c>
      <c r="D1113" t="s">
        <v>1059</v>
      </c>
      <c r="E1113" t="s">
        <v>2165</v>
      </c>
      <c r="F1113" t="s">
        <v>8</v>
      </c>
      <c r="G1113" t="s">
        <v>1324</v>
      </c>
      <c r="H1113" t="s">
        <v>220</v>
      </c>
      <c r="I1113" t="s">
        <v>236</v>
      </c>
      <c r="J1113" t="s">
        <v>243</v>
      </c>
      <c r="K1113" t="s">
        <v>528</v>
      </c>
      <c r="L1113" s="84">
        <v>42455</v>
      </c>
      <c r="M1113" t="s">
        <v>203</v>
      </c>
      <c r="N1113" t="s">
        <v>1362</v>
      </c>
      <c r="O1113">
        <v>2</v>
      </c>
      <c r="P1113" t="s">
        <v>529</v>
      </c>
      <c r="Q1113" t="s">
        <v>530</v>
      </c>
      <c r="R1113" t="s">
        <v>531</v>
      </c>
      <c r="S1113" t="s">
        <v>532</v>
      </c>
      <c r="T1113" t="s">
        <v>31</v>
      </c>
      <c r="U1113" t="s">
        <v>79</v>
      </c>
      <c r="V1113">
        <v>52</v>
      </c>
      <c r="W1113">
        <v>82</v>
      </c>
      <c r="X1113">
        <v>122</v>
      </c>
      <c r="Y1113">
        <v>85</v>
      </c>
      <c r="Z1113">
        <v>184</v>
      </c>
      <c r="AA1113">
        <v>127</v>
      </c>
      <c r="AB1113" t="s">
        <v>1049</v>
      </c>
      <c r="AC1113" t="s">
        <v>192</v>
      </c>
      <c r="AD1113" t="s">
        <v>182</v>
      </c>
      <c r="AE1113" t="s">
        <v>183</v>
      </c>
      <c r="AF1113">
        <v>0</v>
      </c>
    </row>
    <row r="1114" spans="1:32">
      <c r="A1114">
        <v>332</v>
      </c>
      <c r="B1114">
        <v>807</v>
      </c>
      <c r="C1114" t="s">
        <v>526</v>
      </c>
      <c r="D1114" t="s">
        <v>1059</v>
      </c>
      <c r="E1114" t="s">
        <v>2165</v>
      </c>
      <c r="F1114" t="s">
        <v>5</v>
      </c>
      <c r="G1114" t="s">
        <v>1323</v>
      </c>
      <c r="H1114" t="s">
        <v>218</v>
      </c>
      <c r="I1114" t="s">
        <v>189</v>
      </c>
      <c r="J1114" t="s">
        <v>238</v>
      </c>
      <c r="K1114" t="s">
        <v>528</v>
      </c>
      <c r="L1114" s="84">
        <v>42455</v>
      </c>
      <c r="M1114" t="s">
        <v>203</v>
      </c>
      <c r="N1114" t="s">
        <v>1362</v>
      </c>
      <c r="O1114">
        <v>2</v>
      </c>
      <c r="P1114" t="s">
        <v>529</v>
      </c>
      <c r="Q1114" t="s">
        <v>530</v>
      </c>
      <c r="R1114" t="s">
        <v>531</v>
      </c>
      <c r="S1114" t="s">
        <v>532</v>
      </c>
      <c r="T1114" t="s">
        <v>33</v>
      </c>
      <c r="U1114" t="s">
        <v>79</v>
      </c>
      <c r="V1114">
        <v>52</v>
      </c>
      <c r="W1114">
        <v>82</v>
      </c>
      <c r="X1114">
        <v>122</v>
      </c>
      <c r="Y1114">
        <v>85</v>
      </c>
      <c r="Z1114">
        <v>184</v>
      </c>
      <c r="AA1114">
        <v>127</v>
      </c>
      <c r="AB1114" t="s">
        <v>1049</v>
      </c>
      <c r="AC1114" t="s">
        <v>192</v>
      </c>
      <c r="AD1114" t="s">
        <v>182</v>
      </c>
      <c r="AE1114" t="s">
        <v>183</v>
      </c>
      <c r="AF1114">
        <v>0</v>
      </c>
    </row>
    <row r="1115" spans="1:32">
      <c r="A1115">
        <v>333</v>
      </c>
      <c r="B1115">
        <v>814</v>
      </c>
      <c r="C1115" t="s">
        <v>538</v>
      </c>
      <c r="D1115" t="s">
        <v>1059</v>
      </c>
      <c r="E1115" t="s">
        <v>2165</v>
      </c>
      <c r="F1115" t="s">
        <v>5</v>
      </c>
      <c r="G1115" t="s">
        <v>1330</v>
      </c>
      <c r="H1115" t="s">
        <v>216</v>
      </c>
      <c r="I1115" t="s">
        <v>212</v>
      </c>
      <c r="J1115" t="s">
        <v>181</v>
      </c>
      <c r="K1115" t="s">
        <v>540</v>
      </c>
      <c r="L1115" s="84">
        <v>42981</v>
      </c>
      <c r="M1115" t="s">
        <v>541</v>
      </c>
      <c r="N1115" t="s">
        <v>542</v>
      </c>
      <c r="O1115">
        <v>3</v>
      </c>
      <c r="P1115" t="s">
        <v>543</v>
      </c>
      <c r="Q1115" t="s">
        <v>544</v>
      </c>
      <c r="R1115" t="s">
        <v>545</v>
      </c>
      <c r="S1115" t="s">
        <v>546</v>
      </c>
      <c r="T1115" t="s">
        <v>33</v>
      </c>
      <c r="U1115" t="s">
        <v>80</v>
      </c>
      <c r="V1115">
        <v>66</v>
      </c>
      <c r="W1115">
        <v>82</v>
      </c>
      <c r="X1115">
        <v>122</v>
      </c>
      <c r="Y1115">
        <v>101</v>
      </c>
      <c r="Z1115">
        <v>184</v>
      </c>
      <c r="AA1115">
        <v>155</v>
      </c>
      <c r="AB1115" t="s">
        <v>656</v>
      </c>
      <c r="AC1115" t="s">
        <v>192</v>
      </c>
      <c r="AD1115" t="s">
        <v>210</v>
      </c>
      <c r="AE1115" t="s">
        <v>183</v>
      </c>
      <c r="AF1115">
        <v>0</v>
      </c>
    </row>
    <row r="1116" spans="1:32">
      <c r="A1116">
        <v>333</v>
      </c>
      <c r="B1116">
        <v>814</v>
      </c>
      <c r="C1116" t="s">
        <v>538</v>
      </c>
      <c r="D1116" t="s">
        <v>1059</v>
      </c>
      <c r="E1116" t="s">
        <v>2165</v>
      </c>
      <c r="F1116" t="s">
        <v>8</v>
      </c>
      <c r="G1116" t="s">
        <v>1329</v>
      </c>
      <c r="H1116" t="s">
        <v>191</v>
      </c>
      <c r="I1116" t="s">
        <v>237</v>
      </c>
      <c r="J1116" t="s">
        <v>223</v>
      </c>
      <c r="K1116" t="s">
        <v>540</v>
      </c>
      <c r="L1116" s="84">
        <v>42981</v>
      </c>
      <c r="M1116" t="s">
        <v>541</v>
      </c>
      <c r="N1116" t="s">
        <v>542</v>
      </c>
      <c r="O1116">
        <v>3</v>
      </c>
      <c r="P1116" t="s">
        <v>543</v>
      </c>
      <c r="Q1116" t="s">
        <v>544</v>
      </c>
      <c r="R1116" t="s">
        <v>545</v>
      </c>
      <c r="S1116" t="s">
        <v>546</v>
      </c>
      <c r="T1116" t="s">
        <v>31</v>
      </c>
      <c r="U1116" t="s">
        <v>80</v>
      </c>
      <c r="V1116">
        <v>66</v>
      </c>
      <c r="W1116">
        <v>82</v>
      </c>
      <c r="X1116">
        <v>122</v>
      </c>
      <c r="Y1116">
        <v>101</v>
      </c>
      <c r="Z1116">
        <v>184</v>
      </c>
      <c r="AA1116">
        <v>155</v>
      </c>
      <c r="AB1116" t="s">
        <v>656</v>
      </c>
      <c r="AC1116" t="s">
        <v>192</v>
      </c>
      <c r="AD1116" t="s">
        <v>210</v>
      </c>
      <c r="AE1116" t="s">
        <v>183</v>
      </c>
      <c r="AF1116">
        <v>0</v>
      </c>
    </row>
    <row r="1117" spans="1:32">
      <c r="A1117">
        <v>333</v>
      </c>
      <c r="B1117">
        <v>814</v>
      </c>
      <c r="C1117" t="s">
        <v>538</v>
      </c>
      <c r="D1117" t="s">
        <v>1059</v>
      </c>
      <c r="E1117" t="s">
        <v>2165</v>
      </c>
      <c r="F1117" t="s">
        <v>7</v>
      </c>
      <c r="G1117" t="s">
        <v>1326</v>
      </c>
      <c r="H1117" t="s">
        <v>226</v>
      </c>
      <c r="I1117" t="s">
        <v>238</v>
      </c>
      <c r="J1117" t="s">
        <v>256</v>
      </c>
      <c r="K1117" t="s">
        <v>540</v>
      </c>
      <c r="L1117" s="84">
        <v>42981</v>
      </c>
      <c r="M1117" t="s">
        <v>541</v>
      </c>
      <c r="N1117" t="s">
        <v>542</v>
      </c>
      <c r="O1117">
        <v>3</v>
      </c>
      <c r="P1117" t="s">
        <v>543</v>
      </c>
      <c r="Q1117" t="s">
        <v>544</v>
      </c>
      <c r="R1117" t="s">
        <v>545</v>
      </c>
      <c r="S1117" t="s">
        <v>546</v>
      </c>
      <c r="T1117" t="s">
        <v>32</v>
      </c>
      <c r="U1117" t="s">
        <v>80</v>
      </c>
      <c r="V1117">
        <v>66</v>
      </c>
      <c r="W1117">
        <v>82</v>
      </c>
      <c r="X1117">
        <v>122</v>
      </c>
      <c r="Y1117">
        <v>101</v>
      </c>
      <c r="Z1117">
        <v>184</v>
      </c>
      <c r="AA1117">
        <v>155</v>
      </c>
      <c r="AB1117" t="s">
        <v>656</v>
      </c>
      <c r="AC1117" t="s">
        <v>192</v>
      </c>
      <c r="AD1117" t="s">
        <v>210</v>
      </c>
      <c r="AE1117" t="s">
        <v>183</v>
      </c>
      <c r="AF1117">
        <v>0</v>
      </c>
    </row>
    <row r="1118" spans="1:32">
      <c r="A1118">
        <v>333</v>
      </c>
      <c r="B1118">
        <v>814</v>
      </c>
      <c r="C1118" t="s">
        <v>538</v>
      </c>
      <c r="D1118" t="s">
        <v>1059</v>
      </c>
      <c r="E1118" t="s">
        <v>2165</v>
      </c>
      <c r="F1118" t="s">
        <v>6</v>
      </c>
      <c r="G1118" t="s">
        <v>1331</v>
      </c>
      <c r="H1118" t="s">
        <v>226</v>
      </c>
      <c r="I1118" t="s">
        <v>436</v>
      </c>
      <c r="J1118" t="s">
        <v>181</v>
      </c>
      <c r="K1118" t="s">
        <v>540</v>
      </c>
      <c r="L1118" s="84">
        <v>42981</v>
      </c>
      <c r="M1118" t="s">
        <v>541</v>
      </c>
      <c r="N1118" t="s">
        <v>542</v>
      </c>
      <c r="O1118">
        <v>3</v>
      </c>
      <c r="P1118" t="s">
        <v>543</v>
      </c>
      <c r="Q1118" t="s">
        <v>544</v>
      </c>
      <c r="R1118" t="s">
        <v>545</v>
      </c>
      <c r="S1118" t="s">
        <v>546</v>
      </c>
      <c r="T1118" t="s">
        <v>34</v>
      </c>
      <c r="U1118" t="s">
        <v>80</v>
      </c>
      <c r="V1118">
        <v>66</v>
      </c>
      <c r="W1118">
        <v>82</v>
      </c>
      <c r="X1118">
        <v>122</v>
      </c>
      <c r="Y1118">
        <v>101</v>
      </c>
      <c r="Z1118">
        <v>184</v>
      </c>
      <c r="AA1118">
        <v>155</v>
      </c>
      <c r="AB1118" t="s">
        <v>656</v>
      </c>
      <c r="AC1118" t="s">
        <v>192</v>
      </c>
      <c r="AD1118" t="s">
        <v>210</v>
      </c>
      <c r="AE1118" t="s">
        <v>183</v>
      </c>
      <c r="AF1118">
        <v>0</v>
      </c>
    </row>
    <row r="1119" spans="1:32">
      <c r="A1119">
        <v>333</v>
      </c>
      <c r="B1119">
        <v>814</v>
      </c>
      <c r="C1119" t="s">
        <v>538</v>
      </c>
      <c r="D1119" t="s">
        <v>1059</v>
      </c>
      <c r="E1119" t="s">
        <v>2165</v>
      </c>
      <c r="F1119" t="s">
        <v>197</v>
      </c>
      <c r="G1119" t="s">
        <v>1334</v>
      </c>
      <c r="H1119" t="s">
        <v>188</v>
      </c>
      <c r="I1119" t="s">
        <v>192</v>
      </c>
      <c r="J1119" t="s">
        <v>192</v>
      </c>
      <c r="K1119" t="s">
        <v>540</v>
      </c>
      <c r="L1119" s="84">
        <v>42981</v>
      </c>
      <c r="M1119" t="s">
        <v>541</v>
      </c>
      <c r="N1119" t="s">
        <v>542</v>
      </c>
      <c r="O1119">
        <v>3</v>
      </c>
      <c r="P1119" t="s">
        <v>543</v>
      </c>
      <c r="Q1119" t="s">
        <v>544</v>
      </c>
      <c r="R1119" t="s">
        <v>545</v>
      </c>
      <c r="S1119" t="s">
        <v>546</v>
      </c>
      <c r="T1119" t="s">
        <v>38</v>
      </c>
      <c r="U1119" t="s">
        <v>80</v>
      </c>
      <c r="V1119">
        <v>66</v>
      </c>
      <c r="W1119">
        <v>82</v>
      </c>
      <c r="X1119">
        <v>122</v>
      </c>
      <c r="Y1119">
        <v>101</v>
      </c>
      <c r="Z1119">
        <v>184</v>
      </c>
      <c r="AA1119">
        <v>155</v>
      </c>
      <c r="AB1119" t="s">
        <v>656</v>
      </c>
      <c r="AC1119" t="s">
        <v>192</v>
      </c>
      <c r="AD1119" t="s">
        <v>210</v>
      </c>
      <c r="AE1119" t="s">
        <v>183</v>
      </c>
      <c r="AF1119">
        <v>0</v>
      </c>
    </row>
    <row r="1120" spans="1:32">
      <c r="A1120">
        <v>333</v>
      </c>
      <c r="B1120">
        <v>814</v>
      </c>
      <c r="C1120" t="s">
        <v>538</v>
      </c>
      <c r="D1120" t="s">
        <v>1059</v>
      </c>
      <c r="E1120" t="s">
        <v>2165</v>
      </c>
      <c r="F1120" t="s">
        <v>193</v>
      </c>
      <c r="G1120" t="s">
        <v>1332</v>
      </c>
      <c r="H1120" t="s">
        <v>192</v>
      </c>
      <c r="I1120" t="s">
        <v>212</v>
      </c>
      <c r="J1120" t="s">
        <v>212</v>
      </c>
      <c r="K1120" t="s">
        <v>540</v>
      </c>
      <c r="L1120" s="84">
        <v>42981</v>
      </c>
      <c r="M1120" t="s">
        <v>541</v>
      </c>
      <c r="N1120" t="s">
        <v>542</v>
      </c>
      <c r="O1120">
        <v>3</v>
      </c>
      <c r="P1120" t="s">
        <v>543</v>
      </c>
      <c r="Q1120" t="s">
        <v>544</v>
      </c>
      <c r="R1120" t="s">
        <v>545</v>
      </c>
      <c r="S1120" t="s">
        <v>546</v>
      </c>
      <c r="T1120" t="s">
        <v>36</v>
      </c>
      <c r="U1120" t="s">
        <v>80</v>
      </c>
      <c r="V1120">
        <v>66</v>
      </c>
      <c r="W1120">
        <v>82</v>
      </c>
      <c r="X1120">
        <v>122</v>
      </c>
      <c r="Y1120">
        <v>101</v>
      </c>
      <c r="Z1120">
        <v>184</v>
      </c>
      <c r="AA1120">
        <v>155</v>
      </c>
      <c r="AB1120" t="s">
        <v>656</v>
      </c>
      <c r="AC1120" t="s">
        <v>192</v>
      </c>
      <c r="AD1120" t="s">
        <v>210</v>
      </c>
      <c r="AE1120" t="s">
        <v>183</v>
      </c>
      <c r="AF1120">
        <v>0</v>
      </c>
    </row>
    <row r="1121" spans="1:32">
      <c r="A1121">
        <v>333</v>
      </c>
      <c r="B1121">
        <v>814</v>
      </c>
      <c r="C1121" t="s">
        <v>538</v>
      </c>
      <c r="D1121" t="s">
        <v>1059</v>
      </c>
      <c r="E1121" t="s">
        <v>2165</v>
      </c>
      <c r="F1121" t="s">
        <v>37</v>
      </c>
      <c r="G1121" t="s">
        <v>1333</v>
      </c>
      <c r="H1121" t="s">
        <v>1701</v>
      </c>
      <c r="I1121" t="s">
        <v>212</v>
      </c>
      <c r="J1121" t="s">
        <v>192</v>
      </c>
      <c r="K1121" t="s">
        <v>540</v>
      </c>
      <c r="L1121" s="84">
        <v>42981</v>
      </c>
      <c r="M1121" t="s">
        <v>541</v>
      </c>
      <c r="N1121" t="s">
        <v>542</v>
      </c>
      <c r="O1121">
        <v>3</v>
      </c>
      <c r="P1121" t="s">
        <v>543</v>
      </c>
      <c r="Q1121" t="s">
        <v>544</v>
      </c>
      <c r="R1121" t="s">
        <v>545</v>
      </c>
      <c r="S1121" t="s">
        <v>546</v>
      </c>
      <c r="T1121" t="s">
        <v>37</v>
      </c>
      <c r="U1121" t="s">
        <v>80</v>
      </c>
      <c r="V1121">
        <v>66</v>
      </c>
      <c r="W1121">
        <v>82</v>
      </c>
      <c r="X1121">
        <v>122</v>
      </c>
      <c r="Y1121">
        <v>101</v>
      </c>
      <c r="Z1121">
        <v>184</v>
      </c>
      <c r="AA1121">
        <v>155</v>
      </c>
      <c r="AB1121" t="s">
        <v>656</v>
      </c>
      <c r="AC1121" t="s">
        <v>192</v>
      </c>
      <c r="AD1121" t="s">
        <v>210</v>
      </c>
      <c r="AE1121" t="s">
        <v>183</v>
      </c>
      <c r="AF1121">
        <v>0</v>
      </c>
    </row>
    <row r="1122" spans="1:32">
      <c r="A1122">
        <v>334</v>
      </c>
      <c r="B1122">
        <v>804</v>
      </c>
      <c r="C1122" t="s">
        <v>552</v>
      </c>
      <c r="D1122" t="s">
        <v>1059</v>
      </c>
      <c r="E1122" t="s">
        <v>2165</v>
      </c>
      <c r="F1122" t="s">
        <v>37</v>
      </c>
      <c r="G1122" t="s">
        <v>1336</v>
      </c>
      <c r="H1122" t="s">
        <v>1701</v>
      </c>
      <c r="I1122" t="s">
        <v>212</v>
      </c>
      <c r="J1122" t="s">
        <v>212</v>
      </c>
      <c r="K1122" t="s">
        <v>554</v>
      </c>
      <c r="L1122" s="84">
        <v>42448</v>
      </c>
      <c r="M1122" t="s">
        <v>381</v>
      </c>
      <c r="N1122" t="s">
        <v>555</v>
      </c>
      <c r="O1122">
        <v>2</v>
      </c>
      <c r="P1122" t="s">
        <v>556</v>
      </c>
      <c r="Q1122" t="s">
        <v>557</v>
      </c>
      <c r="R1122" t="s">
        <v>558</v>
      </c>
      <c r="S1122" t="s">
        <v>559</v>
      </c>
      <c r="T1122" t="s">
        <v>37</v>
      </c>
      <c r="U1122" t="s">
        <v>79</v>
      </c>
      <c r="V1122">
        <v>49</v>
      </c>
      <c r="W1122">
        <v>82</v>
      </c>
      <c r="X1122">
        <v>122</v>
      </c>
      <c r="Y1122">
        <v>79</v>
      </c>
      <c r="Z1122">
        <v>184</v>
      </c>
      <c r="AA1122">
        <v>136</v>
      </c>
      <c r="AB1122" t="s">
        <v>1236</v>
      </c>
      <c r="AC1122" t="s">
        <v>259</v>
      </c>
      <c r="AD1122" t="s">
        <v>210</v>
      </c>
      <c r="AE1122" t="s">
        <v>183</v>
      </c>
      <c r="AF1122">
        <v>0</v>
      </c>
    </row>
    <row r="1123" spans="1:32">
      <c r="A1123">
        <v>334</v>
      </c>
      <c r="B1123">
        <v>804</v>
      </c>
      <c r="C1123" t="s">
        <v>552</v>
      </c>
      <c r="D1123" t="s">
        <v>1059</v>
      </c>
      <c r="E1123" t="s">
        <v>2165</v>
      </c>
      <c r="F1123" t="s">
        <v>193</v>
      </c>
      <c r="G1123" t="s">
        <v>1337</v>
      </c>
      <c r="H1123" t="s">
        <v>212</v>
      </c>
      <c r="I1123" t="s">
        <v>212</v>
      </c>
      <c r="J1123" t="s">
        <v>192</v>
      </c>
      <c r="K1123" t="s">
        <v>554</v>
      </c>
      <c r="L1123" s="84">
        <v>42448</v>
      </c>
      <c r="M1123" t="s">
        <v>381</v>
      </c>
      <c r="N1123" t="s">
        <v>555</v>
      </c>
      <c r="O1123">
        <v>2</v>
      </c>
      <c r="P1123" t="s">
        <v>556</v>
      </c>
      <c r="Q1123" t="s">
        <v>557</v>
      </c>
      <c r="R1123" t="s">
        <v>558</v>
      </c>
      <c r="S1123" t="s">
        <v>559</v>
      </c>
      <c r="T1123" t="s">
        <v>36</v>
      </c>
      <c r="U1123" t="s">
        <v>79</v>
      </c>
      <c r="V1123">
        <v>49</v>
      </c>
      <c r="W1123">
        <v>82</v>
      </c>
      <c r="X1123">
        <v>122</v>
      </c>
      <c r="Y1123">
        <v>79</v>
      </c>
      <c r="Z1123">
        <v>184</v>
      </c>
      <c r="AA1123">
        <v>136</v>
      </c>
      <c r="AB1123" t="s">
        <v>1236</v>
      </c>
      <c r="AC1123" t="s">
        <v>259</v>
      </c>
      <c r="AD1123" t="s">
        <v>210</v>
      </c>
      <c r="AE1123" t="s">
        <v>183</v>
      </c>
      <c r="AF1123">
        <v>0</v>
      </c>
    </row>
    <row r="1124" spans="1:32">
      <c r="A1124">
        <v>334</v>
      </c>
      <c r="B1124">
        <v>804</v>
      </c>
      <c r="C1124" t="s">
        <v>552</v>
      </c>
      <c r="D1124" t="s">
        <v>1059</v>
      </c>
      <c r="E1124" t="s">
        <v>2165</v>
      </c>
      <c r="F1124" t="s">
        <v>197</v>
      </c>
      <c r="G1124" t="s">
        <v>1335</v>
      </c>
      <c r="H1124" t="s">
        <v>192</v>
      </c>
      <c r="I1124" t="s">
        <v>192</v>
      </c>
      <c r="J1124" t="s">
        <v>212</v>
      </c>
      <c r="K1124" t="s">
        <v>554</v>
      </c>
      <c r="L1124" s="84">
        <v>42448</v>
      </c>
      <c r="M1124" t="s">
        <v>381</v>
      </c>
      <c r="N1124" t="s">
        <v>555</v>
      </c>
      <c r="O1124">
        <v>2</v>
      </c>
      <c r="P1124" t="s">
        <v>556</v>
      </c>
      <c r="Q1124" t="s">
        <v>557</v>
      </c>
      <c r="R1124" t="s">
        <v>558</v>
      </c>
      <c r="S1124" t="s">
        <v>559</v>
      </c>
      <c r="T1124" t="s">
        <v>38</v>
      </c>
      <c r="U1124" t="s">
        <v>79</v>
      </c>
      <c r="V1124">
        <v>49</v>
      </c>
      <c r="W1124">
        <v>82</v>
      </c>
      <c r="X1124">
        <v>122</v>
      </c>
      <c r="Y1124">
        <v>79</v>
      </c>
      <c r="Z1124">
        <v>184</v>
      </c>
      <c r="AA1124">
        <v>136</v>
      </c>
      <c r="AB1124" t="s">
        <v>1236</v>
      </c>
      <c r="AC1124" t="s">
        <v>259</v>
      </c>
      <c r="AD1124" t="s">
        <v>210</v>
      </c>
      <c r="AE1124" t="s">
        <v>183</v>
      </c>
      <c r="AF1124">
        <v>0</v>
      </c>
    </row>
    <row r="1125" spans="1:32">
      <c r="A1125">
        <v>334</v>
      </c>
      <c r="B1125">
        <v>804</v>
      </c>
      <c r="C1125" t="s">
        <v>552</v>
      </c>
      <c r="D1125" t="s">
        <v>1059</v>
      </c>
      <c r="E1125" t="s">
        <v>2165</v>
      </c>
      <c r="F1125" t="s">
        <v>6</v>
      </c>
      <c r="G1125" t="s">
        <v>1338</v>
      </c>
      <c r="H1125" t="s">
        <v>228</v>
      </c>
      <c r="I1125" t="s">
        <v>226</v>
      </c>
      <c r="J1125" t="s">
        <v>228</v>
      </c>
      <c r="K1125" t="s">
        <v>554</v>
      </c>
      <c r="L1125" s="84">
        <v>42448</v>
      </c>
      <c r="M1125" t="s">
        <v>381</v>
      </c>
      <c r="N1125" t="s">
        <v>555</v>
      </c>
      <c r="O1125">
        <v>2</v>
      </c>
      <c r="P1125" t="s">
        <v>556</v>
      </c>
      <c r="Q1125" t="s">
        <v>557</v>
      </c>
      <c r="R1125" t="s">
        <v>558</v>
      </c>
      <c r="S1125" t="s">
        <v>559</v>
      </c>
      <c r="T1125" t="s">
        <v>34</v>
      </c>
      <c r="U1125" t="s">
        <v>79</v>
      </c>
      <c r="V1125">
        <v>49</v>
      </c>
      <c r="W1125">
        <v>82</v>
      </c>
      <c r="X1125">
        <v>122</v>
      </c>
      <c r="Y1125">
        <v>79</v>
      </c>
      <c r="Z1125">
        <v>184</v>
      </c>
      <c r="AA1125">
        <v>136</v>
      </c>
      <c r="AB1125" t="s">
        <v>1236</v>
      </c>
      <c r="AC1125" t="s">
        <v>259</v>
      </c>
      <c r="AD1125" t="s">
        <v>210</v>
      </c>
      <c r="AE1125" t="s">
        <v>183</v>
      </c>
      <c r="AF1125">
        <v>0</v>
      </c>
    </row>
    <row r="1126" spans="1:32">
      <c r="A1126">
        <v>334</v>
      </c>
      <c r="B1126">
        <v>804</v>
      </c>
      <c r="C1126" t="s">
        <v>552</v>
      </c>
      <c r="D1126" t="s">
        <v>1059</v>
      </c>
      <c r="E1126" t="s">
        <v>2165</v>
      </c>
      <c r="F1126" t="s">
        <v>7</v>
      </c>
      <c r="G1126" t="s">
        <v>1341</v>
      </c>
      <c r="H1126" t="s">
        <v>173</v>
      </c>
      <c r="I1126" t="s">
        <v>238</v>
      </c>
      <c r="J1126" t="s">
        <v>223</v>
      </c>
      <c r="K1126" t="s">
        <v>554</v>
      </c>
      <c r="L1126" s="84">
        <v>42448</v>
      </c>
      <c r="M1126" t="s">
        <v>381</v>
      </c>
      <c r="N1126" t="s">
        <v>555</v>
      </c>
      <c r="O1126">
        <v>2</v>
      </c>
      <c r="P1126" t="s">
        <v>556</v>
      </c>
      <c r="Q1126" t="s">
        <v>557</v>
      </c>
      <c r="R1126" t="s">
        <v>558</v>
      </c>
      <c r="S1126" t="s">
        <v>559</v>
      </c>
      <c r="T1126" t="s">
        <v>32</v>
      </c>
      <c r="U1126" t="s">
        <v>79</v>
      </c>
      <c r="V1126">
        <v>49</v>
      </c>
      <c r="W1126">
        <v>82</v>
      </c>
      <c r="X1126">
        <v>122</v>
      </c>
      <c r="Y1126">
        <v>79</v>
      </c>
      <c r="Z1126">
        <v>184</v>
      </c>
      <c r="AA1126">
        <v>136</v>
      </c>
      <c r="AB1126" t="s">
        <v>1236</v>
      </c>
      <c r="AC1126" t="s">
        <v>259</v>
      </c>
      <c r="AD1126" t="s">
        <v>210</v>
      </c>
      <c r="AE1126" t="s">
        <v>183</v>
      </c>
      <c r="AF1126">
        <v>0</v>
      </c>
    </row>
    <row r="1127" spans="1:32">
      <c r="A1127">
        <v>334</v>
      </c>
      <c r="B1127">
        <v>804</v>
      </c>
      <c r="C1127" t="s">
        <v>552</v>
      </c>
      <c r="D1127" t="s">
        <v>1059</v>
      </c>
      <c r="E1127" t="s">
        <v>2165</v>
      </c>
      <c r="F1127" t="s">
        <v>8</v>
      </c>
      <c r="G1127" t="s">
        <v>1340</v>
      </c>
      <c r="H1127" t="s">
        <v>256</v>
      </c>
      <c r="I1127" t="s">
        <v>216</v>
      </c>
      <c r="J1127" t="s">
        <v>223</v>
      </c>
      <c r="K1127" t="s">
        <v>554</v>
      </c>
      <c r="L1127" s="84">
        <v>42448</v>
      </c>
      <c r="M1127" t="s">
        <v>381</v>
      </c>
      <c r="N1127" t="s">
        <v>555</v>
      </c>
      <c r="O1127">
        <v>2</v>
      </c>
      <c r="P1127" t="s">
        <v>556</v>
      </c>
      <c r="Q1127" t="s">
        <v>557</v>
      </c>
      <c r="R1127" t="s">
        <v>558</v>
      </c>
      <c r="S1127" t="s">
        <v>559</v>
      </c>
      <c r="T1127" t="s">
        <v>31</v>
      </c>
      <c r="U1127" t="s">
        <v>79</v>
      </c>
      <c r="V1127">
        <v>49</v>
      </c>
      <c r="W1127">
        <v>82</v>
      </c>
      <c r="X1127">
        <v>122</v>
      </c>
      <c r="Y1127">
        <v>79</v>
      </c>
      <c r="Z1127">
        <v>184</v>
      </c>
      <c r="AA1127">
        <v>136</v>
      </c>
      <c r="AB1127" t="s">
        <v>1236</v>
      </c>
      <c r="AC1127" t="s">
        <v>259</v>
      </c>
      <c r="AD1127" t="s">
        <v>210</v>
      </c>
      <c r="AE1127" t="s">
        <v>183</v>
      </c>
      <c r="AF1127">
        <v>0</v>
      </c>
    </row>
    <row r="1128" spans="1:32">
      <c r="A1128">
        <v>334</v>
      </c>
      <c r="B1128">
        <v>804</v>
      </c>
      <c r="C1128" t="s">
        <v>552</v>
      </c>
      <c r="D1128" t="s">
        <v>1059</v>
      </c>
      <c r="E1128" t="s">
        <v>2165</v>
      </c>
      <c r="F1128" t="s">
        <v>5</v>
      </c>
      <c r="G1128" t="s">
        <v>1339</v>
      </c>
      <c r="H1128" t="s">
        <v>217</v>
      </c>
      <c r="I1128" t="s">
        <v>215</v>
      </c>
      <c r="J1128" t="s">
        <v>216</v>
      </c>
      <c r="K1128" t="s">
        <v>554</v>
      </c>
      <c r="L1128" s="84">
        <v>42448</v>
      </c>
      <c r="M1128" t="s">
        <v>381</v>
      </c>
      <c r="N1128" t="s">
        <v>555</v>
      </c>
      <c r="O1128">
        <v>2</v>
      </c>
      <c r="P1128" t="s">
        <v>556</v>
      </c>
      <c r="Q1128" t="s">
        <v>557</v>
      </c>
      <c r="R1128" t="s">
        <v>558</v>
      </c>
      <c r="S1128" t="s">
        <v>559</v>
      </c>
      <c r="T1128" t="s">
        <v>33</v>
      </c>
      <c r="U1128" t="s">
        <v>79</v>
      </c>
      <c r="V1128">
        <v>49</v>
      </c>
      <c r="W1128">
        <v>82</v>
      </c>
      <c r="X1128">
        <v>122</v>
      </c>
      <c r="Y1128">
        <v>79</v>
      </c>
      <c r="Z1128">
        <v>184</v>
      </c>
      <c r="AA1128">
        <v>136</v>
      </c>
      <c r="AB1128" t="s">
        <v>1236</v>
      </c>
      <c r="AC1128" t="s">
        <v>259</v>
      </c>
      <c r="AD1128" t="s">
        <v>210</v>
      </c>
      <c r="AE1128" t="s">
        <v>183</v>
      </c>
      <c r="AF1128">
        <v>0</v>
      </c>
    </row>
    <row r="1129" spans="1:32">
      <c r="A1129">
        <v>335</v>
      </c>
      <c r="B1129">
        <v>850</v>
      </c>
      <c r="C1129" t="s">
        <v>565</v>
      </c>
      <c r="D1129" t="s">
        <v>1059</v>
      </c>
      <c r="E1129" t="s">
        <v>2165</v>
      </c>
      <c r="F1129" t="s">
        <v>5</v>
      </c>
      <c r="G1129" t="s">
        <v>2574</v>
      </c>
      <c r="H1129" t="s">
        <v>215</v>
      </c>
      <c r="I1129" t="s">
        <v>297</v>
      </c>
      <c r="J1129" t="s">
        <v>238</v>
      </c>
      <c r="K1129" t="s">
        <v>567</v>
      </c>
      <c r="L1129" s="84">
        <v>42411</v>
      </c>
      <c r="M1129" t="s">
        <v>352</v>
      </c>
      <c r="N1129" t="s">
        <v>1363</v>
      </c>
      <c r="O1129">
        <v>2</v>
      </c>
      <c r="P1129" t="s">
        <v>568</v>
      </c>
      <c r="Q1129" t="s">
        <v>569</v>
      </c>
      <c r="R1129" t="s">
        <v>570</v>
      </c>
      <c r="S1129" t="s">
        <v>571</v>
      </c>
      <c r="T1129" t="s">
        <v>33</v>
      </c>
      <c r="U1129" t="s">
        <v>79</v>
      </c>
      <c r="V1129">
        <v>80</v>
      </c>
      <c r="W1129">
        <v>82</v>
      </c>
      <c r="X1129">
        <v>122</v>
      </c>
      <c r="Y1129">
        <v>117</v>
      </c>
      <c r="Z1129">
        <v>184</v>
      </c>
      <c r="AA1129">
        <v>169</v>
      </c>
      <c r="AB1129" t="s">
        <v>1296</v>
      </c>
      <c r="AC1129" t="s">
        <v>228</v>
      </c>
      <c r="AD1129" t="s">
        <v>609</v>
      </c>
      <c r="AE1129" t="s">
        <v>183</v>
      </c>
      <c r="AF1129">
        <v>0</v>
      </c>
    </row>
    <row r="1130" spans="1:32">
      <c r="A1130">
        <v>335</v>
      </c>
      <c r="B1130">
        <v>850</v>
      </c>
      <c r="C1130" t="s">
        <v>565</v>
      </c>
      <c r="D1130" t="s">
        <v>1059</v>
      </c>
      <c r="E1130" t="s">
        <v>2165</v>
      </c>
      <c r="F1130" t="s">
        <v>8</v>
      </c>
      <c r="G1130" t="s">
        <v>2575</v>
      </c>
      <c r="H1130" t="s">
        <v>191</v>
      </c>
      <c r="I1130" t="s">
        <v>185</v>
      </c>
      <c r="J1130" t="s">
        <v>212</v>
      </c>
      <c r="K1130" t="s">
        <v>567</v>
      </c>
      <c r="L1130" s="84">
        <v>42411</v>
      </c>
      <c r="M1130" t="s">
        <v>352</v>
      </c>
      <c r="N1130" t="s">
        <v>1363</v>
      </c>
      <c r="O1130">
        <v>2</v>
      </c>
      <c r="P1130" t="s">
        <v>568</v>
      </c>
      <c r="Q1130" t="s">
        <v>569</v>
      </c>
      <c r="R1130" t="s">
        <v>570</v>
      </c>
      <c r="S1130" t="s">
        <v>571</v>
      </c>
      <c r="T1130" t="s">
        <v>31</v>
      </c>
      <c r="U1130" t="s">
        <v>79</v>
      </c>
      <c r="V1130">
        <v>80</v>
      </c>
      <c r="W1130">
        <v>82</v>
      </c>
      <c r="X1130">
        <v>122</v>
      </c>
      <c r="Y1130">
        <v>117</v>
      </c>
      <c r="Z1130">
        <v>184</v>
      </c>
      <c r="AA1130">
        <v>169</v>
      </c>
      <c r="AB1130" t="s">
        <v>1296</v>
      </c>
      <c r="AC1130" t="s">
        <v>228</v>
      </c>
      <c r="AD1130" t="s">
        <v>609</v>
      </c>
      <c r="AE1130" t="s">
        <v>183</v>
      </c>
      <c r="AF1130">
        <v>0</v>
      </c>
    </row>
    <row r="1131" spans="1:32">
      <c r="A1131">
        <v>335</v>
      </c>
      <c r="B1131">
        <v>850</v>
      </c>
      <c r="C1131" t="s">
        <v>565</v>
      </c>
      <c r="D1131" t="s">
        <v>1059</v>
      </c>
      <c r="E1131" t="s">
        <v>2165</v>
      </c>
      <c r="F1131" t="s">
        <v>7</v>
      </c>
      <c r="G1131" t="s">
        <v>2576</v>
      </c>
      <c r="H1131" t="s">
        <v>237</v>
      </c>
      <c r="I1131" t="s">
        <v>237</v>
      </c>
      <c r="J1131" t="s">
        <v>236</v>
      </c>
      <c r="K1131" t="s">
        <v>567</v>
      </c>
      <c r="L1131" s="84">
        <v>42411</v>
      </c>
      <c r="M1131" t="s">
        <v>352</v>
      </c>
      <c r="N1131" t="s">
        <v>1363</v>
      </c>
      <c r="O1131">
        <v>2</v>
      </c>
      <c r="P1131" t="s">
        <v>568</v>
      </c>
      <c r="Q1131" t="s">
        <v>569</v>
      </c>
      <c r="R1131" t="s">
        <v>570</v>
      </c>
      <c r="S1131" t="s">
        <v>571</v>
      </c>
      <c r="T1131" t="s">
        <v>32</v>
      </c>
      <c r="U1131" t="s">
        <v>79</v>
      </c>
      <c r="V1131">
        <v>80</v>
      </c>
      <c r="W1131">
        <v>82</v>
      </c>
      <c r="X1131">
        <v>122</v>
      </c>
      <c r="Y1131">
        <v>117</v>
      </c>
      <c r="Z1131">
        <v>184</v>
      </c>
      <c r="AA1131">
        <v>169</v>
      </c>
      <c r="AB1131" t="s">
        <v>1296</v>
      </c>
      <c r="AC1131" t="s">
        <v>228</v>
      </c>
      <c r="AD1131" t="s">
        <v>609</v>
      </c>
      <c r="AE1131" t="s">
        <v>183</v>
      </c>
      <c r="AF1131">
        <v>0</v>
      </c>
    </row>
    <row r="1132" spans="1:32">
      <c r="A1132">
        <v>335</v>
      </c>
      <c r="B1132">
        <v>850</v>
      </c>
      <c r="C1132" t="s">
        <v>565</v>
      </c>
      <c r="D1132" t="s">
        <v>1059</v>
      </c>
      <c r="E1132" t="s">
        <v>2165</v>
      </c>
      <c r="F1132" t="s">
        <v>6</v>
      </c>
      <c r="G1132" t="s">
        <v>2577</v>
      </c>
      <c r="H1132" t="s">
        <v>228</v>
      </c>
      <c r="I1132" t="s">
        <v>223</v>
      </c>
      <c r="J1132" t="s">
        <v>228</v>
      </c>
      <c r="K1132" t="s">
        <v>567</v>
      </c>
      <c r="L1132" s="84">
        <v>42411</v>
      </c>
      <c r="M1132" t="s">
        <v>352</v>
      </c>
      <c r="N1132" t="s">
        <v>1363</v>
      </c>
      <c r="O1132">
        <v>2</v>
      </c>
      <c r="P1132" t="s">
        <v>568</v>
      </c>
      <c r="Q1132" t="s">
        <v>569</v>
      </c>
      <c r="R1132" t="s">
        <v>570</v>
      </c>
      <c r="S1132" t="s">
        <v>571</v>
      </c>
      <c r="T1132" t="s">
        <v>34</v>
      </c>
      <c r="U1132" t="s">
        <v>79</v>
      </c>
      <c r="V1132">
        <v>80</v>
      </c>
      <c r="W1132">
        <v>82</v>
      </c>
      <c r="X1132">
        <v>122</v>
      </c>
      <c r="Y1132">
        <v>117</v>
      </c>
      <c r="Z1132">
        <v>184</v>
      </c>
      <c r="AA1132">
        <v>169</v>
      </c>
      <c r="AB1132" t="s">
        <v>1296</v>
      </c>
      <c r="AC1132" t="s">
        <v>228</v>
      </c>
      <c r="AD1132" t="s">
        <v>609</v>
      </c>
      <c r="AE1132" t="s">
        <v>183</v>
      </c>
      <c r="AF1132">
        <v>0</v>
      </c>
    </row>
    <row r="1133" spans="1:32">
      <c r="A1133">
        <v>335</v>
      </c>
      <c r="B1133">
        <v>850</v>
      </c>
      <c r="C1133" t="s">
        <v>565</v>
      </c>
      <c r="D1133" t="s">
        <v>1059</v>
      </c>
      <c r="E1133" t="s">
        <v>2165</v>
      </c>
      <c r="F1133" t="s">
        <v>197</v>
      </c>
      <c r="G1133" t="s">
        <v>2578</v>
      </c>
      <c r="H1133" t="s">
        <v>188</v>
      </c>
      <c r="I1133" t="s">
        <v>192</v>
      </c>
      <c r="J1133" t="s">
        <v>192</v>
      </c>
      <c r="K1133" t="s">
        <v>567</v>
      </c>
      <c r="L1133" s="84">
        <v>42411</v>
      </c>
      <c r="M1133" t="s">
        <v>352</v>
      </c>
      <c r="N1133" t="s">
        <v>1363</v>
      </c>
      <c r="O1133">
        <v>2</v>
      </c>
      <c r="P1133" t="s">
        <v>568</v>
      </c>
      <c r="Q1133" t="s">
        <v>569</v>
      </c>
      <c r="R1133" t="s">
        <v>570</v>
      </c>
      <c r="S1133" t="s">
        <v>571</v>
      </c>
      <c r="T1133" t="s">
        <v>38</v>
      </c>
      <c r="U1133" t="s">
        <v>79</v>
      </c>
      <c r="V1133">
        <v>80</v>
      </c>
      <c r="W1133">
        <v>82</v>
      </c>
      <c r="X1133">
        <v>122</v>
      </c>
      <c r="Y1133">
        <v>117</v>
      </c>
      <c r="Z1133">
        <v>184</v>
      </c>
      <c r="AA1133">
        <v>169</v>
      </c>
      <c r="AB1133" t="s">
        <v>1296</v>
      </c>
      <c r="AC1133" t="s">
        <v>228</v>
      </c>
      <c r="AD1133" t="s">
        <v>609</v>
      </c>
      <c r="AE1133" t="s">
        <v>183</v>
      </c>
      <c r="AF1133">
        <v>0</v>
      </c>
    </row>
    <row r="1134" spans="1:32">
      <c r="A1134">
        <v>335</v>
      </c>
      <c r="B1134">
        <v>850</v>
      </c>
      <c r="C1134" t="s">
        <v>565</v>
      </c>
      <c r="D1134" t="s">
        <v>1059</v>
      </c>
      <c r="E1134" t="s">
        <v>2165</v>
      </c>
      <c r="F1134" t="s">
        <v>193</v>
      </c>
      <c r="G1134" t="s">
        <v>2579</v>
      </c>
      <c r="H1134" t="s">
        <v>223</v>
      </c>
      <c r="I1134" t="s">
        <v>212</v>
      </c>
      <c r="J1134" t="s">
        <v>212</v>
      </c>
      <c r="K1134" t="s">
        <v>567</v>
      </c>
      <c r="L1134" s="84">
        <v>42411</v>
      </c>
      <c r="M1134" t="s">
        <v>352</v>
      </c>
      <c r="N1134" t="s">
        <v>1363</v>
      </c>
      <c r="O1134">
        <v>2</v>
      </c>
      <c r="P1134" t="s">
        <v>568</v>
      </c>
      <c r="Q1134" t="s">
        <v>569</v>
      </c>
      <c r="R1134" t="s">
        <v>570</v>
      </c>
      <c r="S1134" t="s">
        <v>571</v>
      </c>
      <c r="T1134" t="s">
        <v>36</v>
      </c>
      <c r="U1134" t="s">
        <v>79</v>
      </c>
      <c r="V1134">
        <v>80</v>
      </c>
      <c r="W1134">
        <v>82</v>
      </c>
      <c r="X1134">
        <v>122</v>
      </c>
      <c r="Y1134">
        <v>117</v>
      </c>
      <c r="Z1134">
        <v>184</v>
      </c>
      <c r="AA1134">
        <v>169</v>
      </c>
      <c r="AB1134" t="s">
        <v>1296</v>
      </c>
      <c r="AC1134" t="s">
        <v>228</v>
      </c>
      <c r="AD1134" t="s">
        <v>609</v>
      </c>
      <c r="AE1134" t="s">
        <v>183</v>
      </c>
      <c r="AF1134">
        <v>0</v>
      </c>
    </row>
    <row r="1135" spans="1:32">
      <c r="A1135">
        <v>335</v>
      </c>
      <c r="B1135">
        <v>850</v>
      </c>
      <c r="C1135" t="s">
        <v>565</v>
      </c>
      <c r="D1135" t="s">
        <v>1059</v>
      </c>
      <c r="E1135" t="s">
        <v>2165</v>
      </c>
      <c r="F1135" t="s">
        <v>37</v>
      </c>
      <c r="G1135" t="s">
        <v>2580</v>
      </c>
      <c r="H1135" t="s">
        <v>1701</v>
      </c>
      <c r="I1135" t="s">
        <v>212</v>
      </c>
      <c r="J1135" t="s">
        <v>192</v>
      </c>
      <c r="K1135" t="s">
        <v>567</v>
      </c>
      <c r="L1135" s="84">
        <v>42411</v>
      </c>
      <c r="M1135" t="s">
        <v>352</v>
      </c>
      <c r="N1135" t="s">
        <v>1363</v>
      </c>
      <c r="O1135">
        <v>2</v>
      </c>
      <c r="P1135" t="s">
        <v>568</v>
      </c>
      <c r="Q1135" t="s">
        <v>569</v>
      </c>
      <c r="R1135" t="s">
        <v>570</v>
      </c>
      <c r="S1135" t="s">
        <v>571</v>
      </c>
      <c r="T1135" t="s">
        <v>37</v>
      </c>
      <c r="U1135" t="s">
        <v>79</v>
      </c>
      <c r="V1135">
        <v>80</v>
      </c>
      <c r="W1135">
        <v>82</v>
      </c>
      <c r="X1135">
        <v>122</v>
      </c>
      <c r="Y1135">
        <v>117</v>
      </c>
      <c r="Z1135">
        <v>184</v>
      </c>
      <c r="AA1135">
        <v>169</v>
      </c>
      <c r="AB1135" t="s">
        <v>1296</v>
      </c>
      <c r="AC1135" t="s">
        <v>228</v>
      </c>
      <c r="AD1135" t="s">
        <v>609</v>
      </c>
      <c r="AE1135" t="s">
        <v>183</v>
      </c>
      <c r="AF1135">
        <v>0</v>
      </c>
    </row>
    <row r="1136" spans="1:32">
      <c r="A1136">
        <v>336</v>
      </c>
      <c r="B1136">
        <v>952</v>
      </c>
      <c r="C1136" t="s">
        <v>577</v>
      </c>
      <c r="D1136" t="s">
        <v>1059</v>
      </c>
      <c r="E1136" t="s">
        <v>2165</v>
      </c>
      <c r="F1136" t="s">
        <v>37</v>
      </c>
      <c r="G1136" t="s">
        <v>2581</v>
      </c>
      <c r="H1136" t="s">
        <v>1701</v>
      </c>
      <c r="I1136" t="s">
        <v>212</v>
      </c>
      <c r="J1136" t="s">
        <v>212</v>
      </c>
      <c r="K1136" t="s">
        <v>579</v>
      </c>
      <c r="L1136" s="84">
        <v>41672</v>
      </c>
      <c r="M1136" t="s">
        <v>352</v>
      </c>
      <c r="N1136" t="s">
        <v>1364</v>
      </c>
      <c r="O1136">
        <v>3</v>
      </c>
      <c r="P1136" t="s">
        <v>580</v>
      </c>
      <c r="Q1136" t="s">
        <v>581</v>
      </c>
      <c r="R1136" t="s">
        <v>582</v>
      </c>
      <c r="S1136" t="s">
        <v>1365</v>
      </c>
      <c r="T1136" t="s">
        <v>37</v>
      </c>
      <c r="U1136" t="s">
        <v>80</v>
      </c>
      <c r="V1136">
        <v>72</v>
      </c>
      <c r="W1136">
        <v>82</v>
      </c>
      <c r="X1136">
        <v>122</v>
      </c>
      <c r="Y1136">
        <v>110</v>
      </c>
      <c r="Z1136">
        <v>184</v>
      </c>
      <c r="AA1136">
        <v>160</v>
      </c>
      <c r="AB1136" t="s">
        <v>2546</v>
      </c>
      <c r="AC1136" t="s">
        <v>256</v>
      </c>
      <c r="AD1136" t="s">
        <v>609</v>
      </c>
      <c r="AE1136" t="s">
        <v>183</v>
      </c>
      <c r="AF1136">
        <v>0</v>
      </c>
    </row>
    <row r="1137" spans="1:32">
      <c r="A1137">
        <v>336</v>
      </c>
      <c r="B1137">
        <v>952</v>
      </c>
      <c r="C1137" t="s">
        <v>577</v>
      </c>
      <c r="D1137" t="s">
        <v>1059</v>
      </c>
      <c r="E1137" t="s">
        <v>2165</v>
      </c>
      <c r="F1137" t="s">
        <v>193</v>
      </c>
      <c r="G1137" t="s">
        <v>2582</v>
      </c>
      <c r="H1137" t="s">
        <v>192</v>
      </c>
      <c r="I1137" t="s">
        <v>212</v>
      </c>
      <c r="J1137" t="s">
        <v>192</v>
      </c>
      <c r="K1137" t="s">
        <v>579</v>
      </c>
      <c r="L1137" s="84">
        <v>41672</v>
      </c>
      <c r="M1137" t="s">
        <v>352</v>
      </c>
      <c r="N1137" t="s">
        <v>1364</v>
      </c>
      <c r="O1137">
        <v>3</v>
      </c>
      <c r="P1137" t="s">
        <v>580</v>
      </c>
      <c r="Q1137" t="s">
        <v>581</v>
      </c>
      <c r="R1137" t="s">
        <v>582</v>
      </c>
      <c r="S1137" t="s">
        <v>1365</v>
      </c>
      <c r="T1137" t="s">
        <v>36</v>
      </c>
      <c r="U1137" t="s">
        <v>80</v>
      </c>
      <c r="V1137">
        <v>72</v>
      </c>
      <c r="W1137">
        <v>82</v>
      </c>
      <c r="X1137">
        <v>122</v>
      </c>
      <c r="Y1137">
        <v>110</v>
      </c>
      <c r="Z1137">
        <v>184</v>
      </c>
      <c r="AA1137">
        <v>160</v>
      </c>
      <c r="AB1137" t="s">
        <v>2546</v>
      </c>
      <c r="AC1137" t="s">
        <v>256</v>
      </c>
      <c r="AD1137" t="s">
        <v>609</v>
      </c>
      <c r="AE1137" t="s">
        <v>183</v>
      </c>
      <c r="AF1137">
        <v>0</v>
      </c>
    </row>
    <row r="1138" spans="1:32">
      <c r="A1138">
        <v>336</v>
      </c>
      <c r="B1138">
        <v>952</v>
      </c>
      <c r="C1138" t="s">
        <v>577</v>
      </c>
      <c r="D1138" t="s">
        <v>1059</v>
      </c>
      <c r="E1138" t="s">
        <v>2165</v>
      </c>
      <c r="F1138" t="s">
        <v>197</v>
      </c>
      <c r="G1138" t="s">
        <v>2583</v>
      </c>
      <c r="H1138" t="s">
        <v>212</v>
      </c>
      <c r="I1138" t="s">
        <v>192</v>
      </c>
      <c r="J1138" t="s">
        <v>192</v>
      </c>
      <c r="K1138" t="s">
        <v>579</v>
      </c>
      <c r="L1138" s="84">
        <v>41672</v>
      </c>
      <c r="M1138" t="s">
        <v>352</v>
      </c>
      <c r="N1138" t="s">
        <v>1364</v>
      </c>
      <c r="O1138">
        <v>3</v>
      </c>
      <c r="P1138" t="s">
        <v>580</v>
      </c>
      <c r="Q1138" t="s">
        <v>581</v>
      </c>
      <c r="R1138" t="s">
        <v>582</v>
      </c>
      <c r="S1138" t="s">
        <v>1365</v>
      </c>
      <c r="T1138" t="s">
        <v>38</v>
      </c>
      <c r="U1138" t="s">
        <v>80</v>
      </c>
      <c r="V1138">
        <v>72</v>
      </c>
      <c r="W1138">
        <v>82</v>
      </c>
      <c r="X1138">
        <v>122</v>
      </c>
      <c r="Y1138">
        <v>110</v>
      </c>
      <c r="Z1138">
        <v>184</v>
      </c>
      <c r="AA1138">
        <v>160</v>
      </c>
      <c r="AB1138" t="s">
        <v>2546</v>
      </c>
      <c r="AC1138" t="s">
        <v>256</v>
      </c>
      <c r="AD1138" t="s">
        <v>609</v>
      </c>
      <c r="AE1138" t="s">
        <v>183</v>
      </c>
      <c r="AF1138">
        <v>0</v>
      </c>
    </row>
    <row r="1139" spans="1:32">
      <c r="A1139">
        <v>336</v>
      </c>
      <c r="B1139">
        <v>952</v>
      </c>
      <c r="C1139" t="s">
        <v>577</v>
      </c>
      <c r="D1139" t="s">
        <v>1059</v>
      </c>
      <c r="E1139" t="s">
        <v>2165</v>
      </c>
      <c r="F1139" t="s">
        <v>6</v>
      </c>
      <c r="G1139" t="s">
        <v>2584</v>
      </c>
      <c r="H1139" t="s">
        <v>275</v>
      </c>
      <c r="I1139" t="s">
        <v>236</v>
      </c>
      <c r="J1139" t="s">
        <v>220</v>
      </c>
      <c r="K1139" t="s">
        <v>579</v>
      </c>
      <c r="L1139" s="84">
        <v>41672</v>
      </c>
      <c r="M1139" t="s">
        <v>352</v>
      </c>
      <c r="N1139" t="s">
        <v>1364</v>
      </c>
      <c r="O1139">
        <v>3</v>
      </c>
      <c r="P1139" t="s">
        <v>580</v>
      </c>
      <c r="Q1139" t="s">
        <v>581</v>
      </c>
      <c r="R1139" t="s">
        <v>582</v>
      </c>
      <c r="S1139" t="s">
        <v>1365</v>
      </c>
      <c r="T1139" t="s">
        <v>34</v>
      </c>
      <c r="U1139" t="s">
        <v>80</v>
      </c>
      <c r="V1139">
        <v>72</v>
      </c>
      <c r="W1139">
        <v>82</v>
      </c>
      <c r="X1139">
        <v>122</v>
      </c>
      <c r="Y1139">
        <v>110</v>
      </c>
      <c r="Z1139">
        <v>184</v>
      </c>
      <c r="AA1139">
        <v>160</v>
      </c>
      <c r="AB1139" t="s">
        <v>2546</v>
      </c>
      <c r="AC1139" t="s">
        <v>256</v>
      </c>
      <c r="AD1139" t="s">
        <v>609</v>
      </c>
      <c r="AE1139" t="s">
        <v>183</v>
      </c>
      <c r="AF1139">
        <v>0</v>
      </c>
    </row>
    <row r="1140" spans="1:32">
      <c r="A1140">
        <v>336</v>
      </c>
      <c r="B1140">
        <v>952</v>
      </c>
      <c r="C1140" t="s">
        <v>577</v>
      </c>
      <c r="D1140" t="s">
        <v>1059</v>
      </c>
      <c r="E1140" t="s">
        <v>2165</v>
      </c>
      <c r="F1140" t="s">
        <v>7</v>
      </c>
      <c r="G1140" t="s">
        <v>2585</v>
      </c>
      <c r="H1140" t="s">
        <v>239</v>
      </c>
      <c r="I1140" t="s">
        <v>260</v>
      </c>
      <c r="J1140" t="s">
        <v>259</v>
      </c>
      <c r="K1140" t="s">
        <v>579</v>
      </c>
      <c r="L1140" s="84">
        <v>41672</v>
      </c>
      <c r="M1140" t="s">
        <v>352</v>
      </c>
      <c r="N1140" t="s">
        <v>1364</v>
      </c>
      <c r="O1140">
        <v>3</v>
      </c>
      <c r="P1140" t="s">
        <v>580</v>
      </c>
      <c r="Q1140" t="s">
        <v>581</v>
      </c>
      <c r="R1140" t="s">
        <v>582</v>
      </c>
      <c r="S1140" t="s">
        <v>1365</v>
      </c>
      <c r="T1140" t="s">
        <v>32</v>
      </c>
      <c r="U1140" t="s">
        <v>80</v>
      </c>
      <c r="V1140">
        <v>72</v>
      </c>
      <c r="W1140">
        <v>82</v>
      </c>
      <c r="X1140">
        <v>122</v>
      </c>
      <c r="Y1140">
        <v>110</v>
      </c>
      <c r="Z1140">
        <v>184</v>
      </c>
      <c r="AA1140">
        <v>160</v>
      </c>
      <c r="AB1140" t="s">
        <v>2546</v>
      </c>
      <c r="AC1140" t="s">
        <v>256</v>
      </c>
      <c r="AD1140" t="s">
        <v>609</v>
      </c>
      <c r="AE1140" t="s">
        <v>183</v>
      </c>
      <c r="AF1140">
        <v>0</v>
      </c>
    </row>
    <row r="1141" spans="1:32">
      <c r="A1141">
        <v>336</v>
      </c>
      <c r="B1141">
        <v>952</v>
      </c>
      <c r="C1141" t="s">
        <v>577</v>
      </c>
      <c r="D1141" t="s">
        <v>1059</v>
      </c>
      <c r="E1141" t="s">
        <v>2165</v>
      </c>
      <c r="F1141" t="s">
        <v>8</v>
      </c>
      <c r="G1141" t="s">
        <v>2586</v>
      </c>
      <c r="H1141" t="s">
        <v>220</v>
      </c>
      <c r="I1141" t="s">
        <v>218</v>
      </c>
      <c r="J1141" t="s">
        <v>260</v>
      </c>
      <c r="K1141" t="s">
        <v>579</v>
      </c>
      <c r="L1141" s="84">
        <v>41672</v>
      </c>
      <c r="M1141" t="s">
        <v>352</v>
      </c>
      <c r="N1141" t="s">
        <v>1364</v>
      </c>
      <c r="O1141">
        <v>3</v>
      </c>
      <c r="P1141" t="s">
        <v>580</v>
      </c>
      <c r="Q1141" t="s">
        <v>581</v>
      </c>
      <c r="R1141" t="s">
        <v>582</v>
      </c>
      <c r="S1141" t="s">
        <v>1365</v>
      </c>
      <c r="T1141" t="s">
        <v>31</v>
      </c>
      <c r="U1141" t="s">
        <v>80</v>
      </c>
      <c r="V1141">
        <v>72</v>
      </c>
      <c r="W1141">
        <v>82</v>
      </c>
      <c r="X1141">
        <v>122</v>
      </c>
      <c r="Y1141">
        <v>110</v>
      </c>
      <c r="Z1141">
        <v>184</v>
      </c>
      <c r="AA1141">
        <v>160</v>
      </c>
      <c r="AB1141" t="s">
        <v>2546</v>
      </c>
      <c r="AC1141" t="s">
        <v>256</v>
      </c>
      <c r="AD1141" t="s">
        <v>609</v>
      </c>
      <c r="AE1141" t="s">
        <v>183</v>
      </c>
      <c r="AF1141">
        <v>0</v>
      </c>
    </row>
    <row r="1142" spans="1:32">
      <c r="A1142">
        <v>336</v>
      </c>
      <c r="B1142">
        <v>952</v>
      </c>
      <c r="C1142" t="s">
        <v>577</v>
      </c>
      <c r="D1142" t="s">
        <v>1059</v>
      </c>
      <c r="E1142" t="s">
        <v>2165</v>
      </c>
      <c r="F1142" t="s">
        <v>5</v>
      </c>
      <c r="G1142" t="s">
        <v>2587</v>
      </c>
      <c r="H1142" t="s">
        <v>189</v>
      </c>
      <c r="I1142" t="s">
        <v>217</v>
      </c>
      <c r="J1142" t="s">
        <v>218</v>
      </c>
      <c r="K1142" t="s">
        <v>579</v>
      </c>
      <c r="L1142" s="84">
        <v>41672</v>
      </c>
      <c r="M1142" t="s">
        <v>352</v>
      </c>
      <c r="N1142" t="s">
        <v>1364</v>
      </c>
      <c r="O1142">
        <v>3</v>
      </c>
      <c r="P1142" t="s">
        <v>580</v>
      </c>
      <c r="Q1142" t="s">
        <v>581</v>
      </c>
      <c r="R1142" t="s">
        <v>582</v>
      </c>
      <c r="S1142" t="s">
        <v>1365</v>
      </c>
      <c r="T1142" t="s">
        <v>33</v>
      </c>
      <c r="U1142" t="s">
        <v>80</v>
      </c>
      <c r="V1142">
        <v>72</v>
      </c>
      <c r="W1142">
        <v>82</v>
      </c>
      <c r="X1142">
        <v>122</v>
      </c>
      <c r="Y1142">
        <v>110</v>
      </c>
      <c r="Z1142">
        <v>184</v>
      </c>
      <c r="AA1142">
        <v>160</v>
      </c>
      <c r="AB1142" t="s">
        <v>2546</v>
      </c>
      <c r="AC1142" t="s">
        <v>256</v>
      </c>
      <c r="AD1142" t="s">
        <v>609</v>
      </c>
      <c r="AE1142" t="s">
        <v>183</v>
      </c>
      <c r="AF1142">
        <v>0</v>
      </c>
    </row>
    <row r="1143" spans="1:32">
      <c r="A1143">
        <v>337</v>
      </c>
      <c r="B1143">
        <v>1205</v>
      </c>
      <c r="C1143" t="s">
        <v>2588</v>
      </c>
      <c r="D1143" t="s">
        <v>1059</v>
      </c>
      <c r="E1143" t="s">
        <v>2165</v>
      </c>
      <c r="F1143" t="s">
        <v>5</v>
      </c>
      <c r="G1143" t="s">
        <v>2589</v>
      </c>
      <c r="H1143" t="s">
        <v>237</v>
      </c>
      <c r="I1143" t="s">
        <v>236</v>
      </c>
      <c r="J1143" t="s">
        <v>228</v>
      </c>
      <c r="K1143" t="s">
        <v>2590</v>
      </c>
      <c r="L1143" s="84">
        <v>42346</v>
      </c>
      <c r="M1143" t="s">
        <v>381</v>
      </c>
      <c r="N1143" t="s">
        <v>2591</v>
      </c>
      <c r="O1143">
        <v>3</v>
      </c>
      <c r="P1143" t="s">
        <v>2592</v>
      </c>
      <c r="Q1143" t="s">
        <v>2593</v>
      </c>
      <c r="R1143" t="s">
        <v>2594</v>
      </c>
      <c r="S1143" t="s">
        <v>2595</v>
      </c>
      <c r="T1143" t="s">
        <v>33</v>
      </c>
      <c r="U1143" t="s">
        <v>80</v>
      </c>
      <c r="V1143">
        <v>48</v>
      </c>
      <c r="W1143">
        <v>82</v>
      </c>
      <c r="X1143">
        <v>122</v>
      </c>
      <c r="Y1143">
        <v>77</v>
      </c>
      <c r="Z1143">
        <v>184</v>
      </c>
      <c r="AA1143">
        <v>131</v>
      </c>
      <c r="AB1143" t="s">
        <v>1296</v>
      </c>
      <c r="AC1143" t="s">
        <v>221</v>
      </c>
      <c r="AD1143" t="s">
        <v>210</v>
      </c>
      <c r="AE1143" t="s">
        <v>183</v>
      </c>
      <c r="AF1143">
        <v>0</v>
      </c>
    </row>
    <row r="1144" spans="1:32">
      <c r="A1144">
        <v>337</v>
      </c>
      <c r="B1144">
        <v>1205</v>
      </c>
      <c r="C1144" t="s">
        <v>2588</v>
      </c>
      <c r="D1144" t="s">
        <v>1059</v>
      </c>
      <c r="E1144" t="s">
        <v>2165</v>
      </c>
      <c r="F1144" t="s">
        <v>8</v>
      </c>
      <c r="G1144" t="s">
        <v>2596</v>
      </c>
      <c r="H1144" t="s">
        <v>226</v>
      </c>
      <c r="I1144" t="s">
        <v>191</v>
      </c>
      <c r="J1144" t="s">
        <v>181</v>
      </c>
      <c r="K1144" t="s">
        <v>2590</v>
      </c>
      <c r="L1144" s="84">
        <v>42346</v>
      </c>
      <c r="M1144" t="s">
        <v>381</v>
      </c>
      <c r="N1144" t="s">
        <v>2591</v>
      </c>
      <c r="O1144">
        <v>3</v>
      </c>
      <c r="P1144" t="s">
        <v>2592</v>
      </c>
      <c r="Q1144" t="s">
        <v>2593</v>
      </c>
      <c r="R1144" t="s">
        <v>2594</v>
      </c>
      <c r="S1144" t="s">
        <v>2595</v>
      </c>
      <c r="T1144" t="s">
        <v>31</v>
      </c>
      <c r="U1144" t="s">
        <v>80</v>
      </c>
      <c r="V1144">
        <v>48</v>
      </c>
      <c r="W1144">
        <v>82</v>
      </c>
      <c r="X1144">
        <v>122</v>
      </c>
      <c r="Y1144">
        <v>77</v>
      </c>
      <c r="Z1144">
        <v>184</v>
      </c>
      <c r="AA1144">
        <v>131</v>
      </c>
      <c r="AB1144" t="s">
        <v>1296</v>
      </c>
      <c r="AC1144" t="s">
        <v>221</v>
      </c>
      <c r="AD1144" t="s">
        <v>210</v>
      </c>
      <c r="AE1144" t="s">
        <v>183</v>
      </c>
      <c r="AF1144">
        <v>0</v>
      </c>
    </row>
    <row r="1145" spans="1:32">
      <c r="A1145">
        <v>337</v>
      </c>
      <c r="B1145">
        <v>1205</v>
      </c>
      <c r="C1145" t="s">
        <v>2588</v>
      </c>
      <c r="D1145" t="s">
        <v>1059</v>
      </c>
      <c r="E1145" t="s">
        <v>2165</v>
      </c>
      <c r="F1145" t="s">
        <v>7</v>
      </c>
      <c r="G1145" t="s">
        <v>2597</v>
      </c>
      <c r="H1145" t="s">
        <v>212</v>
      </c>
      <c r="I1145" t="s">
        <v>243</v>
      </c>
      <c r="J1145" t="s">
        <v>172</v>
      </c>
      <c r="K1145" t="s">
        <v>2590</v>
      </c>
      <c r="L1145" s="84">
        <v>42346</v>
      </c>
      <c r="M1145" t="s">
        <v>381</v>
      </c>
      <c r="N1145" t="s">
        <v>2591</v>
      </c>
      <c r="O1145">
        <v>3</v>
      </c>
      <c r="P1145" t="s">
        <v>2592</v>
      </c>
      <c r="Q1145" t="s">
        <v>2593</v>
      </c>
      <c r="R1145" t="s">
        <v>2594</v>
      </c>
      <c r="S1145" t="s">
        <v>2595</v>
      </c>
      <c r="T1145" t="s">
        <v>32</v>
      </c>
      <c r="U1145" t="s">
        <v>80</v>
      </c>
      <c r="V1145">
        <v>48</v>
      </c>
      <c r="W1145">
        <v>82</v>
      </c>
      <c r="X1145">
        <v>122</v>
      </c>
      <c r="Y1145">
        <v>77</v>
      </c>
      <c r="Z1145">
        <v>184</v>
      </c>
      <c r="AA1145">
        <v>131</v>
      </c>
      <c r="AB1145" t="s">
        <v>1296</v>
      </c>
      <c r="AC1145" t="s">
        <v>221</v>
      </c>
      <c r="AD1145" t="s">
        <v>210</v>
      </c>
      <c r="AE1145" t="s">
        <v>183</v>
      </c>
      <c r="AF1145">
        <v>0</v>
      </c>
    </row>
    <row r="1146" spans="1:32">
      <c r="A1146">
        <v>337</v>
      </c>
      <c r="B1146">
        <v>1205</v>
      </c>
      <c r="C1146" t="s">
        <v>2588</v>
      </c>
      <c r="D1146" t="s">
        <v>1059</v>
      </c>
      <c r="E1146" t="s">
        <v>2165</v>
      </c>
      <c r="F1146" t="s">
        <v>6</v>
      </c>
      <c r="G1146" t="s">
        <v>2598</v>
      </c>
      <c r="H1146" t="s">
        <v>223</v>
      </c>
      <c r="I1146" t="s">
        <v>212</v>
      </c>
      <c r="J1146" t="s">
        <v>187</v>
      </c>
      <c r="K1146" t="s">
        <v>2590</v>
      </c>
      <c r="L1146" s="84">
        <v>42346</v>
      </c>
      <c r="M1146" t="s">
        <v>381</v>
      </c>
      <c r="N1146" t="s">
        <v>2591</v>
      </c>
      <c r="O1146">
        <v>3</v>
      </c>
      <c r="P1146" t="s">
        <v>2592</v>
      </c>
      <c r="Q1146" t="s">
        <v>2593</v>
      </c>
      <c r="R1146" t="s">
        <v>2594</v>
      </c>
      <c r="S1146" t="s">
        <v>2595</v>
      </c>
      <c r="T1146" t="s">
        <v>34</v>
      </c>
      <c r="U1146" t="s">
        <v>80</v>
      </c>
      <c r="V1146">
        <v>48</v>
      </c>
      <c r="W1146">
        <v>82</v>
      </c>
      <c r="X1146">
        <v>122</v>
      </c>
      <c r="Y1146">
        <v>77</v>
      </c>
      <c r="Z1146">
        <v>184</v>
      </c>
      <c r="AA1146">
        <v>131</v>
      </c>
      <c r="AB1146" t="s">
        <v>1296</v>
      </c>
      <c r="AC1146" t="s">
        <v>221</v>
      </c>
      <c r="AD1146" t="s">
        <v>210</v>
      </c>
      <c r="AE1146" t="s">
        <v>183</v>
      </c>
      <c r="AF1146">
        <v>0</v>
      </c>
    </row>
    <row r="1147" spans="1:32">
      <c r="A1147">
        <v>337</v>
      </c>
      <c r="B1147">
        <v>1205</v>
      </c>
      <c r="C1147" t="s">
        <v>2588</v>
      </c>
      <c r="D1147" t="s">
        <v>1059</v>
      </c>
      <c r="E1147" t="s">
        <v>2165</v>
      </c>
      <c r="F1147" t="s">
        <v>197</v>
      </c>
      <c r="G1147" t="s">
        <v>2599</v>
      </c>
      <c r="H1147" t="s">
        <v>192</v>
      </c>
      <c r="I1147" t="s">
        <v>192</v>
      </c>
      <c r="J1147" t="s">
        <v>192</v>
      </c>
      <c r="K1147" t="s">
        <v>2590</v>
      </c>
      <c r="L1147" s="84">
        <v>42346</v>
      </c>
      <c r="M1147" t="s">
        <v>381</v>
      </c>
      <c r="N1147" t="s">
        <v>2591</v>
      </c>
      <c r="O1147">
        <v>3</v>
      </c>
      <c r="P1147" t="s">
        <v>2592</v>
      </c>
      <c r="Q1147" t="s">
        <v>2593</v>
      </c>
      <c r="R1147" t="s">
        <v>2594</v>
      </c>
      <c r="S1147" t="s">
        <v>2595</v>
      </c>
      <c r="T1147" t="s">
        <v>38</v>
      </c>
      <c r="U1147" t="s">
        <v>80</v>
      </c>
      <c r="V1147">
        <v>48</v>
      </c>
      <c r="W1147">
        <v>82</v>
      </c>
      <c r="X1147">
        <v>122</v>
      </c>
      <c r="Y1147">
        <v>77</v>
      </c>
      <c r="Z1147">
        <v>184</v>
      </c>
      <c r="AA1147">
        <v>131</v>
      </c>
      <c r="AB1147" t="s">
        <v>1296</v>
      </c>
      <c r="AC1147" t="s">
        <v>221</v>
      </c>
      <c r="AD1147" t="s">
        <v>210</v>
      </c>
      <c r="AE1147" t="s">
        <v>183</v>
      </c>
      <c r="AF1147">
        <v>0</v>
      </c>
    </row>
    <row r="1148" spans="1:32">
      <c r="A1148">
        <v>337</v>
      </c>
      <c r="B1148">
        <v>1205</v>
      </c>
      <c r="C1148" t="s">
        <v>2588</v>
      </c>
      <c r="D1148" t="s">
        <v>1059</v>
      </c>
      <c r="E1148" t="s">
        <v>2165</v>
      </c>
      <c r="F1148" t="s">
        <v>193</v>
      </c>
      <c r="G1148" t="s">
        <v>2600</v>
      </c>
      <c r="H1148" t="s">
        <v>188</v>
      </c>
      <c r="I1148" t="s">
        <v>212</v>
      </c>
      <c r="J1148" t="s">
        <v>192</v>
      </c>
      <c r="K1148" t="s">
        <v>2590</v>
      </c>
      <c r="L1148" s="84">
        <v>42346</v>
      </c>
      <c r="M1148" t="s">
        <v>381</v>
      </c>
      <c r="N1148" t="s">
        <v>2591</v>
      </c>
      <c r="O1148">
        <v>3</v>
      </c>
      <c r="P1148" t="s">
        <v>2592</v>
      </c>
      <c r="Q1148" t="s">
        <v>2593</v>
      </c>
      <c r="R1148" t="s">
        <v>2594</v>
      </c>
      <c r="S1148" t="s">
        <v>2595</v>
      </c>
      <c r="T1148" t="s">
        <v>36</v>
      </c>
      <c r="U1148" t="s">
        <v>80</v>
      </c>
      <c r="V1148">
        <v>48</v>
      </c>
      <c r="W1148">
        <v>82</v>
      </c>
      <c r="X1148">
        <v>122</v>
      </c>
      <c r="Y1148">
        <v>77</v>
      </c>
      <c r="Z1148">
        <v>184</v>
      </c>
      <c r="AA1148">
        <v>131</v>
      </c>
      <c r="AB1148" t="s">
        <v>1296</v>
      </c>
      <c r="AC1148" t="s">
        <v>221</v>
      </c>
      <c r="AD1148" t="s">
        <v>210</v>
      </c>
      <c r="AE1148" t="s">
        <v>183</v>
      </c>
      <c r="AF1148">
        <v>0</v>
      </c>
    </row>
    <row r="1149" spans="1:32">
      <c r="A1149">
        <v>337</v>
      </c>
      <c r="B1149">
        <v>1205</v>
      </c>
      <c r="C1149" t="s">
        <v>2588</v>
      </c>
      <c r="D1149" t="s">
        <v>1059</v>
      </c>
      <c r="E1149" t="s">
        <v>2165</v>
      </c>
      <c r="F1149" t="s">
        <v>37</v>
      </c>
      <c r="G1149" t="s">
        <v>2601</v>
      </c>
      <c r="H1149" t="s">
        <v>1701</v>
      </c>
      <c r="I1149" t="s">
        <v>212</v>
      </c>
      <c r="J1149" t="s">
        <v>192</v>
      </c>
      <c r="K1149" t="s">
        <v>2590</v>
      </c>
      <c r="L1149" s="84">
        <v>42346</v>
      </c>
      <c r="M1149" t="s">
        <v>381</v>
      </c>
      <c r="N1149" t="s">
        <v>2591</v>
      </c>
      <c r="O1149">
        <v>3</v>
      </c>
      <c r="P1149" t="s">
        <v>2592</v>
      </c>
      <c r="Q1149" t="s">
        <v>2593</v>
      </c>
      <c r="R1149" t="s">
        <v>2594</v>
      </c>
      <c r="S1149" t="s">
        <v>2595</v>
      </c>
      <c r="T1149" t="s">
        <v>37</v>
      </c>
      <c r="U1149" t="s">
        <v>80</v>
      </c>
      <c r="V1149">
        <v>48</v>
      </c>
      <c r="W1149">
        <v>82</v>
      </c>
      <c r="X1149">
        <v>122</v>
      </c>
      <c r="Y1149">
        <v>77</v>
      </c>
      <c r="Z1149">
        <v>184</v>
      </c>
      <c r="AA1149">
        <v>131</v>
      </c>
      <c r="AB1149" t="s">
        <v>1296</v>
      </c>
      <c r="AC1149" t="s">
        <v>221</v>
      </c>
      <c r="AD1149" t="s">
        <v>210</v>
      </c>
      <c r="AE1149" t="s">
        <v>183</v>
      </c>
      <c r="AF1149">
        <v>0</v>
      </c>
    </row>
    <row r="1150" spans="1:32">
      <c r="A1150">
        <v>338</v>
      </c>
      <c r="B1150">
        <v>1174</v>
      </c>
      <c r="C1150" t="s">
        <v>2602</v>
      </c>
      <c r="D1150" t="s">
        <v>1059</v>
      </c>
      <c r="E1150" t="s">
        <v>2165</v>
      </c>
      <c r="F1150" t="s">
        <v>37</v>
      </c>
      <c r="G1150" t="s">
        <v>2603</v>
      </c>
      <c r="H1150" t="s">
        <v>1701</v>
      </c>
      <c r="I1150" t="s">
        <v>212</v>
      </c>
      <c r="J1150" t="s">
        <v>192</v>
      </c>
      <c r="K1150" t="s">
        <v>2604</v>
      </c>
      <c r="L1150" s="84">
        <v>42606</v>
      </c>
      <c r="M1150" t="s">
        <v>381</v>
      </c>
      <c r="N1150" t="s">
        <v>365</v>
      </c>
      <c r="O1150">
        <v>3</v>
      </c>
      <c r="P1150" t="s">
        <v>2903</v>
      </c>
      <c r="Q1150" t="s">
        <v>2904</v>
      </c>
      <c r="R1150" t="s">
        <v>2605</v>
      </c>
      <c r="S1150" t="s">
        <v>2606</v>
      </c>
      <c r="T1150" t="s">
        <v>37</v>
      </c>
      <c r="U1150" t="s">
        <v>80</v>
      </c>
      <c r="V1150">
        <v>52</v>
      </c>
      <c r="W1150">
        <v>82</v>
      </c>
      <c r="X1150">
        <v>122</v>
      </c>
      <c r="Y1150">
        <v>83</v>
      </c>
      <c r="Z1150">
        <v>184</v>
      </c>
      <c r="AA1150">
        <v>131</v>
      </c>
      <c r="AB1150" t="s">
        <v>1049</v>
      </c>
      <c r="AC1150" t="s">
        <v>185</v>
      </c>
      <c r="AD1150" t="s">
        <v>210</v>
      </c>
      <c r="AE1150" t="s">
        <v>183</v>
      </c>
      <c r="AF1150">
        <v>2</v>
      </c>
    </row>
    <row r="1151" spans="1:32">
      <c r="A1151">
        <v>338</v>
      </c>
      <c r="B1151">
        <v>1174</v>
      </c>
      <c r="C1151" t="s">
        <v>2602</v>
      </c>
      <c r="D1151" t="s">
        <v>1059</v>
      </c>
      <c r="E1151" t="s">
        <v>2165</v>
      </c>
      <c r="F1151" t="s">
        <v>193</v>
      </c>
      <c r="G1151" t="s">
        <v>2607</v>
      </c>
      <c r="H1151" t="s">
        <v>223</v>
      </c>
      <c r="I1151" t="s">
        <v>212</v>
      </c>
      <c r="J1151" t="s">
        <v>192</v>
      </c>
      <c r="K1151" t="s">
        <v>2604</v>
      </c>
      <c r="L1151" s="84">
        <v>42606</v>
      </c>
      <c r="M1151" t="s">
        <v>381</v>
      </c>
      <c r="N1151" t="s">
        <v>365</v>
      </c>
      <c r="O1151">
        <v>3</v>
      </c>
      <c r="P1151" t="s">
        <v>2903</v>
      </c>
      <c r="Q1151" t="s">
        <v>2904</v>
      </c>
      <c r="R1151" t="s">
        <v>2605</v>
      </c>
      <c r="S1151" t="s">
        <v>2606</v>
      </c>
      <c r="T1151" t="s">
        <v>36</v>
      </c>
      <c r="U1151" t="s">
        <v>80</v>
      </c>
      <c r="V1151">
        <v>52</v>
      </c>
      <c r="W1151">
        <v>82</v>
      </c>
      <c r="X1151">
        <v>122</v>
      </c>
      <c r="Y1151">
        <v>83</v>
      </c>
      <c r="Z1151">
        <v>184</v>
      </c>
      <c r="AA1151">
        <v>131</v>
      </c>
      <c r="AB1151" t="s">
        <v>1049</v>
      </c>
      <c r="AC1151" t="s">
        <v>185</v>
      </c>
      <c r="AD1151" t="s">
        <v>210</v>
      </c>
      <c r="AE1151" t="s">
        <v>183</v>
      </c>
      <c r="AF1151">
        <v>2</v>
      </c>
    </row>
    <row r="1152" spans="1:32">
      <c r="A1152">
        <v>338</v>
      </c>
      <c r="B1152">
        <v>1174</v>
      </c>
      <c r="C1152" t="s">
        <v>2602</v>
      </c>
      <c r="D1152" t="s">
        <v>1059</v>
      </c>
      <c r="E1152" t="s">
        <v>2165</v>
      </c>
      <c r="F1152" t="s">
        <v>197</v>
      </c>
      <c r="G1152" t="s">
        <v>2608</v>
      </c>
      <c r="H1152" t="s">
        <v>188</v>
      </c>
      <c r="I1152" t="s">
        <v>192</v>
      </c>
      <c r="J1152" t="s">
        <v>192</v>
      </c>
      <c r="K1152" t="s">
        <v>2604</v>
      </c>
      <c r="L1152" s="84">
        <v>42606</v>
      </c>
      <c r="M1152" t="s">
        <v>381</v>
      </c>
      <c r="N1152" t="s">
        <v>365</v>
      </c>
      <c r="O1152">
        <v>3</v>
      </c>
      <c r="P1152" t="s">
        <v>2903</v>
      </c>
      <c r="Q1152" t="s">
        <v>2904</v>
      </c>
      <c r="R1152" t="s">
        <v>2605</v>
      </c>
      <c r="S1152" t="s">
        <v>2606</v>
      </c>
      <c r="T1152" t="s">
        <v>38</v>
      </c>
      <c r="U1152" t="s">
        <v>80</v>
      </c>
      <c r="V1152">
        <v>52</v>
      </c>
      <c r="W1152">
        <v>82</v>
      </c>
      <c r="X1152">
        <v>122</v>
      </c>
      <c r="Y1152">
        <v>83</v>
      </c>
      <c r="Z1152">
        <v>184</v>
      </c>
      <c r="AA1152">
        <v>131</v>
      </c>
      <c r="AB1152" t="s">
        <v>1049</v>
      </c>
      <c r="AC1152" t="s">
        <v>185</v>
      </c>
      <c r="AD1152" t="s">
        <v>210</v>
      </c>
      <c r="AE1152" t="s">
        <v>183</v>
      </c>
      <c r="AF1152">
        <v>2</v>
      </c>
    </row>
    <row r="1153" spans="1:32">
      <c r="A1153">
        <v>338</v>
      </c>
      <c r="B1153">
        <v>1174</v>
      </c>
      <c r="C1153" t="s">
        <v>2602</v>
      </c>
      <c r="D1153" t="s">
        <v>1059</v>
      </c>
      <c r="E1153" t="s">
        <v>2165</v>
      </c>
      <c r="F1153" t="s">
        <v>6</v>
      </c>
      <c r="G1153" t="s">
        <v>2609</v>
      </c>
      <c r="H1153" t="s">
        <v>173</v>
      </c>
      <c r="I1153" t="s">
        <v>172</v>
      </c>
      <c r="J1153" t="s">
        <v>462</v>
      </c>
      <c r="K1153" t="s">
        <v>2604</v>
      </c>
      <c r="L1153" s="84">
        <v>42606</v>
      </c>
      <c r="M1153" t="s">
        <v>381</v>
      </c>
      <c r="N1153" t="s">
        <v>365</v>
      </c>
      <c r="O1153">
        <v>3</v>
      </c>
      <c r="P1153" t="s">
        <v>2903</v>
      </c>
      <c r="Q1153" t="s">
        <v>2904</v>
      </c>
      <c r="R1153" t="s">
        <v>2605</v>
      </c>
      <c r="S1153" t="s">
        <v>2606</v>
      </c>
      <c r="T1153" t="s">
        <v>34</v>
      </c>
      <c r="U1153" t="s">
        <v>80</v>
      </c>
      <c r="V1153">
        <v>52</v>
      </c>
      <c r="W1153">
        <v>82</v>
      </c>
      <c r="X1153">
        <v>122</v>
      </c>
      <c r="Y1153">
        <v>83</v>
      </c>
      <c r="Z1153">
        <v>184</v>
      </c>
      <c r="AA1153">
        <v>131</v>
      </c>
      <c r="AB1153" t="s">
        <v>1049</v>
      </c>
      <c r="AC1153" t="s">
        <v>185</v>
      </c>
      <c r="AD1153" t="s">
        <v>210</v>
      </c>
      <c r="AE1153" t="s">
        <v>183</v>
      </c>
      <c r="AF1153">
        <v>2</v>
      </c>
    </row>
    <row r="1154" spans="1:32">
      <c r="A1154">
        <v>338</v>
      </c>
      <c r="B1154">
        <v>1174</v>
      </c>
      <c r="C1154" t="s">
        <v>2602</v>
      </c>
      <c r="D1154" t="s">
        <v>1059</v>
      </c>
      <c r="E1154" t="s">
        <v>2165</v>
      </c>
      <c r="F1154" t="s">
        <v>7</v>
      </c>
      <c r="G1154" t="s">
        <v>2610</v>
      </c>
      <c r="H1154" t="s">
        <v>407</v>
      </c>
      <c r="I1154" t="s">
        <v>403</v>
      </c>
      <c r="J1154" t="s">
        <v>417</v>
      </c>
      <c r="K1154" t="s">
        <v>2604</v>
      </c>
      <c r="L1154" s="84">
        <v>42606</v>
      </c>
      <c r="M1154" t="s">
        <v>381</v>
      </c>
      <c r="N1154" t="s">
        <v>365</v>
      </c>
      <c r="O1154">
        <v>3</v>
      </c>
      <c r="P1154" t="s">
        <v>2903</v>
      </c>
      <c r="Q1154" t="s">
        <v>2904</v>
      </c>
      <c r="R1154" t="s">
        <v>2605</v>
      </c>
      <c r="S1154" t="s">
        <v>2606</v>
      </c>
      <c r="T1154" t="s">
        <v>32</v>
      </c>
      <c r="U1154" t="s">
        <v>80</v>
      </c>
      <c r="V1154">
        <v>52</v>
      </c>
      <c r="W1154">
        <v>82</v>
      </c>
      <c r="X1154">
        <v>122</v>
      </c>
      <c r="Y1154">
        <v>83</v>
      </c>
      <c r="Z1154">
        <v>184</v>
      </c>
      <c r="AA1154">
        <v>131</v>
      </c>
      <c r="AB1154" t="s">
        <v>1049</v>
      </c>
      <c r="AC1154" t="s">
        <v>185</v>
      </c>
      <c r="AD1154" t="s">
        <v>210</v>
      </c>
      <c r="AE1154" t="s">
        <v>183</v>
      </c>
      <c r="AF1154">
        <v>2</v>
      </c>
    </row>
    <row r="1155" spans="1:32">
      <c r="A1155">
        <v>338</v>
      </c>
      <c r="B1155">
        <v>1174</v>
      </c>
      <c r="C1155" t="s">
        <v>2602</v>
      </c>
      <c r="D1155" t="s">
        <v>1059</v>
      </c>
      <c r="E1155" t="s">
        <v>2165</v>
      </c>
      <c r="F1155" t="s">
        <v>8</v>
      </c>
      <c r="G1155" t="s">
        <v>2611</v>
      </c>
      <c r="H1155" t="s">
        <v>415</v>
      </c>
      <c r="I1155" t="s">
        <v>187</v>
      </c>
      <c r="J1155" t="s">
        <v>914</v>
      </c>
      <c r="K1155" t="s">
        <v>2604</v>
      </c>
      <c r="L1155" s="84">
        <v>42606</v>
      </c>
      <c r="M1155" t="s">
        <v>381</v>
      </c>
      <c r="N1155" t="s">
        <v>365</v>
      </c>
      <c r="O1155">
        <v>3</v>
      </c>
      <c r="P1155" t="s">
        <v>2903</v>
      </c>
      <c r="Q1155" t="s">
        <v>2904</v>
      </c>
      <c r="R1155" t="s">
        <v>2605</v>
      </c>
      <c r="S1155" t="s">
        <v>2606</v>
      </c>
      <c r="T1155" t="s">
        <v>31</v>
      </c>
      <c r="U1155" t="s">
        <v>80</v>
      </c>
      <c r="V1155">
        <v>52</v>
      </c>
      <c r="W1155">
        <v>82</v>
      </c>
      <c r="X1155">
        <v>122</v>
      </c>
      <c r="Y1155">
        <v>83</v>
      </c>
      <c r="Z1155">
        <v>184</v>
      </c>
      <c r="AA1155">
        <v>131</v>
      </c>
      <c r="AB1155" t="s">
        <v>1049</v>
      </c>
      <c r="AC1155" t="s">
        <v>185</v>
      </c>
      <c r="AD1155" t="s">
        <v>210</v>
      </c>
      <c r="AE1155" t="s">
        <v>183</v>
      </c>
      <c r="AF1155">
        <v>2</v>
      </c>
    </row>
    <row r="1156" spans="1:32">
      <c r="A1156">
        <v>338</v>
      </c>
      <c r="B1156">
        <v>1174</v>
      </c>
      <c r="C1156" t="s">
        <v>2602</v>
      </c>
      <c r="D1156" t="s">
        <v>1059</v>
      </c>
      <c r="E1156" t="s">
        <v>2165</v>
      </c>
      <c r="F1156" t="s">
        <v>5</v>
      </c>
      <c r="G1156" t="s">
        <v>2612</v>
      </c>
      <c r="H1156" t="s">
        <v>212</v>
      </c>
      <c r="I1156" t="s">
        <v>436</v>
      </c>
      <c r="J1156" t="s">
        <v>415</v>
      </c>
      <c r="K1156" t="s">
        <v>2604</v>
      </c>
      <c r="L1156" s="84">
        <v>42606</v>
      </c>
      <c r="M1156" t="s">
        <v>381</v>
      </c>
      <c r="N1156" t="s">
        <v>365</v>
      </c>
      <c r="O1156">
        <v>3</v>
      </c>
      <c r="P1156" t="s">
        <v>2903</v>
      </c>
      <c r="Q1156" t="s">
        <v>2904</v>
      </c>
      <c r="R1156" t="s">
        <v>2605</v>
      </c>
      <c r="S1156" t="s">
        <v>2606</v>
      </c>
      <c r="T1156" t="s">
        <v>33</v>
      </c>
      <c r="U1156" t="s">
        <v>80</v>
      </c>
      <c r="V1156">
        <v>52</v>
      </c>
      <c r="W1156">
        <v>82</v>
      </c>
      <c r="X1156">
        <v>122</v>
      </c>
      <c r="Y1156">
        <v>83</v>
      </c>
      <c r="Z1156">
        <v>184</v>
      </c>
      <c r="AA1156">
        <v>131</v>
      </c>
      <c r="AB1156" t="s">
        <v>1049</v>
      </c>
      <c r="AC1156" t="s">
        <v>185</v>
      </c>
      <c r="AD1156" t="s">
        <v>210</v>
      </c>
      <c r="AE1156" t="s">
        <v>183</v>
      </c>
      <c r="AF1156">
        <v>2</v>
      </c>
    </row>
    <row r="1157" spans="1:32">
      <c r="A1157">
        <v>339</v>
      </c>
      <c r="B1157">
        <v>805</v>
      </c>
      <c r="C1157" t="s">
        <v>615</v>
      </c>
      <c r="D1157" t="s">
        <v>1059</v>
      </c>
      <c r="E1157" t="s">
        <v>2165</v>
      </c>
      <c r="F1157" t="s">
        <v>5</v>
      </c>
      <c r="G1157" t="s">
        <v>2613</v>
      </c>
      <c r="H1157" t="s">
        <v>239</v>
      </c>
      <c r="I1157" t="s">
        <v>260</v>
      </c>
      <c r="J1157" t="s">
        <v>239</v>
      </c>
      <c r="K1157" t="s">
        <v>617</v>
      </c>
      <c r="L1157" s="84">
        <v>42694</v>
      </c>
      <c r="M1157" t="s">
        <v>325</v>
      </c>
      <c r="N1157" t="s">
        <v>1311</v>
      </c>
      <c r="O1157">
        <v>2</v>
      </c>
      <c r="P1157" t="s">
        <v>618</v>
      </c>
      <c r="Q1157" t="s">
        <v>457</v>
      </c>
      <c r="R1157" t="s">
        <v>619</v>
      </c>
      <c r="S1157" t="s">
        <v>620</v>
      </c>
      <c r="T1157" t="s">
        <v>33</v>
      </c>
      <c r="U1157" t="s">
        <v>79</v>
      </c>
      <c r="V1157">
        <v>57</v>
      </c>
      <c r="W1157">
        <v>82</v>
      </c>
      <c r="X1157">
        <v>122</v>
      </c>
      <c r="Y1157">
        <v>91</v>
      </c>
      <c r="Z1157">
        <v>184</v>
      </c>
      <c r="AA1157">
        <v>142</v>
      </c>
      <c r="AB1157" t="s">
        <v>413</v>
      </c>
      <c r="AC1157" t="s">
        <v>212</v>
      </c>
      <c r="AD1157" t="s">
        <v>210</v>
      </c>
      <c r="AE1157" t="s">
        <v>183</v>
      </c>
      <c r="AF1157">
        <v>0</v>
      </c>
    </row>
    <row r="1158" spans="1:32">
      <c r="A1158">
        <v>339</v>
      </c>
      <c r="B1158">
        <v>805</v>
      </c>
      <c r="C1158" t="s">
        <v>615</v>
      </c>
      <c r="D1158" t="s">
        <v>1059</v>
      </c>
      <c r="E1158" t="s">
        <v>2165</v>
      </c>
      <c r="F1158" t="s">
        <v>8</v>
      </c>
      <c r="G1158" t="s">
        <v>2614</v>
      </c>
      <c r="H1158" t="s">
        <v>226</v>
      </c>
      <c r="I1158" t="s">
        <v>226</v>
      </c>
      <c r="J1158" t="s">
        <v>226</v>
      </c>
      <c r="K1158" t="s">
        <v>617</v>
      </c>
      <c r="L1158" s="84">
        <v>42694</v>
      </c>
      <c r="M1158" t="s">
        <v>325</v>
      </c>
      <c r="N1158" t="s">
        <v>1311</v>
      </c>
      <c r="O1158">
        <v>2</v>
      </c>
      <c r="P1158" t="s">
        <v>618</v>
      </c>
      <c r="Q1158" t="s">
        <v>457</v>
      </c>
      <c r="R1158" t="s">
        <v>619</v>
      </c>
      <c r="S1158" t="s">
        <v>620</v>
      </c>
      <c r="T1158" t="s">
        <v>31</v>
      </c>
      <c r="U1158" t="s">
        <v>79</v>
      </c>
      <c r="V1158">
        <v>57</v>
      </c>
      <c r="W1158">
        <v>82</v>
      </c>
      <c r="X1158">
        <v>122</v>
      </c>
      <c r="Y1158">
        <v>91</v>
      </c>
      <c r="Z1158">
        <v>184</v>
      </c>
      <c r="AA1158">
        <v>142</v>
      </c>
      <c r="AB1158" t="s">
        <v>413</v>
      </c>
      <c r="AC1158" t="s">
        <v>212</v>
      </c>
      <c r="AD1158" t="s">
        <v>210</v>
      </c>
      <c r="AE1158" t="s">
        <v>183</v>
      </c>
      <c r="AF1158">
        <v>0</v>
      </c>
    </row>
    <row r="1159" spans="1:32">
      <c r="A1159">
        <v>339</v>
      </c>
      <c r="B1159">
        <v>805</v>
      </c>
      <c r="C1159" t="s">
        <v>615</v>
      </c>
      <c r="D1159" t="s">
        <v>1059</v>
      </c>
      <c r="E1159" t="s">
        <v>2165</v>
      </c>
      <c r="F1159" t="s">
        <v>7</v>
      </c>
      <c r="G1159" t="s">
        <v>2615</v>
      </c>
      <c r="H1159" t="s">
        <v>226</v>
      </c>
      <c r="I1159" t="s">
        <v>221</v>
      </c>
      <c r="J1159" t="s">
        <v>260</v>
      </c>
      <c r="K1159" t="s">
        <v>617</v>
      </c>
      <c r="L1159" s="84">
        <v>42694</v>
      </c>
      <c r="M1159" t="s">
        <v>325</v>
      </c>
      <c r="N1159" t="s">
        <v>1311</v>
      </c>
      <c r="O1159">
        <v>2</v>
      </c>
      <c r="P1159" t="s">
        <v>618</v>
      </c>
      <c r="Q1159" t="s">
        <v>457</v>
      </c>
      <c r="R1159" t="s">
        <v>619</v>
      </c>
      <c r="S1159" t="s">
        <v>620</v>
      </c>
      <c r="T1159" t="s">
        <v>32</v>
      </c>
      <c r="U1159" t="s">
        <v>79</v>
      </c>
      <c r="V1159">
        <v>57</v>
      </c>
      <c r="W1159">
        <v>82</v>
      </c>
      <c r="X1159">
        <v>122</v>
      </c>
      <c r="Y1159">
        <v>91</v>
      </c>
      <c r="Z1159">
        <v>184</v>
      </c>
      <c r="AA1159">
        <v>142</v>
      </c>
      <c r="AB1159" t="s">
        <v>413</v>
      </c>
      <c r="AC1159" t="s">
        <v>212</v>
      </c>
      <c r="AD1159" t="s">
        <v>210</v>
      </c>
      <c r="AE1159" t="s">
        <v>183</v>
      </c>
      <c r="AF1159">
        <v>0</v>
      </c>
    </row>
    <row r="1160" spans="1:32">
      <c r="A1160">
        <v>339</v>
      </c>
      <c r="B1160">
        <v>805</v>
      </c>
      <c r="C1160" t="s">
        <v>615</v>
      </c>
      <c r="D1160" t="s">
        <v>1059</v>
      </c>
      <c r="E1160" t="s">
        <v>2165</v>
      </c>
      <c r="F1160" t="s">
        <v>6</v>
      </c>
      <c r="G1160" t="s">
        <v>2616</v>
      </c>
      <c r="H1160" t="s">
        <v>191</v>
      </c>
      <c r="I1160" t="s">
        <v>436</v>
      </c>
      <c r="J1160" t="s">
        <v>376</v>
      </c>
      <c r="K1160" t="s">
        <v>617</v>
      </c>
      <c r="L1160" s="84">
        <v>42694</v>
      </c>
      <c r="M1160" t="s">
        <v>325</v>
      </c>
      <c r="N1160" t="s">
        <v>1311</v>
      </c>
      <c r="O1160">
        <v>2</v>
      </c>
      <c r="P1160" t="s">
        <v>618</v>
      </c>
      <c r="Q1160" t="s">
        <v>457</v>
      </c>
      <c r="R1160" t="s">
        <v>619</v>
      </c>
      <c r="S1160" t="s">
        <v>620</v>
      </c>
      <c r="T1160" t="s">
        <v>34</v>
      </c>
      <c r="U1160" t="s">
        <v>79</v>
      </c>
      <c r="V1160">
        <v>57</v>
      </c>
      <c r="W1160">
        <v>82</v>
      </c>
      <c r="X1160">
        <v>122</v>
      </c>
      <c r="Y1160">
        <v>91</v>
      </c>
      <c r="Z1160">
        <v>184</v>
      </c>
      <c r="AA1160">
        <v>142</v>
      </c>
      <c r="AB1160" t="s">
        <v>413</v>
      </c>
      <c r="AC1160" t="s">
        <v>212</v>
      </c>
      <c r="AD1160" t="s">
        <v>210</v>
      </c>
      <c r="AE1160" t="s">
        <v>183</v>
      </c>
      <c r="AF1160">
        <v>0</v>
      </c>
    </row>
    <row r="1161" spans="1:32">
      <c r="A1161">
        <v>339</v>
      </c>
      <c r="B1161">
        <v>805</v>
      </c>
      <c r="C1161" t="s">
        <v>615</v>
      </c>
      <c r="D1161" t="s">
        <v>1059</v>
      </c>
      <c r="E1161" t="s">
        <v>2165</v>
      </c>
      <c r="F1161" t="s">
        <v>197</v>
      </c>
      <c r="G1161" t="s">
        <v>2617</v>
      </c>
      <c r="H1161" t="s">
        <v>192</v>
      </c>
      <c r="I1161" t="s">
        <v>192</v>
      </c>
      <c r="J1161" t="s">
        <v>192</v>
      </c>
      <c r="K1161" t="s">
        <v>617</v>
      </c>
      <c r="L1161" s="84">
        <v>42694</v>
      </c>
      <c r="M1161" t="s">
        <v>325</v>
      </c>
      <c r="N1161" t="s">
        <v>1311</v>
      </c>
      <c r="O1161">
        <v>2</v>
      </c>
      <c r="P1161" t="s">
        <v>618</v>
      </c>
      <c r="Q1161" t="s">
        <v>457</v>
      </c>
      <c r="R1161" t="s">
        <v>619</v>
      </c>
      <c r="S1161" t="s">
        <v>620</v>
      </c>
      <c r="T1161" t="s">
        <v>38</v>
      </c>
      <c r="U1161" t="s">
        <v>79</v>
      </c>
      <c r="V1161">
        <v>57</v>
      </c>
      <c r="W1161">
        <v>82</v>
      </c>
      <c r="X1161">
        <v>122</v>
      </c>
      <c r="Y1161">
        <v>91</v>
      </c>
      <c r="Z1161">
        <v>184</v>
      </c>
      <c r="AA1161">
        <v>142</v>
      </c>
      <c r="AB1161" t="s">
        <v>413</v>
      </c>
      <c r="AC1161" t="s">
        <v>212</v>
      </c>
      <c r="AD1161" t="s">
        <v>210</v>
      </c>
      <c r="AE1161" t="s">
        <v>183</v>
      </c>
      <c r="AF1161">
        <v>0</v>
      </c>
    </row>
    <row r="1162" spans="1:32">
      <c r="A1162">
        <v>339</v>
      </c>
      <c r="B1162">
        <v>805</v>
      </c>
      <c r="C1162" t="s">
        <v>615</v>
      </c>
      <c r="D1162" t="s">
        <v>1059</v>
      </c>
      <c r="E1162" t="s">
        <v>2165</v>
      </c>
      <c r="F1162" t="s">
        <v>193</v>
      </c>
      <c r="G1162" t="s">
        <v>2618</v>
      </c>
      <c r="H1162" t="s">
        <v>192</v>
      </c>
      <c r="I1162" t="s">
        <v>212</v>
      </c>
      <c r="J1162" t="s">
        <v>212</v>
      </c>
      <c r="K1162" t="s">
        <v>617</v>
      </c>
      <c r="L1162" s="84">
        <v>42694</v>
      </c>
      <c r="M1162" t="s">
        <v>325</v>
      </c>
      <c r="N1162" t="s">
        <v>1311</v>
      </c>
      <c r="O1162">
        <v>2</v>
      </c>
      <c r="P1162" t="s">
        <v>618</v>
      </c>
      <c r="Q1162" t="s">
        <v>457</v>
      </c>
      <c r="R1162" t="s">
        <v>619</v>
      </c>
      <c r="S1162" t="s">
        <v>620</v>
      </c>
      <c r="T1162" t="s">
        <v>36</v>
      </c>
      <c r="U1162" t="s">
        <v>79</v>
      </c>
      <c r="V1162">
        <v>57</v>
      </c>
      <c r="W1162">
        <v>82</v>
      </c>
      <c r="X1162">
        <v>122</v>
      </c>
      <c r="Y1162">
        <v>91</v>
      </c>
      <c r="Z1162">
        <v>184</v>
      </c>
      <c r="AA1162">
        <v>142</v>
      </c>
      <c r="AB1162" t="s">
        <v>413</v>
      </c>
      <c r="AC1162" t="s">
        <v>212</v>
      </c>
      <c r="AD1162" t="s">
        <v>210</v>
      </c>
      <c r="AE1162" t="s">
        <v>183</v>
      </c>
      <c r="AF1162">
        <v>0</v>
      </c>
    </row>
    <row r="1163" spans="1:32">
      <c r="A1163">
        <v>339</v>
      </c>
      <c r="B1163">
        <v>805</v>
      </c>
      <c r="C1163" t="s">
        <v>615</v>
      </c>
      <c r="D1163" t="s">
        <v>1059</v>
      </c>
      <c r="E1163" t="s">
        <v>2165</v>
      </c>
      <c r="F1163" t="s">
        <v>37</v>
      </c>
      <c r="G1163" t="s">
        <v>2619</v>
      </c>
      <c r="H1163" t="s">
        <v>1701</v>
      </c>
      <c r="I1163" t="s">
        <v>212</v>
      </c>
      <c r="J1163" t="s">
        <v>192</v>
      </c>
      <c r="K1163" t="s">
        <v>617</v>
      </c>
      <c r="L1163" s="84">
        <v>42694</v>
      </c>
      <c r="M1163" t="s">
        <v>325</v>
      </c>
      <c r="N1163" t="s">
        <v>1311</v>
      </c>
      <c r="O1163">
        <v>2</v>
      </c>
      <c r="P1163" t="s">
        <v>618</v>
      </c>
      <c r="Q1163" t="s">
        <v>457</v>
      </c>
      <c r="R1163" t="s">
        <v>619</v>
      </c>
      <c r="S1163" t="s">
        <v>620</v>
      </c>
      <c r="T1163" t="s">
        <v>37</v>
      </c>
      <c r="U1163" t="s">
        <v>79</v>
      </c>
      <c r="V1163">
        <v>57</v>
      </c>
      <c r="W1163">
        <v>82</v>
      </c>
      <c r="X1163">
        <v>122</v>
      </c>
      <c r="Y1163">
        <v>91</v>
      </c>
      <c r="Z1163">
        <v>184</v>
      </c>
      <c r="AA1163">
        <v>142</v>
      </c>
      <c r="AB1163" t="s">
        <v>413</v>
      </c>
      <c r="AC1163" t="s">
        <v>212</v>
      </c>
      <c r="AD1163" t="s">
        <v>210</v>
      </c>
      <c r="AE1163" t="s">
        <v>183</v>
      </c>
      <c r="AF1163">
        <v>0</v>
      </c>
    </row>
    <row r="1164" spans="1:32">
      <c r="A1164">
        <v>340</v>
      </c>
      <c r="B1164">
        <v>833</v>
      </c>
      <c r="C1164" t="s">
        <v>727</v>
      </c>
      <c r="D1164" t="s">
        <v>1059</v>
      </c>
      <c r="E1164" t="s">
        <v>2165</v>
      </c>
      <c r="F1164" t="s">
        <v>37</v>
      </c>
      <c r="G1164" t="s">
        <v>2620</v>
      </c>
      <c r="H1164" t="s">
        <v>1701</v>
      </c>
      <c r="I1164" t="s">
        <v>212</v>
      </c>
      <c r="J1164" t="s">
        <v>192</v>
      </c>
      <c r="K1164" t="s">
        <v>728</v>
      </c>
      <c r="L1164" s="84">
        <v>41729</v>
      </c>
      <c r="M1164" t="s">
        <v>175</v>
      </c>
      <c r="N1164" t="s">
        <v>729</v>
      </c>
      <c r="O1164">
        <v>9</v>
      </c>
      <c r="P1164" t="s">
        <v>730</v>
      </c>
      <c r="Q1164" t="s">
        <v>731</v>
      </c>
      <c r="R1164" t="s">
        <v>732</v>
      </c>
      <c r="S1164" t="s">
        <v>733</v>
      </c>
      <c r="T1164" t="s">
        <v>37</v>
      </c>
      <c r="U1164" t="s">
        <v>85</v>
      </c>
      <c r="V1164">
        <v>60</v>
      </c>
      <c r="W1164">
        <v>82</v>
      </c>
      <c r="X1164">
        <v>122</v>
      </c>
      <c r="Y1164">
        <v>89</v>
      </c>
      <c r="Z1164">
        <v>184</v>
      </c>
      <c r="AA1164">
        <v>139</v>
      </c>
      <c r="AB1164" t="s">
        <v>1267</v>
      </c>
      <c r="AC1164" t="s">
        <v>237</v>
      </c>
      <c r="AD1164" t="s">
        <v>210</v>
      </c>
      <c r="AE1164" t="s">
        <v>183</v>
      </c>
      <c r="AF1164">
        <v>0</v>
      </c>
    </row>
    <row r="1165" spans="1:32">
      <c r="A1165">
        <v>340</v>
      </c>
      <c r="B1165">
        <v>833</v>
      </c>
      <c r="C1165" t="s">
        <v>727</v>
      </c>
      <c r="D1165" t="s">
        <v>1059</v>
      </c>
      <c r="E1165" t="s">
        <v>2165</v>
      </c>
      <c r="F1165" t="s">
        <v>193</v>
      </c>
      <c r="G1165" t="s">
        <v>2621</v>
      </c>
      <c r="H1165" t="s">
        <v>188</v>
      </c>
      <c r="I1165" t="s">
        <v>212</v>
      </c>
      <c r="J1165" t="s">
        <v>212</v>
      </c>
      <c r="K1165" t="s">
        <v>728</v>
      </c>
      <c r="L1165" s="84">
        <v>41729</v>
      </c>
      <c r="M1165" t="s">
        <v>175</v>
      </c>
      <c r="N1165" t="s">
        <v>729</v>
      </c>
      <c r="O1165">
        <v>9</v>
      </c>
      <c r="P1165" t="s">
        <v>730</v>
      </c>
      <c r="Q1165" t="s">
        <v>731</v>
      </c>
      <c r="R1165" t="s">
        <v>732</v>
      </c>
      <c r="S1165" t="s">
        <v>733</v>
      </c>
      <c r="T1165" t="s">
        <v>36</v>
      </c>
      <c r="U1165" t="s">
        <v>85</v>
      </c>
      <c r="V1165">
        <v>60</v>
      </c>
      <c r="W1165">
        <v>82</v>
      </c>
      <c r="X1165">
        <v>122</v>
      </c>
      <c r="Y1165">
        <v>89</v>
      </c>
      <c r="Z1165">
        <v>184</v>
      </c>
      <c r="AA1165">
        <v>139</v>
      </c>
      <c r="AB1165" t="s">
        <v>1267</v>
      </c>
      <c r="AC1165" t="s">
        <v>237</v>
      </c>
      <c r="AD1165" t="s">
        <v>210</v>
      </c>
      <c r="AE1165" t="s">
        <v>183</v>
      </c>
      <c r="AF1165">
        <v>0</v>
      </c>
    </row>
    <row r="1166" spans="1:32">
      <c r="A1166">
        <v>340</v>
      </c>
      <c r="B1166">
        <v>833</v>
      </c>
      <c r="C1166" t="s">
        <v>727</v>
      </c>
      <c r="D1166" t="s">
        <v>1059</v>
      </c>
      <c r="E1166" t="s">
        <v>2165</v>
      </c>
      <c r="F1166" t="s">
        <v>197</v>
      </c>
      <c r="G1166" t="s">
        <v>2622</v>
      </c>
      <c r="H1166" t="s">
        <v>188</v>
      </c>
      <c r="I1166" t="s">
        <v>192</v>
      </c>
      <c r="J1166" t="s">
        <v>212</v>
      </c>
      <c r="K1166" t="s">
        <v>728</v>
      </c>
      <c r="L1166" s="84">
        <v>41729</v>
      </c>
      <c r="M1166" t="s">
        <v>175</v>
      </c>
      <c r="N1166" t="s">
        <v>729</v>
      </c>
      <c r="O1166">
        <v>9</v>
      </c>
      <c r="P1166" t="s">
        <v>730</v>
      </c>
      <c r="Q1166" t="s">
        <v>731</v>
      </c>
      <c r="R1166" t="s">
        <v>732</v>
      </c>
      <c r="S1166" t="s">
        <v>733</v>
      </c>
      <c r="T1166" t="s">
        <v>38</v>
      </c>
      <c r="U1166" t="s">
        <v>85</v>
      </c>
      <c r="V1166">
        <v>60</v>
      </c>
      <c r="W1166">
        <v>82</v>
      </c>
      <c r="X1166">
        <v>122</v>
      </c>
      <c r="Y1166">
        <v>89</v>
      </c>
      <c r="Z1166">
        <v>184</v>
      </c>
      <c r="AA1166">
        <v>139</v>
      </c>
      <c r="AB1166" t="s">
        <v>1267</v>
      </c>
      <c r="AC1166" t="s">
        <v>237</v>
      </c>
      <c r="AD1166" t="s">
        <v>210</v>
      </c>
      <c r="AE1166" t="s">
        <v>183</v>
      </c>
      <c r="AF1166">
        <v>0</v>
      </c>
    </row>
    <row r="1167" spans="1:32">
      <c r="A1167">
        <v>340</v>
      </c>
      <c r="B1167">
        <v>833</v>
      </c>
      <c r="C1167" t="s">
        <v>727</v>
      </c>
      <c r="D1167" t="s">
        <v>1059</v>
      </c>
      <c r="E1167" t="s">
        <v>2165</v>
      </c>
      <c r="F1167" t="s">
        <v>6</v>
      </c>
      <c r="G1167" t="s">
        <v>2623</v>
      </c>
      <c r="H1167" t="s">
        <v>185</v>
      </c>
      <c r="I1167" t="s">
        <v>256</v>
      </c>
      <c r="J1167" t="s">
        <v>256</v>
      </c>
      <c r="K1167" t="s">
        <v>728</v>
      </c>
      <c r="L1167" s="84">
        <v>41729</v>
      </c>
      <c r="M1167" t="s">
        <v>175</v>
      </c>
      <c r="N1167" t="s">
        <v>729</v>
      </c>
      <c r="O1167">
        <v>9</v>
      </c>
      <c r="P1167" t="s">
        <v>730</v>
      </c>
      <c r="Q1167" t="s">
        <v>731</v>
      </c>
      <c r="R1167" t="s">
        <v>732</v>
      </c>
      <c r="S1167" t="s">
        <v>733</v>
      </c>
      <c r="T1167" t="s">
        <v>34</v>
      </c>
      <c r="U1167" t="s">
        <v>85</v>
      </c>
      <c r="V1167">
        <v>60</v>
      </c>
      <c r="W1167">
        <v>82</v>
      </c>
      <c r="X1167">
        <v>122</v>
      </c>
      <c r="Y1167">
        <v>89</v>
      </c>
      <c r="Z1167">
        <v>184</v>
      </c>
      <c r="AA1167">
        <v>139</v>
      </c>
      <c r="AB1167" t="s">
        <v>1267</v>
      </c>
      <c r="AC1167" t="s">
        <v>237</v>
      </c>
      <c r="AD1167" t="s">
        <v>210</v>
      </c>
      <c r="AE1167" t="s">
        <v>183</v>
      </c>
      <c r="AF1167">
        <v>0</v>
      </c>
    </row>
    <row r="1168" spans="1:32">
      <c r="A1168">
        <v>340</v>
      </c>
      <c r="B1168">
        <v>833</v>
      </c>
      <c r="C1168" t="s">
        <v>727</v>
      </c>
      <c r="D1168" t="s">
        <v>1059</v>
      </c>
      <c r="E1168" t="s">
        <v>2165</v>
      </c>
      <c r="F1168" t="s">
        <v>7</v>
      </c>
      <c r="G1168" t="s">
        <v>2624</v>
      </c>
      <c r="H1168" t="s">
        <v>260</v>
      </c>
      <c r="I1168" t="s">
        <v>218</v>
      </c>
      <c r="J1168" t="s">
        <v>275</v>
      </c>
      <c r="K1168" t="s">
        <v>728</v>
      </c>
      <c r="L1168" s="84">
        <v>41729</v>
      </c>
      <c r="M1168" t="s">
        <v>175</v>
      </c>
      <c r="N1168" t="s">
        <v>729</v>
      </c>
      <c r="O1168">
        <v>9</v>
      </c>
      <c r="P1168" t="s">
        <v>730</v>
      </c>
      <c r="Q1168" t="s">
        <v>731</v>
      </c>
      <c r="R1168" t="s">
        <v>732</v>
      </c>
      <c r="S1168" t="s">
        <v>733</v>
      </c>
      <c r="T1168" t="s">
        <v>32</v>
      </c>
      <c r="U1168" t="s">
        <v>85</v>
      </c>
      <c r="V1168">
        <v>60</v>
      </c>
      <c r="W1168">
        <v>82</v>
      </c>
      <c r="X1168">
        <v>122</v>
      </c>
      <c r="Y1168">
        <v>89</v>
      </c>
      <c r="Z1168">
        <v>184</v>
      </c>
      <c r="AA1168">
        <v>139</v>
      </c>
      <c r="AB1168" t="s">
        <v>1267</v>
      </c>
      <c r="AC1168" t="s">
        <v>237</v>
      </c>
      <c r="AD1168" t="s">
        <v>210</v>
      </c>
      <c r="AE1168" t="s">
        <v>183</v>
      </c>
      <c r="AF1168">
        <v>0</v>
      </c>
    </row>
    <row r="1169" spans="1:32">
      <c r="A1169">
        <v>340</v>
      </c>
      <c r="B1169">
        <v>833</v>
      </c>
      <c r="C1169" t="s">
        <v>727</v>
      </c>
      <c r="D1169" t="s">
        <v>1059</v>
      </c>
      <c r="E1169" t="s">
        <v>2165</v>
      </c>
      <c r="F1169" t="s">
        <v>8</v>
      </c>
      <c r="G1169" t="s">
        <v>2625</v>
      </c>
      <c r="H1169" t="s">
        <v>236</v>
      </c>
      <c r="I1169" t="s">
        <v>218</v>
      </c>
      <c r="J1169" t="s">
        <v>274</v>
      </c>
      <c r="K1169" t="s">
        <v>728</v>
      </c>
      <c r="L1169" s="84">
        <v>41729</v>
      </c>
      <c r="M1169" t="s">
        <v>175</v>
      </c>
      <c r="N1169" t="s">
        <v>729</v>
      </c>
      <c r="O1169">
        <v>9</v>
      </c>
      <c r="P1169" t="s">
        <v>730</v>
      </c>
      <c r="Q1169" t="s">
        <v>731</v>
      </c>
      <c r="R1169" t="s">
        <v>732</v>
      </c>
      <c r="S1169" t="s">
        <v>733</v>
      </c>
      <c r="T1169" t="s">
        <v>31</v>
      </c>
      <c r="U1169" t="s">
        <v>85</v>
      </c>
      <c r="V1169">
        <v>60</v>
      </c>
      <c r="W1169">
        <v>82</v>
      </c>
      <c r="X1169">
        <v>122</v>
      </c>
      <c r="Y1169">
        <v>89</v>
      </c>
      <c r="Z1169">
        <v>184</v>
      </c>
      <c r="AA1169">
        <v>139</v>
      </c>
      <c r="AB1169" t="s">
        <v>1267</v>
      </c>
      <c r="AC1169" t="s">
        <v>237</v>
      </c>
      <c r="AD1169" t="s">
        <v>210</v>
      </c>
      <c r="AE1169" t="s">
        <v>183</v>
      </c>
      <c r="AF1169">
        <v>0</v>
      </c>
    </row>
    <row r="1170" spans="1:32">
      <c r="A1170">
        <v>340</v>
      </c>
      <c r="B1170">
        <v>833</v>
      </c>
      <c r="C1170" t="s">
        <v>727</v>
      </c>
      <c r="D1170" t="s">
        <v>1059</v>
      </c>
      <c r="E1170" t="s">
        <v>2165</v>
      </c>
      <c r="F1170" t="s">
        <v>5</v>
      </c>
      <c r="G1170" t="s">
        <v>2626</v>
      </c>
      <c r="H1170" t="s">
        <v>220</v>
      </c>
      <c r="I1170" t="s">
        <v>228</v>
      </c>
      <c r="J1170" t="s">
        <v>236</v>
      </c>
      <c r="K1170" t="s">
        <v>728</v>
      </c>
      <c r="L1170" s="84">
        <v>41729</v>
      </c>
      <c r="M1170" t="s">
        <v>175</v>
      </c>
      <c r="N1170" t="s">
        <v>729</v>
      </c>
      <c r="O1170">
        <v>9</v>
      </c>
      <c r="P1170" t="s">
        <v>730</v>
      </c>
      <c r="Q1170" t="s">
        <v>731</v>
      </c>
      <c r="R1170" t="s">
        <v>732</v>
      </c>
      <c r="S1170" t="s">
        <v>733</v>
      </c>
      <c r="T1170" t="s">
        <v>33</v>
      </c>
      <c r="U1170" t="s">
        <v>85</v>
      </c>
      <c r="V1170">
        <v>60</v>
      </c>
      <c r="W1170">
        <v>82</v>
      </c>
      <c r="X1170">
        <v>122</v>
      </c>
      <c r="Y1170">
        <v>89</v>
      </c>
      <c r="Z1170">
        <v>184</v>
      </c>
      <c r="AA1170">
        <v>139</v>
      </c>
      <c r="AB1170" t="s">
        <v>1267</v>
      </c>
      <c r="AC1170" t="s">
        <v>237</v>
      </c>
      <c r="AD1170" t="s">
        <v>210</v>
      </c>
      <c r="AE1170" t="s">
        <v>183</v>
      </c>
      <c r="AF1170">
        <v>0</v>
      </c>
    </row>
    <row r="1171" spans="1:32">
      <c r="A1171">
        <v>341</v>
      </c>
      <c r="B1171">
        <v>948</v>
      </c>
      <c r="C1171" t="s">
        <v>626</v>
      </c>
      <c r="D1171" t="s">
        <v>1059</v>
      </c>
      <c r="E1171" t="s">
        <v>2165</v>
      </c>
      <c r="F1171" t="s">
        <v>5</v>
      </c>
      <c r="G1171" t="s">
        <v>2627</v>
      </c>
      <c r="H1171" t="s">
        <v>297</v>
      </c>
      <c r="I1171" t="s">
        <v>275</v>
      </c>
      <c r="J1171" t="s">
        <v>497</v>
      </c>
      <c r="K1171" t="s">
        <v>628</v>
      </c>
      <c r="L1171" s="84">
        <v>42059</v>
      </c>
      <c r="M1171" t="s">
        <v>381</v>
      </c>
      <c r="N1171" t="s">
        <v>1366</v>
      </c>
      <c r="O1171">
        <v>2</v>
      </c>
      <c r="P1171" t="s">
        <v>629</v>
      </c>
      <c r="Q1171" t="s">
        <v>1367</v>
      </c>
      <c r="R1171" t="s">
        <v>630</v>
      </c>
      <c r="S1171" t="s">
        <v>631</v>
      </c>
      <c r="T1171" t="s">
        <v>33</v>
      </c>
      <c r="U1171" t="s">
        <v>79</v>
      </c>
      <c r="V1171">
        <v>76</v>
      </c>
      <c r="W1171">
        <v>82</v>
      </c>
      <c r="X1171">
        <v>122</v>
      </c>
      <c r="Y1171">
        <v>113</v>
      </c>
      <c r="Z1171">
        <v>184</v>
      </c>
      <c r="AA1171">
        <v>168</v>
      </c>
      <c r="AB1171" t="s">
        <v>696</v>
      </c>
      <c r="AC1171" t="s">
        <v>171</v>
      </c>
      <c r="AD1171" t="s">
        <v>210</v>
      </c>
      <c r="AE1171" t="s">
        <v>183</v>
      </c>
      <c r="AF1171">
        <v>0</v>
      </c>
    </row>
    <row r="1172" spans="1:32">
      <c r="A1172">
        <v>341</v>
      </c>
      <c r="B1172">
        <v>948</v>
      </c>
      <c r="C1172" t="s">
        <v>626</v>
      </c>
      <c r="D1172" t="s">
        <v>1059</v>
      </c>
      <c r="E1172" t="s">
        <v>2165</v>
      </c>
      <c r="F1172" t="s">
        <v>8</v>
      </c>
      <c r="G1172" t="s">
        <v>2628</v>
      </c>
      <c r="H1172" t="s">
        <v>260</v>
      </c>
      <c r="I1172" t="s">
        <v>236</v>
      </c>
      <c r="J1172" t="s">
        <v>221</v>
      </c>
      <c r="K1172" t="s">
        <v>628</v>
      </c>
      <c r="L1172" s="84">
        <v>42059</v>
      </c>
      <c r="M1172" t="s">
        <v>381</v>
      </c>
      <c r="N1172" t="s">
        <v>1366</v>
      </c>
      <c r="O1172">
        <v>2</v>
      </c>
      <c r="P1172" t="s">
        <v>629</v>
      </c>
      <c r="Q1172" t="s">
        <v>1367</v>
      </c>
      <c r="R1172" t="s">
        <v>630</v>
      </c>
      <c r="S1172" t="s">
        <v>631</v>
      </c>
      <c r="T1172" t="s">
        <v>31</v>
      </c>
      <c r="U1172" t="s">
        <v>79</v>
      </c>
      <c r="V1172">
        <v>76</v>
      </c>
      <c r="W1172">
        <v>82</v>
      </c>
      <c r="X1172">
        <v>122</v>
      </c>
      <c r="Y1172">
        <v>113</v>
      </c>
      <c r="Z1172">
        <v>184</v>
      </c>
      <c r="AA1172">
        <v>168</v>
      </c>
      <c r="AB1172" t="s">
        <v>696</v>
      </c>
      <c r="AC1172" t="s">
        <v>171</v>
      </c>
      <c r="AD1172" t="s">
        <v>210</v>
      </c>
      <c r="AE1172" t="s">
        <v>183</v>
      </c>
      <c r="AF1172">
        <v>0</v>
      </c>
    </row>
    <row r="1173" spans="1:32">
      <c r="A1173">
        <v>341</v>
      </c>
      <c r="B1173">
        <v>948</v>
      </c>
      <c r="C1173" t="s">
        <v>626</v>
      </c>
      <c r="D1173" t="s">
        <v>1059</v>
      </c>
      <c r="E1173" t="s">
        <v>2165</v>
      </c>
      <c r="F1173" t="s">
        <v>7</v>
      </c>
      <c r="G1173" t="s">
        <v>2629</v>
      </c>
      <c r="H1173" t="s">
        <v>216</v>
      </c>
      <c r="I1173" t="s">
        <v>297</v>
      </c>
      <c r="J1173" t="s">
        <v>189</v>
      </c>
      <c r="K1173" t="s">
        <v>628</v>
      </c>
      <c r="L1173" s="84">
        <v>42059</v>
      </c>
      <c r="M1173" t="s">
        <v>381</v>
      </c>
      <c r="N1173" t="s">
        <v>1366</v>
      </c>
      <c r="O1173">
        <v>2</v>
      </c>
      <c r="P1173" t="s">
        <v>629</v>
      </c>
      <c r="Q1173" t="s">
        <v>1367</v>
      </c>
      <c r="R1173" t="s">
        <v>630</v>
      </c>
      <c r="S1173" t="s">
        <v>631</v>
      </c>
      <c r="T1173" t="s">
        <v>32</v>
      </c>
      <c r="U1173" t="s">
        <v>79</v>
      </c>
      <c r="V1173">
        <v>76</v>
      </c>
      <c r="W1173">
        <v>82</v>
      </c>
      <c r="X1173">
        <v>122</v>
      </c>
      <c r="Y1173">
        <v>113</v>
      </c>
      <c r="Z1173">
        <v>184</v>
      </c>
      <c r="AA1173">
        <v>168</v>
      </c>
      <c r="AB1173" t="s">
        <v>696</v>
      </c>
      <c r="AC1173" t="s">
        <v>171</v>
      </c>
      <c r="AD1173" t="s">
        <v>210</v>
      </c>
      <c r="AE1173" t="s">
        <v>183</v>
      </c>
      <c r="AF1173">
        <v>0</v>
      </c>
    </row>
    <row r="1174" spans="1:32">
      <c r="A1174">
        <v>341</v>
      </c>
      <c r="B1174">
        <v>948</v>
      </c>
      <c r="C1174" t="s">
        <v>626</v>
      </c>
      <c r="D1174" t="s">
        <v>1059</v>
      </c>
      <c r="E1174" t="s">
        <v>2165</v>
      </c>
      <c r="F1174" t="s">
        <v>6</v>
      </c>
      <c r="G1174" t="s">
        <v>2630</v>
      </c>
      <c r="H1174" t="s">
        <v>191</v>
      </c>
      <c r="I1174" t="s">
        <v>185</v>
      </c>
      <c r="J1174" t="s">
        <v>256</v>
      </c>
      <c r="K1174" t="s">
        <v>628</v>
      </c>
      <c r="L1174" s="84">
        <v>42059</v>
      </c>
      <c r="M1174" t="s">
        <v>381</v>
      </c>
      <c r="N1174" t="s">
        <v>1366</v>
      </c>
      <c r="O1174">
        <v>2</v>
      </c>
      <c r="P1174" t="s">
        <v>629</v>
      </c>
      <c r="Q1174" t="s">
        <v>1367</v>
      </c>
      <c r="R1174" t="s">
        <v>630</v>
      </c>
      <c r="S1174" t="s">
        <v>631</v>
      </c>
      <c r="T1174" t="s">
        <v>34</v>
      </c>
      <c r="U1174" t="s">
        <v>79</v>
      </c>
      <c r="V1174">
        <v>76</v>
      </c>
      <c r="W1174">
        <v>82</v>
      </c>
      <c r="X1174">
        <v>122</v>
      </c>
      <c r="Y1174">
        <v>113</v>
      </c>
      <c r="Z1174">
        <v>184</v>
      </c>
      <c r="AA1174">
        <v>168</v>
      </c>
      <c r="AB1174" t="s">
        <v>696</v>
      </c>
      <c r="AC1174" t="s">
        <v>171</v>
      </c>
      <c r="AD1174" t="s">
        <v>210</v>
      </c>
      <c r="AE1174" t="s">
        <v>183</v>
      </c>
      <c r="AF1174">
        <v>0</v>
      </c>
    </row>
    <row r="1175" spans="1:32">
      <c r="A1175">
        <v>341</v>
      </c>
      <c r="B1175">
        <v>948</v>
      </c>
      <c r="C1175" t="s">
        <v>626</v>
      </c>
      <c r="D1175" t="s">
        <v>1059</v>
      </c>
      <c r="E1175" t="s">
        <v>2165</v>
      </c>
      <c r="F1175" t="s">
        <v>197</v>
      </c>
      <c r="G1175" t="s">
        <v>2631</v>
      </c>
      <c r="H1175" t="s">
        <v>192</v>
      </c>
      <c r="I1175" t="s">
        <v>192</v>
      </c>
      <c r="J1175" t="s">
        <v>212</v>
      </c>
      <c r="K1175" t="s">
        <v>628</v>
      </c>
      <c r="L1175" s="84">
        <v>42059</v>
      </c>
      <c r="M1175" t="s">
        <v>381</v>
      </c>
      <c r="N1175" t="s">
        <v>1366</v>
      </c>
      <c r="O1175">
        <v>2</v>
      </c>
      <c r="P1175" t="s">
        <v>629</v>
      </c>
      <c r="Q1175" t="s">
        <v>1367</v>
      </c>
      <c r="R1175" t="s">
        <v>630</v>
      </c>
      <c r="S1175" t="s">
        <v>631</v>
      </c>
      <c r="T1175" t="s">
        <v>38</v>
      </c>
      <c r="U1175" t="s">
        <v>79</v>
      </c>
      <c r="V1175">
        <v>76</v>
      </c>
      <c r="W1175">
        <v>82</v>
      </c>
      <c r="X1175">
        <v>122</v>
      </c>
      <c r="Y1175">
        <v>113</v>
      </c>
      <c r="Z1175">
        <v>184</v>
      </c>
      <c r="AA1175">
        <v>168</v>
      </c>
      <c r="AB1175" t="s">
        <v>696</v>
      </c>
      <c r="AC1175" t="s">
        <v>171</v>
      </c>
      <c r="AD1175" t="s">
        <v>210</v>
      </c>
      <c r="AE1175" t="s">
        <v>183</v>
      </c>
      <c r="AF1175">
        <v>0</v>
      </c>
    </row>
    <row r="1176" spans="1:32">
      <c r="A1176">
        <v>341</v>
      </c>
      <c r="B1176">
        <v>948</v>
      </c>
      <c r="C1176" t="s">
        <v>626</v>
      </c>
      <c r="D1176" t="s">
        <v>1059</v>
      </c>
      <c r="E1176" t="s">
        <v>2165</v>
      </c>
      <c r="F1176" t="s">
        <v>193</v>
      </c>
      <c r="G1176" t="s">
        <v>2632</v>
      </c>
      <c r="H1176" t="s">
        <v>192</v>
      </c>
      <c r="I1176" t="s">
        <v>212</v>
      </c>
      <c r="J1176" t="s">
        <v>192</v>
      </c>
      <c r="K1176" t="s">
        <v>628</v>
      </c>
      <c r="L1176" s="84">
        <v>42059</v>
      </c>
      <c r="M1176" t="s">
        <v>381</v>
      </c>
      <c r="N1176" t="s">
        <v>1366</v>
      </c>
      <c r="O1176">
        <v>2</v>
      </c>
      <c r="P1176" t="s">
        <v>629</v>
      </c>
      <c r="Q1176" t="s">
        <v>1367</v>
      </c>
      <c r="R1176" t="s">
        <v>630</v>
      </c>
      <c r="S1176" t="s">
        <v>631</v>
      </c>
      <c r="T1176" t="s">
        <v>36</v>
      </c>
      <c r="U1176" t="s">
        <v>79</v>
      </c>
      <c r="V1176">
        <v>76</v>
      </c>
      <c r="W1176">
        <v>82</v>
      </c>
      <c r="X1176">
        <v>122</v>
      </c>
      <c r="Y1176">
        <v>113</v>
      </c>
      <c r="Z1176">
        <v>184</v>
      </c>
      <c r="AA1176">
        <v>168</v>
      </c>
      <c r="AB1176" t="s">
        <v>696</v>
      </c>
      <c r="AC1176" t="s">
        <v>171</v>
      </c>
      <c r="AD1176" t="s">
        <v>210</v>
      </c>
      <c r="AE1176" t="s">
        <v>183</v>
      </c>
      <c r="AF1176">
        <v>0</v>
      </c>
    </row>
    <row r="1177" spans="1:32">
      <c r="A1177">
        <v>341</v>
      </c>
      <c r="B1177">
        <v>948</v>
      </c>
      <c r="C1177" t="s">
        <v>626</v>
      </c>
      <c r="D1177" t="s">
        <v>1059</v>
      </c>
      <c r="E1177" t="s">
        <v>2165</v>
      </c>
      <c r="F1177" t="s">
        <v>37</v>
      </c>
      <c r="G1177" t="s">
        <v>2633</v>
      </c>
      <c r="H1177" t="s">
        <v>1701</v>
      </c>
      <c r="I1177" t="s">
        <v>212</v>
      </c>
      <c r="J1177" t="s">
        <v>192</v>
      </c>
      <c r="K1177" t="s">
        <v>628</v>
      </c>
      <c r="L1177" s="84">
        <v>42059</v>
      </c>
      <c r="M1177" t="s">
        <v>381</v>
      </c>
      <c r="N1177" t="s">
        <v>1366</v>
      </c>
      <c r="O1177">
        <v>2</v>
      </c>
      <c r="P1177" t="s">
        <v>629</v>
      </c>
      <c r="Q1177" t="s">
        <v>1367</v>
      </c>
      <c r="R1177" t="s">
        <v>630</v>
      </c>
      <c r="S1177" t="s">
        <v>631</v>
      </c>
      <c r="T1177" t="s">
        <v>37</v>
      </c>
      <c r="U1177" t="s">
        <v>79</v>
      </c>
      <c r="V1177">
        <v>76</v>
      </c>
      <c r="W1177">
        <v>82</v>
      </c>
      <c r="X1177">
        <v>122</v>
      </c>
      <c r="Y1177">
        <v>113</v>
      </c>
      <c r="Z1177">
        <v>184</v>
      </c>
      <c r="AA1177">
        <v>168</v>
      </c>
      <c r="AB1177" t="s">
        <v>696</v>
      </c>
      <c r="AC1177" t="s">
        <v>171</v>
      </c>
      <c r="AD1177" t="s">
        <v>210</v>
      </c>
      <c r="AE1177" t="s">
        <v>183</v>
      </c>
      <c r="AF1177">
        <v>0</v>
      </c>
    </row>
    <row r="1178" spans="1:32">
      <c r="A1178">
        <v>342</v>
      </c>
      <c r="B1178">
        <v>942</v>
      </c>
      <c r="C1178" t="s">
        <v>637</v>
      </c>
      <c r="D1178" t="s">
        <v>1059</v>
      </c>
      <c r="E1178" t="s">
        <v>2165</v>
      </c>
      <c r="F1178" t="s">
        <v>37</v>
      </c>
      <c r="G1178" t="s">
        <v>2634</v>
      </c>
      <c r="H1178" t="s">
        <v>1701</v>
      </c>
      <c r="I1178" t="s">
        <v>212</v>
      </c>
      <c r="J1178" t="s">
        <v>192</v>
      </c>
      <c r="K1178" t="s">
        <v>639</v>
      </c>
      <c r="L1178" s="84">
        <v>42408</v>
      </c>
      <c r="M1178" t="s">
        <v>352</v>
      </c>
      <c r="N1178" t="s">
        <v>640</v>
      </c>
      <c r="O1178">
        <v>1</v>
      </c>
      <c r="P1178" t="s">
        <v>641</v>
      </c>
      <c r="Q1178" t="s">
        <v>2066</v>
      </c>
      <c r="R1178" t="s">
        <v>642</v>
      </c>
      <c r="S1178" t="s">
        <v>643</v>
      </c>
      <c r="T1178" t="s">
        <v>37</v>
      </c>
      <c r="U1178" t="s">
        <v>78</v>
      </c>
      <c r="V1178">
        <v>49</v>
      </c>
      <c r="W1178">
        <v>82</v>
      </c>
      <c r="X1178">
        <v>122</v>
      </c>
      <c r="Y1178">
        <v>85</v>
      </c>
      <c r="Z1178">
        <v>184</v>
      </c>
      <c r="AA1178">
        <v>144</v>
      </c>
      <c r="AB1178" t="s">
        <v>479</v>
      </c>
      <c r="AC1178" t="s">
        <v>237</v>
      </c>
      <c r="AD1178" t="s">
        <v>210</v>
      </c>
      <c r="AE1178" t="s">
        <v>183</v>
      </c>
      <c r="AF1178">
        <v>4</v>
      </c>
    </row>
    <row r="1179" spans="1:32">
      <c r="A1179">
        <v>342</v>
      </c>
      <c r="B1179">
        <v>942</v>
      </c>
      <c r="C1179" t="s">
        <v>637</v>
      </c>
      <c r="D1179" t="s">
        <v>1059</v>
      </c>
      <c r="E1179" t="s">
        <v>2165</v>
      </c>
      <c r="F1179" t="s">
        <v>193</v>
      </c>
      <c r="G1179" t="s">
        <v>2635</v>
      </c>
      <c r="H1179" t="s">
        <v>212</v>
      </c>
      <c r="I1179" t="s">
        <v>212</v>
      </c>
      <c r="J1179" t="s">
        <v>192</v>
      </c>
      <c r="K1179" t="s">
        <v>639</v>
      </c>
      <c r="L1179" s="84">
        <v>42408</v>
      </c>
      <c r="M1179" t="s">
        <v>352</v>
      </c>
      <c r="N1179" t="s">
        <v>640</v>
      </c>
      <c r="O1179">
        <v>1</v>
      </c>
      <c r="P1179" t="s">
        <v>641</v>
      </c>
      <c r="Q1179" t="s">
        <v>2066</v>
      </c>
      <c r="R1179" t="s">
        <v>642</v>
      </c>
      <c r="S1179" t="s">
        <v>643</v>
      </c>
      <c r="T1179" t="s">
        <v>36</v>
      </c>
      <c r="U1179" t="s">
        <v>78</v>
      </c>
      <c r="V1179">
        <v>49</v>
      </c>
      <c r="W1179">
        <v>82</v>
      </c>
      <c r="X1179">
        <v>122</v>
      </c>
      <c r="Y1179">
        <v>85</v>
      </c>
      <c r="Z1179">
        <v>184</v>
      </c>
      <c r="AA1179">
        <v>144</v>
      </c>
      <c r="AB1179" t="s">
        <v>479</v>
      </c>
      <c r="AC1179" t="s">
        <v>237</v>
      </c>
      <c r="AD1179" t="s">
        <v>210</v>
      </c>
      <c r="AE1179" t="s">
        <v>183</v>
      </c>
      <c r="AF1179">
        <v>4</v>
      </c>
    </row>
    <row r="1180" spans="1:32">
      <c r="A1180">
        <v>342</v>
      </c>
      <c r="B1180">
        <v>942</v>
      </c>
      <c r="C1180" t="s">
        <v>637</v>
      </c>
      <c r="D1180" t="s">
        <v>1059</v>
      </c>
      <c r="E1180" t="s">
        <v>2165</v>
      </c>
      <c r="F1180" t="s">
        <v>197</v>
      </c>
      <c r="G1180" t="s">
        <v>2636</v>
      </c>
      <c r="H1180" t="s">
        <v>188</v>
      </c>
      <c r="I1180" t="s">
        <v>192</v>
      </c>
      <c r="J1180" t="s">
        <v>212</v>
      </c>
      <c r="K1180" t="s">
        <v>639</v>
      </c>
      <c r="L1180" s="84">
        <v>42408</v>
      </c>
      <c r="M1180" t="s">
        <v>352</v>
      </c>
      <c r="N1180" t="s">
        <v>640</v>
      </c>
      <c r="O1180">
        <v>1</v>
      </c>
      <c r="P1180" t="s">
        <v>641</v>
      </c>
      <c r="Q1180" t="s">
        <v>2066</v>
      </c>
      <c r="R1180" t="s">
        <v>642</v>
      </c>
      <c r="S1180" t="s">
        <v>643</v>
      </c>
      <c r="T1180" t="s">
        <v>38</v>
      </c>
      <c r="U1180" t="s">
        <v>78</v>
      </c>
      <c r="V1180">
        <v>49</v>
      </c>
      <c r="W1180">
        <v>82</v>
      </c>
      <c r="X1180">
        <v>122</v>
      </c>
      <c r="Y1180">
        <v>85</v>
      </c>
      <c r="Z1180">
        <v>184</v>
      </c>
      <c r="AA1180">
        <v>144</v>
      </c>
      <c r="AB1180" t="s">
        <v>479</v>
      </c>
      <c r="AC1180" t="s">
        <v>237</v>
      </c>
      <c r="AD1180" t="s">
        <v>210</v>
      </c>
      <c r="AE1180" t="s">
        <v>183</v>
      </c>
      <c r="AF1180">
        <v>4</v>
      </c>
    </row>
    <row r="1181" spans="1:32">
      <c r="A1181">
        <v>342</v>
      </c>
      <c r="B1181">
        <v>942</v>
      </c>
      <c r="C1181" t="s">
        <v>637</v>
      </c>
      <c r="D1181" t="s">
        <v>1059</v>
      </c>
      <c r="E1181" t="s">
        <v>2165</v>
      </c>
      <c r="F1181" t="s">
        <v>6</v>
      </c>
      <c r="G1181" t="s">
        <v>2637</v>
      </c>
      <c r="H1181" t="s">
        <v>330</v>
      </c>
      <c r="I1181" t="s">
        <v>223</v>
      </c>
      <c r="J1181" t="s">
        <v>187</v>
      </c>
      <c r="K1181" t="s">
        <v>639</v>
      </c>
      <c r="L1181" s="84">
        <v>42408</v>
      </c>
      <c r="M1181" t="s">
        <v>352</v>
      </c>
      <c r="N1181" t="s">
        <v>640</v>
      </c>
      <c r="O1181">
        <v>1</v>
      </c>
      <c r="P1181" t="s">
        <v>641</v>
      </c>
      <c r="Q1181" t="s">
        <v>2066</v>
      </c>
      <c r="R1181" t="s">
        <v>642</v>
      </c>
      <c r="S1181" t="s">
        <v>643</v>
      </c>
      <c r="T1181" t="s">
        <v>34</v>
      </c>
      <c r="U1181" t="s">
        <v>78</v>
      </c>
      <c r="V1181">
        <v>49</v>
      </c>
      <c r="W1181">
        <v>82</v>
      </c>
      <c r="X1181">
        <v>122</v>
      </c>
      <c r="Y1181">
        <v>85</v>
      </c>
      <c r="Z1181">
        <v>184</v>
      </c>
      <c r="AA1181">
        <v>144</v>
      </c>
      <c r="AB1181" t="s">
        <v>479</v>
      </c>
      <c r="AC1181" t="s">
        <v>237</v>
      </c>
      <c r="AD1181" t="s">
        <v>210</v>
      </c>
      <c r="AE1181" t="s">
        <v>183</v>
      </c>
      <c r="AF1181">
        <v>4</v>
      </c>
    </row>
    <row r="1182" spans="1:32">
      <c r="A1182">
        <v>342</v>
      </c>
      <c r="B1182">
        <v>942</v>
      </c>
      <c r="C1182" t="s">
        <v>637</v>
      </c>
      <c r="D1182" t="s">
        <v>1059</v>
      </c>
      <c r="E1182" t="s">
        <v>2165</v>
      </c>
      <c r="F1182" t="s">
        <v>7</v>
      </c>
      <c r="G1182" t="s">
        <v>2638</v>
      </c>
      <c r="H1182" t="s">
        <v>330</v>
      </c>
      <c r="I1182" t="s">
        <v>217</v>
      </c>
      <c r="J1182" t="s">
        <v>274</v>
      </c>
      <c r="K1182" t="s">
        <v>639</v>
      </c>
      <c r="L1182" s="84">
        <v>42408</v>
      </c>
      <c r="M1182" t="s">
        <v>352</v>
      </c>
      <c r="N1182" t="s">
        <v>640</v>
      </c>
      <c r="O1182">
        <v>1</v>
      </c>
      <c r="P1182" t="s">
        <v>641</v>
      </c>
      <c r="Q1182" t="s">
        <v>2066</v>
      </c>
      <c r="R1182" t="s">
        <v>642</v>
      </c>
      <c r="S1182" t="s">
        <v>643</v>
      </c>
      <c r="T1182" t="s">
        <v>32</v>
      </c>
      <c r="U1182" t="s">
        <v>78</v>
      </c>
      <c r="V1182">
        <v>49</v>
      </c>
      <c r="W1182">
        <v>82</v>
      </c>
      <c r="X1182">
        <v>122</v>
      </c>
      <c r="Y1182">
        <v>85</v>
      </c>
      <c r="Z1182">
        <v>184</v>
      </c>
      <c r="AA1182">
        <v>144</v>
      </c>
      <c r="AB1182" t="s">
        <v>479</v>
      </c>
      <c r="AC1182" t="s">
        <v>237</v>
      </c>
      <c r="AD1182" t="s">
        <v>210</v>
      </c>
      <c r="AE1182" t="s">
        <v>183</v>
      </c>
      <c r="AF1182">
        <v>4</v>
      </c>
    </row>
    <row r="1183" spans="1:32">
      <c r="A1183">
        <v>342</v>
      </c>
      <c r="B1183">
        <v>942</v>
      </c>
      <c r="C1183" t="s">
        <v>637</v>
      </c>
      <c r="D1183" t="s">
        <v>1059</v>
      </c>
      <c r="E1183" t="s">
        <v>2165</v>
      </c>
      <c r="F1183" t="s">
        <v>8</v>
      </c>
      <c r="G1183" t="s">
        <v>2639</v>
      </c>
      <c r="H1183" t="s">
        <v>330</v>
      </c>
      <c r="I1183" t="s">
        <v>256</v>
      </c>
      <c r="J1183" t="s">
        <v>243</v>
      </c>
      <c r="K1183" t="s">
        <v>639</v>
      </c>
      <c r="L1183" s="84">
        <v>42408</v>
      </c>
      <c r="M1183" t="s">
        <v>352</v>
      </c>
      <c r="N1183" t="s">
        <v>640</v>
      </c>
      <c r="O1183">
        <v>1</v>
      </c>
      <c r="P1183" t="s">
        <v>641</v>
      </c>
      <c r="Q1183" t="s">
        <v>2066</v>
      </c>
      <c r="R1183" t="s">
        <v>642</v>
      </c>
      <c r="S1183" t="s">
        <v>643</v>
      </c>
      <c r="T1183" t="s">
        <v>31</v>
      </c>
      <c r="U1183" t="s">
        <v>78</v>
      </c>
      <c r="V1183">
        <v>49</v>
      </c>
      <c r="W1183">
        <v>82</v>
      </c>
      <c r="X1183">
        <v>122</v>
      </c>
      <c r="Y1183">
        <v>85</v>
      </c>
      <c r="Z1183">
        <v>184</v>
      </c>
      <c r="AA1183">
        <v>144</v>
      </c>
      <c r="AB1183" t="s">
        <v>479</v>
      </c>
      <c r="AC1183" t="s">
        <v>237</v>
      </c>
      <c r="AD1183" t="s">
        <v>210</v>
      </c>
      <c r="AE1183" t="s">
        <v>183</v>
      </c>
      <c r="AF1183">
        <v>4</v>
      </c>
    </row>
    <row r="1184" spans="1:32">
      <c r="A1184">
        <v>342</v>
      </c>
      <c r="B1184">
        <v>942</v>
      </c>
      <c r="C1184" t="s">
        <v>637</v>
      </c>
      <c r="D1184" t="s">
        <v>1059</v>
      </c>
      <c r="E1184" t="s">
        <v>2165</v>
      </c>
      <c r="F1184" t="s">
        <v>5</v>
      </c>
      <c r="G1184" t="s">
        <v>2640</v>
      </c>
      <c r="H1184" t="s">
        <v>330</v>
      </c>
      <c r="I1184" t="s">
        <v>171</v>
      </c>
      <c r="J1184" t="s">
        <v>237</v>
      </c>
      <c r="K1184" t="s">
        <v>639</v>
      </c>
      <c r="L1184" s="84">
        <v>42408</v>
      </c>
      <c r="M1184" t="s">
        <v>352</v>
      </c>
      <c r="N1184" t="s">
        <v>640</v>
      </c>
      <c r="O1184">
        <v>1</v>
      </c>
      <c r="P1184" t="s">
        <v>641</v>
      </c>
      <c r="Q1184" t="s">
        <v>2066</v>
      </c>
      <c r="R1184" t="s">
        <v>642</v>
      </c>
      <c r="S1184" t="s">
        <v>643</v>
      </c>
      <c r="T1184" t="s">
        <v>33</v>
      </c>
      <c r="U1184" t="s">
        <v>78</v>
      </c>
      <c r="V1184">
        <v>49</v>
      </c>
      <c r="W1184">
        <v>82</v>
      </c>
      <c r="X1184">
        <v>122</v>
      </c>
      <c r="Y1184">
        <v>85</v>
      </c>
      <c r="Z1184">
        <v>184</v>
      </c>
      <c r="AA1184">
        <v>144</v>
      </c>
      <c r="AB1184" t="s">
        <v>479</v>
      </c>
      <c r="AC1184" t="s">
        <v>237</v>
      </c>
      <c r="AD1184" t="s">
        <v>210</v>
      </c>
      <c r="AE1184" t="s">
        <v>183</v>
      </c>
      <c r="AF1184">
        <v>4</v>
      </c>
    </row>
    <row r="1185" spans="1:32">
      <c r="A1185">
        <v>343</v>
      </c>
      <c r="B1185">
        <v>821</v>
      </c>
      <c r="C1185" t="s">
        <v>588</v>
      </c>
      <c r="D1185" t="s">
        <v>1059</v>
      </c>
      <c r="E1185" t="s">
        <v>2165</v>
      </c>
      <c r="F1185" t="s">
        <v>5</v>
      </c>
      <c r="G1185" t="s">
        <v>2641</v>
      </c>
      <c r="H1185" t="s">
        <v>239</v>
      </c>
      <c r="I1185" t="s">
        <v>185</v>
      </c>
      <c r="J1185" t="s">
        <v>220</v>
      </c>
      <c r="K1185" t="s">
        <v>590</v>
      </c>
      <c r="L1185" s="84">
        <v>42524</v>
      </c>
      <c r="M1185" t="s">
        <v>325</v>
      </c>
      <c r="N1185" t="s">
        <v>591</v>
      </c>
      <c r="O1185">
        <v>3</v>
      </c>
      <c r="P1185" t="s">
        <v>592</v>
      </c>
      <c r="Q1185" t="s">
        <v>593</v>
      </c>
      <c r="R1185" t="s">
        <v>594</v>
      </c>
      <c r="S1185" t="s">
        <v>595</v>
      </c>
      <c r="T1185" t="s">
        <v>33</v>
      </c>
      <c r="U1185" t="s">
        <v>80</v>
      </c>
      <c r="V1185">
        <v>52</v>
      </c>
      <c r="W1185">
        <v>82</v>
      </c>
      <c r="X1185">
        <v>122</v>
      </c>
      <c r="Y1185">
        <v>75</v>
      </c>
      <c r="Z1185">
        <v>184</v>
      </c>
      <c r="AA1185">
        <v>132</v>
      </c>
      <c r="AB1185" t="s">
        <v>993</v>
      </c>
      <c r="AC1185" t="s">
        <v>217</v>
      </c>
      <c r="AD1185" t="s">
        <v>272</v>
      </c>
      <c r="AE1185" t="s">
        <v>183</v>
      </c>
      <c r="AF1185">
        <v>0</v>
      </c>
    </row>
    <row r="1186" spans="1:32">
      <c r="A1186">
        <v>343</v>
      </c>
      <c r="B1186">
        <v>821</v>
      </c>
      <c r="C1186" t="s">
        <v>588</v>
      </c>
      <c r="D1186" t="s">
        <v>1059</v>
      </c>
      <c r="E1186" t="s">
        <v>2165</v>
      </c>
      <c r="F1186" t="s">
        <v>8</v>
      </c>
      <c r="G1186" t="s">
        <v>2642</v>
      </c>
      <c r="H1186" t="s">
        <v>171</v>
      </c>
      <c r="I1186" t="s">
        <v>260</v>
      </c>
      <c r="J1186" t="s">
        <v>226</v>
      </c>
      <c r="K1186" t="s">
        <v>590</v>
      </c>
      <c r="L1186" s="84">
        <v>42524</v>
      </c>
      <c r="M1186" t="s">
        <v>325</v>
      </c>
      <c r="N1186" t="s">
        <v>591</v>
      </c>
      <c r="O1186">
        <v>3</v>
      </c>
      <c r="P1186" t="s">
        <v>592</v>
      </c>
      <c r="Q1186" t="s">
        <v>593</v>
      </c>
      <c r="R1186" t="s">
        <v>594</v>
      </c>
      <c r="S1186" t="s">
        <v>595</v>
      </c>
      <c r="T1186" t="s">
        <v>31</v>
      </c>
      <c r="U1186" t="s">
        <v>80</v>
      </c>
      <c r="V1186">
        <v>52</v>
      </c>
      <c r="W1186">
        <v>82</v>
      </c>
      <c r="X1186">
        <v>122</v>
      </c>
      <c r="Y1186">
        <v>75</v>
      </c>
      <c r="Z1186">
        <v>184</v>
      </c>
      <c r="AA1186">
        <v>132</v>
      </c>
      <c r="AB1186" t="s">
        <v>993</v>
      </c>
      <c r="AC1186" t="s">
        <v>217</v>
      </c>
      <c r="AD1186" t="s">
        <v>272</v>
      </c>
      <c r="AE1186" t="s">
        <v>183</v>
      </c>
      <c r="AF1186">
        <v>0</v>
      </c>
    </row>
    <row r="1187" spans="1:32">
      <c r="A1187">
        <v>343</v>
      </c>
      <c r="B1187">
        <v>821</v>
      </c>
      <c r="C1187" t="s">
        <v>588</v>
      </c>
      <c r="D1187" t="s">
        <v>1059</v>
      </c>
      <c r="E1187" t="s">
        <v>2165</v>
      </c>
      <c r="F1187" t="s">
        <v>7</v>
      </c>
      <c r="G1187" t="s">
        <v>2643</v>
      </c>
      <c r="H1187" t="s">
        <v>185</v>
      </c>
      <c r="I1187" t="s">
        <v>226</v>
      </c>
      <c r="J1187" t="s">
        <v>220</v>
      </c>
      <c r="K1187" t="s">
        <v>590</v>
      </c>
      <c r="L1187" s="84">
        <v>42524</v>
      </c>
      <c r="M1187" t="s">
        <v>325</v>
      </c>
      <c r="N1187" t="s">
        <v>591</v>
      </c>
      <c r="O1187">
        <v>3</v>
      </c>
      <c r="P1187" t="s">
        <v>592</v>
      </c>
      <c r="Q1187" t="s">
        <v>593</v>
      </c>
      <c r="R1187" t="s">
        <v>594</v>
      </c>
      <c r="S1187" t="s">
        <v>595</v>
      </c>
      <c r="T1187" t="s">
        <v>32</v>
      </c>
      <c r="U1187" t="s">
        <v>80</v>
      </c>
      <c r="V1187">
        <v>52</v>
      </c>
      <c r="W1187">
        <v>82</v>
      </c>
      <c r="X1187">
        <v>122</v>
      </c>
      <c r="Y1187">
        <v>75</v>
      </c>
      <c r="Z1187">
        <v>184</v>
      </c>
      <c r="AA1187">
        <v>132</v>
      </c>
      <c r="AB1187" t="s">
        <v>993</v>
      </c>
      <c r="AC1187" t="s">
        <v>217</v>
      </c>
      <c r="AD1187" t="s">
        <v>272</v>
      </c>
      <c r="AE1187" t="s">
        <v>183</v>
      </c>
      <c r="AF1187">
        <v>0</v>
      </c>
    </row>
    <row r="1188" spans="1:32">
      <c r="A1188">
        <v>343</v>
      </c>
      <c r="B1188">
        <v>821</v>
      </c>
      <c r="C1188" t="s">
        <v>588</v>
      </c>
      <c r="D1188" t="s">
        <v>1059</v>
      </c>
      <c r="E1188" t="s">
        <v>2165</v>
      </c>
      <c r="F1188" t="s">
        <v>6</v>
      </c>
      <c r="G1188" t="s">
        <v>2644</v>
      </c>
      <c r="H1188" t="s">
        <v>256</v>
      </c>
      <c r="I1188" t="s">
        <v>171</v>
      </c>
      <c r="J1188" t="s">
        <v>212</v>
      </c>
      <c r="K1188" t="s">
        <v>590</v>
      </c>
      <c r="L1188" s="84">
        <v>42524</v>
      </c>
      <c r="M1188" t="s">
        <v>325</v>
      </c>
      <c r="N1188" t="s">
        <v>591</v>
      </c>
      <c r="O1188">
        <v>3</v>
      </c>
      <c r="P1188" t="s">
        <v>592</v>
      </c>
      <c r="Q1188" t="s">
        <v>593</v>
      </c>
      <c r="R1188" t="s">
        <v>594</v>
      </c>
      <c r="S1188" t="s">
        <v>595</v>
      </c>
      <c r="T1188" t="s">
        <v>34</v>
      </c>
      <c r="U1188" t="s">
        <v>80</v>
      </c>
      <c r="V1188">
        <v>52</v>
      </c>
      <c r="W1188">
        <v>82</v>
      </c>
      <c r="X1188">
        <v>122</v>
      </c>
      <c r="Y1188">
        <v>75</v>
      </c>
      <c r="Z1188">
        <v>184</v>
      </c>
      <c r="AA1188">
        <v>132</v>
      </c>
      <c r="AB1188" t="s">
        <v>993</v>
      </c>
      <c r="AC1188" t="s">
        <v>217</v>
      </c>
      <c r="AD1188" t="s">
        <v>272</v>
      </c>
      <c r="AE1188" t="s">
        <v>183</v>
      </c>
      <c r="AF1188">
        <v>0</v>
      </c>
    </row>
    <row r="1189" spans="1:32">
      <c r="A1189">
        <v>343</v>
      </c>
      <c r="B1189">
        <v>821</v>
      </c>
      <c r="C1189" t="s">
        <v>588</v>
      </c>
      <c r="D1189" t="s">
        <v>1059</v>
      </c>
      <c r="E1189" t="s">
        <v>2165</v>
      </c>
      <c r="F1189" t="s">
        <v>197</v>
      </c>
      <c r="G1189" t="s">
        <v>2645</v>
      </c>
      <c r="H1189" t="s">
        <v>192</v>
      </c>
      <c r="I1189" t="s">
        <v>192</v>
      </c>
      <c r="J1189" t="s">
        <v>212</v>
      </c>
      <c r="K1189" t="s">
        <v>590</v>
      </c>
      <c r="L1189" s="84">
        <v>42524</v>
      </c>
      <c r="M1189" t="s">
        <v>325</v>
      </c>
      <c r="N1189" t="s">
        <v>591</v>
      </c>
      <c r="O1189">
        <v>3</v>
      </c>
      <c r="P1189" t="s">
        <v>592</v>
      </c>
      <c r="Q1189" t="s">
        <v>593</v>
      </c>
      <c r="R1189" t="s">
        <v>594</v>
      </c>
      <c r="S1189" t="s">
        <v>595</v>
      </c>
      <c r="T1189" t="s">
        <v>38</v>
      </c>
      <c r="U1189" t="s">
        <v>80</v>
      </c>
      <c r="V1189">
        <v>52</v>
      </c>
      <c r="W1189">
        <v>82</v>
      </c>
      <c r="X1189">
        <v>122</v>
      </c>
      <c r="Y1189">
        <v>75</v>
      </c>
      <c r="Z1189">
        <v>184</v>
      </c>
      <c r="AA1189">
        <v>132</v>
      </c>
      <c r="AB1189" t="s">
        <v>993</v>
      </c>
      <c r="AC1189" t="s">
        <v>217</v>
      </c>
      <c r="AD1189" t="s">
        <v>272</v>
      </c>
      <c r="AE1189" t="s">
        <v>183</v>
      </c>
      <c r="AF1189">
        <v>0</v>
      </c>
    </row>
    <row r="1190" spans="1:32">
      <c r="A1190">
        <v>343</v>
      </c>
      <c r="B1190">
        <v>821</v>
      </c>
      <c r="C1190" t="s">
        <v>588</v>
      </c>
      <c r="D1190" t="s">
        <v>1059</v>
      </c>
      <c r="E1190" t="s">
        <v>2165</v>
      </c>
      <c r="F1190" t="s">
        <v>193</v>
      </c>
      <c r="G1190" t="s">
        <v>2646</v>
      </c>
      <c r="H1190" t="s">
        <v>192</v>
      </c>
      <c r="I1190" t="s">
        <v>212</v>
      </c>
      <c r="J1190" t="s">
        <v>192</v>
      </c>
      <c r="K1190" t="s">
        <v>590</v>
      </c>
      <c r="L1190" s="84">
        <v>42524</v>
      </c>
      <c r="M1190" t="s">
        <v>325</v>
      </c>
      <c r="N1190" t="s">
        <v>591</v>
      </c>
      <c r="O1190">
        <v>3</v>
      </c>
      <c r="P1190" t="s">
        <v>592</v>
      </c>
      <c r="Q1190" t="s">
        <v>593</v>
      </c>
      <c r="R1190" t="s">
        <v>594</v>
      </c>
      <c r="S1190" t="s">
        <v>595</v>
      </c>
      <c r="T1190" t="s">
        <v>36</v>
      </c>
      <c r="U1190" t="s">
        <v>80</v>
      </c>
      <c r="V1190">
        <v>52</v>
      </c>
      <c r="W1190">
        <v>82</v>
      </c>
      <c r="X1190">
        <v>122</v>
      </c>
      <c r="Y1190">
        <v>75</v>
      </c>
      <c r="Z1190">
        <v>184</v>
      </c>
      <c r="AA1190">
        <v>132</v>
      </c>
      <c r="AB1190" t="s">
        <v>993</v>
      </c>
      <c r="AC1190" t="s">
        <v>217</v>
      </c>
      <c r="AD1190" t="s">
        <v>272</v>
      </c>
      <c r="AE1190" t="s">
        <v>183</v>
      </c>
      <c r="AF1190">
        <v>0</v>
      </c>
    </row>
    <row r="1191" spans="1:32">
      <c r="A1191">
        <v>343</v>
      </c>
      <c r="B1191">
        <v>821</v>
      </c>
      <c r="C1191" t="s">
        <v>588</v>
      </c>
      <c r="D1191" t="s">
        <v>1059</v>
      </c>
      <c r="E1191" t="s">
        <v>2165</v>
      </c>
      <c r="F1191" t="s">
        <v>37</v>
      </c>
      <c r="G1191" t="s">
        <v>2647</v>
      </c>
      <c r="H1191" t="s">
        <v>1701</v>
      </c>
      <c r="I1191" t="s">
        <v>212</v>
      </c>
      <c r="J1191" t="s">
        <v>192</v>
      </c>
      <c r="K1191" t="s">
        <v>590</v>
      </c>
      <c r="L1191" s="84">
        <v>42524</v>
      </c>
      <c r="M1191" t="s">
        <v>325</v>
      </c>
      <c r="N1191" t="s">
        <v>591</v>
      </c>
      <c r="O1191">
        <v>3</v>
      </c>
      <c r="P1191" t="s">
        <v>592</v>
      </c>
      <c r="Q1191" t="s">
        <v>593</v>
      </c>
      <c r="R1191" t="s">
        <v>594</v>
      </c>
      <c r="S1191" t="s">
        <v>595</v>
      </c>
      <c r="T1191" t="s">
        <v>37</v>
      </c>
      <c r="U1191" t="s">
        <v>80</v>
      </c>
      <c r="V1191">
        <v>52</v>
      </c>
      <c r="W1191">
        <v>82</v>
      </c>
      <c r="X1191">
        <v>122</v>
      </c>
      <c r="Y1191">
        <v>75</v>
      </c>
      <c r="Z1191">
        <v>184</v>
      </c>
      <c r="AA1191">
        <v>132</v>
      </c>
      <c r="AB1191" t="s">
        <v>993</v>
      </c>
      <c r="AC1191" t="s">
        <v>217</v>
      </c>
      <c r="AD1191" t="s">
        <v>272</v>
      </c>
      <c r="AE1191" t="s">
        <v>183</v>
      </c>
      <c r="AF1191">
        <v>0</v>
      </c>
    </row>
    <row r="1192" spans="1:32">
      <c r="A1192">
        <v>344</v>
      </c>
      <c r="B1192">
        <v>837</v>
      </c>
      <c r="C1192" t="s">
        <v>601</v>
      </c>
      <c r="D1192" t="s">
        <v>1059</v>
      </c>
      <c r="E1192" t="s">
        <v>2165</v>
      </c>
      <c r="F1192" t="s">
        <v>37</v>
      </c>
      <c r="G1192" t="s">
        <v>2648</v>
      </c>
      <c r="H1192" t="s">
        <v>1701</v>
      </c>
      <c r="I1192" t="s">
        <v>212</v>
      </c>
      <c r="J1192" t="s">
        <v>192</v>
      </c>
      <c r="K1192" t="s">
        <v>603</v>
      </c>
      <c r="L1192" s="84">
        <v>42488</v>
      </c>
      <c r="M1192" t="s">
        <v>381</v>
      </c>
      <c r="N1192" t="s">
        <v>604</v>
      </c>
      <c r="O1192">
        <v>3</v>
      </c>
      <c r="P1192" t="s">
        <v>605</v>
      </c>
      <c r="Q1192" t="s">
        <v>606</v>
      </c>
      <c r="R1192" t="s">
        <v>607</v>
      </c>
      <c r="S1192" t="s">
        <v>608</v>
      </c>
      <c r="T1192" t="s">
        <v>37</v>
      </c>
      <c r="U1192" t="s">
        <v>80</v>
      </c>
      <c r="V1192">
        <v>65</v>
      </c>
      <c r="W1192">
        <v>82</v>
      </c>
      <c r="X1192">
        <v>122</v>
      </c>
      <c r="Y1192">
        <v>103</v>
      </c>
      <c r="Z1192">
        <v>184</v>
      </c>
      <c r="AA1192">
        <v>162</v>
      </c>
      <c r="AB1192" t="s">
        <v>234</v>
      </c>
      <c r="AC1192" t="s">
        <v>223</v>
      </c>
      <c r="AD1192" t="s">
        <v>210</v>
      </c>
      <c r="AE1192" t="s">
        <v>183</v>
      </c>
      <c r="AF1192">
        <v>0</v>
      </c>
    </row>
    <row r="1193" spans="1:32">
      <c r="A1193">
        <v>344</v>
      </c>
      <c r="B1193">
        <v>837</v>
      </c>
      <c r="C1193" t="s">
        <v>601</v>
      </c>
      <c r="D1193" t="s">
        <v>1059</v>
      </c>
      <c r="E1193" t="s">
        <v>2165</v>
      </c>
      <c r="F1193" t="s">
        <v>193</v>
      </c>
      <c r="G1193" t="s">
        <v>2649</v>
      </c>
      <c r="H1193" t="s">
        <v>188</v>
      </c>
      <c r="I1193" t="s">
        <v>212</v>
      </c>
      <c r="J1193" t="s">
        <v>192</v>
      </c>
      <c r="K1193" t="s">
        <v>603</v>
      </c>
      <c r="L1193" s="84">
        <v>42488</v>
      </c>
      <c r="M1193" t="s">
        <v>381</v>
      </c>
      <c r="N1193" t="s">
        <v>604</v>
      </c>
      <c r="O1193">
        <v>3</v>
      </c>
      <c r="P1193" t="s">
        <v>605</v>
      </c>
      <c r="Q1193" t="s">
        <v>606</v>
      </c>
      <c r="R1193" t="s">
        <v>607</v>
      </c>
      <c r="S1193" t="s">
        <v>608</v>
      </c>
      <c r="T1193" t="s">
        <v>36</v>
      </c>
      <c r="U1193" t="s">
        <v>80</v>
      </c>
      <c r="V1193">
        <v>65</v>
      </c>
      <c r="W1193">
        <v>82</v>
      </c>
      <c r="X1193">
        <v>122</v>
      </c>
      <c r="Y1193">
        <v>103</v>
      </c>
      <c r="Z1193">
        <v>184</v>
      </c>
      <c r="AA1193">
        <v>162</v>
      </c>
      <c r="AB1193" t="s">
        <v>234</v>
      </c>
      <c r="AC1193" t="s">
        <v>223</v>
      </c>
      <c r="AD1193" t="s">
        <v>210</v>
      </c>
      <c r="AE1193" t="s">
        <v>183</v>
      </c>
      <c r="AF1193">
        <v>0</v>
      </c>
    </row>
    <row r="1194" spans="1:32">
      <c r="A1194">
        <v>344</v>
      </c>
      <c r="B1194">
        <v>837</v>
      </c>
      <c r="C1194" t="s">
        <v>601</v>
      </c>
      <c r="D1194" t="s">
        <v>1059</v>
      </c>
      <c r="E1194" t="s">
        <v>2165</v>
      </c>
      <c r="F1194" t="s">
        <v>197</v>
      </c>
      <c r="G1194" t="s">
        <v>2650</v>
      </c>
      <c r="H1194" t="s">
        <v>212</v>
      </c>
      <c r="I1194" t="s">
        <v>192</v>
      </c>
      <c r="J1194" t="s">
        <v>192</v>
      </c>
      <c r="K1194" t="s">
        <v>603</v>
      </c>
      <c r="L1194" s="84">
        <v>42488</v>
      </c>
      <c r="M1194" t="s">
        <v>381</v>
      </c>
      <c r="N1194" t="s">
        <v>604</v>
      </c>
      <c r="O1194">
        <v>3</v>
      </c>
      <c r="P1194" t="s">
        <v>605</v>
      </c>
      <c r="Q1194" t="s">
        <v>606</v>
      </c>
      <c r="R1194" t="s">
        <v>607</v>
      </c>
      <c r="S1194" t="s">
        <v>608</v>
      </c>
      <c r="T1194" t="s">
        <v>38</v>
      </c>
      <c r="U1194" t="s">
        <v>80</v>
      </c>
      <c r="V1194">
        <v>65</v>
      </c>
      <c r="W1194">
        <v>82</v>
      </c>
      <c r="X1194">
        <v>122</v>
      </c>
      <c r="Y1194">
        <v>103</v>
      </c>
      <c r="Z1194">
        <v>184</v>
      </c>
      <c r="AA1194">
        <v>162</v>
      </c>
      <c r="AB1194" t="s">
        <v>234</v>
      </c>
      <c r="AC1194" t="s">
        <v>223</v>
      </c>
      <c r="AD1194" t="s">
        <v>210</v>
      </c>
      <c r="AE1194" t="s">
        <v>183</v>
      </c>
      <c r="AF1194">
        <v>0</v>
      </c>
    </row>
    <row r="1195" spans="1:32">
      <c r="A1195">
        <v>344</v>
      </c>
      <c r="B1195">
        <v>837</v>
      </c>
      <c r="C1195" t="s">
        <v>601</v>
      </c>
      <c r="D1195" t="s">
        <v>1059</v>
      </c>
      <c r="E1195" t="s">
        <v>2165</v>
      </c>
      <c r="F1195" t="s">
        <v>6</v>
      </c>
      <c r="G1195" t="s">
        <v>2651</v>
      </c>
      <c r="H1195" t="s">
        <v>262</v>
      </c>
      <c r="I1195" t="s">
        <v>189</v>
      </c>
      <c r="J1195" t="s">
        <v>275</v>
      </c>
      <c r="K1195" t="s">
        <v>603</v>
      </c>
      <c r="L1195" s="84">
        <v>42488</v>
      </c>
      <c r="M1195" t="s">
        <v>381</v>
      </c>
      <c r="N1195" t="s">
        <v>604</v>
      </c>
      <c r="O1195">
        <v>3</v>
      </c>
      <c r="P1195" t="s">
        <v>605</v>
      </c>
      <c r="Q1195" t="s">
        <v>606</v>
      </c>
      <c r="R1195" t="s">
        <v>607</v>
      </c>
      <c r="S1195" t="s">
        <v>608</v>
      </c>
      <c r="T1195" t="s">
        <v>34</v>
      </c>
      <c r="U1195" t="s">
        <v>80</v>
      </c>
      <c r="V1195">
        <v>65</v>
      </c>
      <c r="W1195">
        <v>82</v>
      </c>
      <c r="X1195">
        <v>122</v>
      </c>
      <c r="Y1195">
        <v>103</v>
      </c>
      <c r="Z1195">
        <v>184</v>
      </c>
      <c r="AA1195">
        <v>162</v>
      </c>
      <c r="AB1195" t="s">
        <v>234</v>
      </c>
      <c r="AC1195" t="s">
        <v>223</v>
      </c>
      <c r="AD1195" t="s">
        <v>210</v>
      </c>
      <c r="AE1195" t="s">
        <v>183</v>
      </c>
      <c r="AF1195">
        <v>0</v>
      </c>
    </row>
    <row r="1196" spans="1:32">
      <c r="A1196">
        <v>344</v>
      </c>
      <c r="B1196">
        <v>837</v>
      </c>
      <c r="C1196" t="s">
        <v>601</v>
      </c>
      <c r="D1196" t="s">
        <v>1059</v>
      </c>
      <c r="E1196" t="s">
        <v>2165</v>
      </c>
      <c r="F1196" t="s">
        <v>7</v>
      </c>
      <c r="G1196" t="s">
        <v>2652</v>
      </c>
      <c r="H1196" t="s">
        <v>217</v>
      </c>
      <c r="I1196" t="s">
        <v>228</v>
      </c>
      <c r="J1196" t="s">
        <v>236</v>
      </c>
      <c r="K1196" t="s">
        <v>603</v>
      </c>
      <c r="L1196" s="84">
        <v>42488</v>
      </c>
      <c r="M1196" t="s">
        <v>381</v>
      </c>
      <c r="N1196" t="s">
        <v>604</v>
      </c>
      <c r="O1196">
        <v>3</v>
      </c>
      <c r="P1196" t="s">
        <v>605</v>
      </c>
      <c r="Q1196" t="s">
        <v>606</v>
      </c>
      <c r="R1196" t="s">
        <v>607</v>
      </c>
      <c r="S1196" t="s">
        <v>608</v>
      </c>
      <c r="T1196" t="s">
        <v>32</v>
      </c>
      <c r="U1196" t="s">
        <v>80</v>
      </c>
      <c r="V1196">
        <v>65</v>
      </c>
      <c r="W1196">
        <v>82</v>
      </c>
      <c r="X1196">
        <v>122</v>
      </c>
      <c r="Y1196">
        <v>103</v>
      </c>
      <c r="Z1196">
        <v>184</v>
      </c>
      <c r="AA1196">
        <v>162</v>
      </c>
      <c r="AB1196" t="s">
        <v>234</v>
      </c>
      <c r="AC1196" t="s">
        <v>223</v>
      </c>
      <c r="AD1196" t="s">
        <v>210</v>
      </c>
      <c r="AE1196" t="s">
        <v>183</v>
      </c>
      <c r="AF1196">
        <v>0</v>
      </c>
    </row>
    <row r="1197" spans="1:32">
      <c r="A1197">
        <v>344</v>
      </c>
      <c r="B1197">
        <v>837</v>
      </c>
      <c r="C1197" t="s">
        <v>601</v>
      </c>
      <c r="D1197" t="s">
        <v>1059</v>
      </c>
      <c r="E1197" t="s">
        <v>2165</v>
      </c>
      <c r="F1197" t="s">
        <v>8</v>
      </c>
      <c r="G1197" t="s">
        <v>2653</v>
      </c>
      <c r="H1197" t="s">
        <v>262</v>
      </c>
      <c r="I1197" t="s">
        <v>387</v>
      </c>
      <c r="J1197" t="s">
        <v>275</v>
      </c>
      <c r="K1197" t="s">
        <v>603</v>
      </c>
      <c r="L1197" s="84">
        <v>42488</v>
      </c>
      <c r="M1197" t="s">
        <v>381</v>
      </c>
      <c r="N1197" t="s">
        <v>604</v>
      </c>
      <c r="O1197">
        <v>3</v>
      </c>
      <c r="P1197" t="s">
        <v>605</v>
      </c>
      <c r="Q1197" t="s">
        <v>606</v>
      </c>
      <c r="R1197" t="s">
        <v>607</v>
      </c>
      <c r="S1197" t="s">
        <v>608</v>
      </c>
      <c r="T1197" t="s">
        <v>31</v>
      </c>
      <c r="U1197" t="s">
        <v>80</v>
      </c>
      <c r="V1197">
        <v>65</v>
      </c>
      <c r="W1197">
        <v>82</v>
      </c>
      <c r="X1197">
        <v>122</v>
      </c>
      <c r="Y1197">
        <v>103</v>
      </c>
      <c r="Z1197">
        <v>184</v>
      </c>
      <c r="AA1197">
        <v>162</v>
      </c>
      <c r="AB1197" t="s">
        <v>234</v>
      </c>
      <c r="AC1197" t="s">
        <v>223</v>
      </c>
      <c r="AD1197" t="s">
        <v>210</v>
      </c>
      <c r="AE1197" t="s">
        <v>183</v>
      </c>
      <c r="AF1197">
        <v>0</v>
      </c>
    </row>
    <row r="1198" spans="1:32">
      <c r="A1198">
        <v>344</v>
      </c>
      <c r="B1198">
        <v>837</v>
      </c>
      <c r="C1198" t="s">
        <v>601</v>
      </c>
      <c r="D1198" t="s">
        <v>1059</v>
      </c>
      <c r="E1198" t="s">
        <v>2165</v>
      </c>
      <c r="F1198" t="s">
        <v>5</v>
      </c>
      <c r="G1198" t="s">
        <v>2654</v>
      </c>
      <c r="H1198" t="s">
        <v>257</v>
      </c>
      <c r="I1198" t="s">
        <v>217</v>
      </c>
      <c r="J1198" t="s">
        <v>238</v>
      </c>
      <c r="K1198" t="s">
        <v>603</v>
      </c>
      <c r="L1198" s="84">
        <v>42488</v>
      </c>
      <c r="M1198" t="s">
        <v>381</v>
      </c>
      <c r="N1198" t="s">
        <v>604</v>
      </c>
      <c r="O1198">
        <v>3</v>
      </c>
      <c r="P1198" t="s">
        <v>605</v>
      </c>
      <c r="Q1198" t="s">
        <v>606</v>
      </c>
      <c r="R1198" t="s">
        <v>607</v>
      </c>
      <c r="S1198" t="s">
        <v>608</v>
      </c>
      <c r="T1198" t="s">
        <v>33</v>
      </c>
      <c r="U1198" t="s">
        <v>80</v>
      </c>
      <c r="V1198">
        <v>65</v>
      </c>
      <c r="W1198">
        <v>82</v>
      </c>
      <c r="X1198">
        <v>122</v>
      </c>
      <c r="Y1198">
        <v>103</v>
      </c>
      <c r="Z1198">
        <v>184</v>
      </c>
      <c r="AA1198">
        <v>162</v>
      </c>
      <c r="AB1198" t="s">
        <v>234</v>
      </c>
      <c r="AC1198" t="s">
        <v>223</v>
      </c>
      <c r="AD1198" t="s">
        <v>210</v>
      </c>
      <c r="AE1198" t="s">
        <v>183</v>
      </c>
      <c r="AF1198">
        <v>0</v>
      </c>
    </row>
    <row r="1199" spans="1:32">
      <c r="A1199">
        <v>345</v>
      </c>
      <c r="B1199">
        <v>800</v>
      </c>
      <c r="C1199" t="s">
        <v>740</v>
      </c>
      <c r="D1199" t="s">
        <v>1059</v>
      </c>
      <c r="E1199" t="s">
        <v>2165</v>
      </c>
      <c r="F1199" t="s">
        <v>5</v>
      </c>
      <c r="G1199" t="s">
        <v>2655</v>
      </c>
      <c r="H1199" t="s">
        <v>215</v>
      </c>
      <c r="I1199" t="s">
        <v>191</v>
      </c>
      <c r="J1199" t="s">
        <v>256</v>
      </c>
      <c r="K1199" t="s">
        <v>741</v>
      </c>
      <c r="L1199" s="84">
        <v>42378</v>
      </c>
      <c r="M1199" t="s">
        <v>325</v>
      </c>
      <c r="N1199" t="s">
        <v>1372</v>
      </c>
      <c r="O1199">
        <v>3</v>
      </c>
      <c r="P1199" t="s">
        <v>742</v>
      </c>
      <c r="Q1199" t="s">
        <v>743</v>
      </c>
      <c r="R1199" t="s">
        <v>744</v>
      </c>
      <c r="S1199" t="s">
        <v>745</v>
      </c>
      <c r="T1199" t="s">
        <v>33</v>
      </c>
      <c r="U1199" t="s">
        <v>80</v>
      </c>
      <c r="V1199">
        <v>59</v>
      </c>
      <c r="W1199">
        <v>82</v>
      </c>
      <c r="X1199">
        <v>122</v>
      </c>
      <c r="Y1199">
        <v>89</v>
      </c>
      <c r="Z1199">
        <v>184</v>
      </c>
      <c r="AA1199">
        <v>125</v>
      </c>
      <c r="AB1199" t="s">
        <v>1069</v>
      </c>
      <c r="AC1199" t="s">
        <v>223</v>
      </c>
      <c r="AD1199" t="s">
        <v>210</v>
      </c>
      <c r="AE1199" t="s">
        <v>183</v>
      </c>
      <c r="AF1199">
        <v>0</v>
      </c>
    </row>
    <row r="1200" spans="1:32">
      <c r="A1200">
        <v>345</v>
      </c>
      <c r="B1200">
        <v>800</v>
      </c>
      <c r="C1200" t="s">
        <v>740</v>
      </c>
      <c r="D1200" t="s">
        <v>1059</v>
      </c>
      <c r="E1200" t="s">
        <v>2165</v>
      </c>
      <c r="F1200" t="s">
        <v>8</v>
      </c>
      <c r="G1200" t="s">
        <v>2656</v>
      </c>
      <c r="H1200" t="s">
        <v>239</v>
      </c>
      <c r="I1200" t="s">
        <v>274</v>
      </c>
      <c r="J1200" t="s">
        <v>171</v>
      </c>
      <c r="K1200" t="s">
        <v>741</v>
      </c>
      <c r="L1200" s="84">
        <v>42378</v>
      </c>
      <c r="M1200" t="s">
        <v>325</v>
      </c>
      <c r="N1200" t="s">
        <v>1372</v>
      </c>
      <c r="O1200">
        <v>3</v>
      </c>
      <c r="P1200" t="s">
        <v>742</v>
      </c>
      <c r="Q1200" t="s">
        <v>743</v>
      </c>
      <c r="R1200" t="s">
        <v>744</v>
      </c>
      <c r="S1200" t="s">
        <v>745</v>
      </c>
      <c r="T1200" t="s">
        <v>31</v>
      </c>
      <c r="U1200" t="s">
        <v>80</v>
      </c>
      <c r="V1200">
        <v>59</v>
      </c>
      <c r="W1200">
        <v>82</v>
      </c>
      <c r="X1200">
        <v>122</v>
      </c>
      <c r="Y1200">
        <v>89</v>
      </c>
      <c r="Z1200">
        <v>184</v>
      </c>
      <c r="AA1200">
        <v>125</v>
      </c>
      <c r="AB1200" t="s">
        <v>1069</v>
      </c>
      <c r="AC1200" t="s">
        <v>223</v>
      </c>
      <c r="AD1200" t="s">
        <v>210</v>
      </c>
      <c r="AE1200" t="s">
        <v>183</v>
      </c>
      <c r="AF1200">
        <v>0</v>
      </c>
    </row>
    <row r="1201" spans="1:32">
      <c r="A1201">
        <v>345</v>
      </c>
      <c r="B1201">
        <v>800</v>
      </c>
      <c r="C1201" t="s">
        <v>740</v>
      </c>
      <c r="D1201" t="s">
        <v>1059</v>
      </c>
      <c r="E1201" t="s">
        <v>2165</v>
      </c>
      <c r="F1201" t="s">
        <v>7</v>
      </c>
      <c r="G1201" t="s">
        <v>2657</v>
      </c>
      <c r="H1201" t="s">
        <v>239</v>
      </c>
      <c r="I1201" t="s">
        <v>185</v>
      </c>
      <c r="J1201" t="s">
        <v>228</v>
      </c>
      <c r="K1201" t="s">
        <v>741</v>
      </c>
      <c r="L1201" s="84">
        <v>42378</v>
      </c>
      <c r="M1201" t="s">
        <v>325</v>
      </c>
      <c r="N1201" t="s">
        <v>1372</v>
      </c>
      <c r="O1201">
        <v>3</v>
      </c>
      <c r="P1201" t="s">
        <v>742</v>
      </c>
      <c r="Q1201" t="s">
        <v>743</v>
      </c>
      <c r="R1201" t="s">
        <v>744</v>
      </c>
      <c r="S1201" t="s">
        <v>745</v>
      </c>
      <c r="T1201" t="s">
        <v>32</v>
      </c>
      <c r="U1201" t="s">
        <v>80</v>
      </c>
      <c r="V1201">
        <v>59</v>
      </c>
      <c r="W1201">
        <v>82</v>
      </c>
      <c r="X1201">
        <v>122</v>
      </c>
      <c r="Y1201">
        <v>89</v>
      </c>
      <c r="Z1201">
        <v>184</v>
      </c>
      <c r="AA1201">
        <v>125</v>
      </c>
      <c r="AB1201" t="s">
        <v>1069</v>
      </c>
      <c r="AC1201" t="s">
        <v>223</v>
      </c>
      <c r="AD1201" t="s">
        <v>210</v>
      </c>
      <c r="AE1201" t="s">
        <v>183</v>
      </c>
      <c r="AF1201">
        <v>0</v>
      </c>
    </row>
    <row r="1202" spans="1:32">
      <c r="A1202">
        <v>345</v>
      </c>
      <c r="B1202">
        <v>800</v>
      </c>
      <c r="C1202" t="s">
        <v>740</v>
      </c>
      <c r="D1202" t="s">
        <v>1059</v>
      </c>
      <c r="E1202" t="s">
        <v>2165</v>
      </c>
      <c r="F1202" t="s">
        <v>6</v>
      </c>
      <c r="G1202" t="s">
        <v>2658</v>
      </c>
      <c r="H1202" t="s">
        <v>185</v>
      </c>
      <c r="I1202" t="s">
        <v>188</v>
      </c>
      <c r="J1202" t="s">
        <v>191</v>
      </c>
      <c r="K1202" t="s">
        <v>741</v>
      </c>
      <c r="L1202" s="84">
        <v>42378</v>
      </c>
      <c r="M1202" t="s">
        <v>325</v>
      </c>
      <c r="N1202" t="s">
        <v>1372</v>
      </c>
      <c r="O1202">
        <v>3</v>
      </c>
      <c r="P1202" t="s">
        <v>742</v>
      </c>
      <c r="Q1202" t="s">
        <v>743</v>
      </c>
      <c r="R1202" t="s">
        <v>744</v>
      </c>
      <c r="S1202" t="s">
        <v>745</v>
      </c>
      <c r="T1202" t="s">
        <v>34</v>
      </c>
      <c r="U1202" t="s">
        <v>80</v>
      </c>
      <c r="V1202">
        <v>59</v>
      </c>
      <c r="W1202">
        <v>82</v>
      </c>
      <c r="X1202">
        <v>122</v>
      </c>
      <c r="Y1202">
        <v>89</v>
      </c>
      <c r="Z1202">
        <v>184</v>
      </c>
      <c r="AA1202">
        <v>125</v>
      </c>
      <c r="AB1202" t="s">
        <v>1069</v>
      </c>
      <c r="AC1202" t="s">
        <v>223</v>
      </c>
      <c r="AD1202" t="s">
        <v>210</v>
      </c>
      <c r="AE1202" t="s">
        <v>183</v>
      </c>
      <c r="AF1202">
        <v>0</v>
      </c>
    </row>
    <row r="1203" spans="1:32">
      <c r="A1203">
        <v>345</v>
      </c>
      <c r="B1203">
        <v>800</v>
      </c>
      <c r="C1203" t="s">
        <v>740</v>
      </c>
      <c r="D1203" t="s">
        <v>1059</v>
      </c>
      <c r="E1203" t="s">
        <v>2165</v>
      </c>
      <c r="F1203" t="s">
        <v>197</v>
      </c>
      <c r="G1203" t="s">
        <v>2659</v>
      </c>
      <c r="H1203" t="s">
        <v>188</v>
      </c>
      <c r="I1203" t="s">
        <v>192</v>
      </c>
      <c r="J1203" t="s">
        <v>212</v>
      </c>
      <c r="K1203" t="s">
        <v>741</v>
      </c>
      <c r="L1203" s="84">
        <v>42378</v>
      </c>
      <c r="M1203" t="s">
        <v>325</v>
      </c>
      <c r="N1203" t="s">
        <v>1372</v>
      </c>
      <c r="O1203">
        <v>3</v>
      </c>
      <c r="P1203" t="s">
        <v>742</v>
      </c>
      <c r="Q1203" t="s">
        <v>743</v>
      </c>
      <c r="R1203" t="s">
        <v>744</v>
      </c>
      <c r="S1203" t="s">
        <v>745</v>
      </c>
      <c r="T1203" t="s">
        <v>38</v>
      </c>
      <c r="U1203" t="s">
        <v>80</v>
      </c>
      <c r="V1203">
        <v>59</v>
      </c>
      <c r="W1203">
        <v>82</v>
      </c>
      <c r="X1203">
        <v>122</v>
      </c>
      <c r="Y1203">
        <v>89</v>
      </c>
      <c r="Z1203">
        <v>184</v>
      </c>
      <c r="AA1203">
        <v>125</v>
      </c>
      <c r="AB1203" t="s">
        <v>1069</v>
      </c>
      <c r="AC1203" t="s">
        <v>223</v>
      </c>
      <c r="AD1203" t="s">
        <v>210</v>
      </c>
      <c r="AE1203" t="s">
        <v>183</v>
      </c>
      <c r="AF1203">
        <v>0</v>
      </c>
    </row>
    <row r="1204" spans="1:32">
      <c r="A1204">
        <v>345</v>
      </c>
      <c r="B1204">
        <v>800</v>
      </c>
      <c r="C1204" t="s">
        <v>740</v>
      </c>
      <c r="D1204" t="s">
        <v>1059</v>
      </c>
      <c r="E1204" t="s">
        <v>2165</v>
      </c>
      <c r="F1204" t="s">
        <v>193</v>
      </c>
      <c r="G1204" t="s">
        <v>2660</v>
      </c>
      <c r="H1204" t="s">
        <v>188</v>
      </c>
      <c r="I1204" t="s">
        <v>212</v>
      </c>
      <c r="J1204" t="s">
        <v>212</v>
      </c>
      <c r="K1204" t="s">
        <v>741</v>
      </c>
      <c r="L1204" s="84">
        <v>42378</v>
      </c>
      <c r="M1204" t="s">
        <v>325</v>
      </c>
      <c r="N1204" t="s">
        <v>1372</v>
      </c>
      <c r="O1204">
        <v>3</v>
      </c>
      <c r="P1204" t="s">
        <v>742</v>
      </c>
      <c r="Q1204" t="s">
        <v>743</v>
      </c>
      <c r="R1204" t="s">
        <v>744</v>
      </c>
      <c r="S1204" t="s">
        <v>745</v>
      </c>
      <c r="T1204" t="s">
        <v>36</v>
      </c>
      <c r="U1204" t="s">
        <v>80</v>
      </c>
      <c r="V1204">
        <v>59</v>
      </c>
      <c r="W1204">
        <v>82</v>
      </c>
      <c r="X1204">
        <v>122</v>
      </c>
      <c r="Y1204">
        <v>89</v>
      </c>
      <c r="Z1204">
        <v>184</v>
      </c>
      <c r="AA1204">
        <v>125</v>
      </c>
      <c r="AB1204" t="s">
        <v>1069</v>
      </c>
      <c r="AC1204" t="s">
        <v>223</v>
      </c>
      <c r="AD1204" t="s">
        <v>210</v>
      </c>
      <c r="AE1204" t="s">
        <v>183</v>
      </c>
      <c r="AF1204">
        <v>0</v>
      </c>
    </row>
    <row r="1205" spans="1:32">
      <c r="A1205">
        <v>345</v>
      </c>
      <c r="B1205">
        <v>800</v>
      </c>
      <c r="C1205" t="s">
        <v>740</v>
      </c>
      <c r="D1205" t="s">
        <v>1059</v>
      </c>
      <c r="E1205" t="s">
        <v>2165</v>
      </c>
      <c r="F1205" t="s">
        <v>37</v>
      </c>
      <c r="G1205" t="s">
        <v>2661</v>
      </c>
      <c r="H1205" t="s">
        <v>1701</v>
      </c>
      <c r="I1205" t="s">
        <v>212</v>
      </c>
      <c r="J1205" t="s">
        <v>192</v>
      </c>
      <c r="K1205" t="s">
        <v>741</v>
      </c>
      <c r="L1205" s="84">
        <v>42378</v>
      </c>
      <c r="M1205" t="s">
        <v>325</v>
      </c>
      <c r="N1205" t="s">
        <v>1372</v>
      </c>
      <c r="O1205">
        <v>3</v>
      </c>
      <c r="P1205" t="s">
        <v>742</v>
      </c>
      <c r="Q1205" t="s">
        <v>743</v>
      </c>
      <c r="R1205" t="s">
        <v>744</v>
      </c>
      <c r="S1205" t="s">
        <v>745</v>
      </c>
      <c r="T1205" t="s">
        <v>37</v>
      </c>
      <c r="U1205" t="s">
        <v>80</v>
      </c>
      <c r="V1205">
        <v>59</v>
      </c>
      <c r="W1205">
        <v>82</v>
      </c>
      <c r="X1205">
        <v>122</v>
      </c>
      <c r="Y1205">
        <v>89</v>
      </c>
      <c r="Z1205">
        <v>184</v>
      </c>
      <c r="AA1205">
        <v>125</v>
      </c>
      <c r="AB1205" t="s">
        <v>1069</v>
      </c>
      <c r="AC1205" t="s">
        <v>223</v>
      </c>
      <c r="AD1205" t="s">
        <v>210</v>
      </c>
      <c r="AE1205" t="s">
        <v>183</v>
      </c>
      <c r="AF1205">
        <v>0</v>
      </c>
    </row>
    <row r="1206" spans="1:32">
      <c r="A1206">
        <v>346</v>
      </c>
      <c r="B1206">
        <v>973</v>
      </c>
      <c r="C1206" t="s">
        <v>650</v>
      </c>
      <c r="D1206" t="s">
        <v>1059</v>
      </c>
      <c r="E1206" t="s">
        <v>2165</v>
      </c>
      <c r="F1206" t="s">
        <v>37</v>
      </c>
      <c r="G1206" t="s">
        <v>2662</v>
      </c>
      <c r="H1206" t="s">
        <v>1701</v>
      </c>
      <c r="I1206" t="s">
        <v>212</v>
      </c>
      <c r="J1206" t="s">
        <v>192</v>
      </c>
      <c r="K1206" t="s">
        <v>652</v>
      </c>
      <c r="L1206" s="84">
        <v>42019</v>
      </c>
      <c r="M1206" t="s">
        <v>175</v>
      </c>
      <c r="N1206" t="s">
        <v>1368</v>
      </c>
      <c r="O1206">
        <v>2</v>
      </c>
      <c r="P1206" t="s">
        <v>653</v>
      </c>
      <c r="Q1206" t="s">
        <v>2905</v>
      </c>
      <c r="R1206" t="s">
        <v>654</v>
      </c>
      <c r="S1206" t="s">
        <v>655</v>
      </c>
      <c r="T1206" t="s">
        <v>37</v>
      </c>
      <c r="U1206" t="s">
        <v>79</v>
      </c>
      <c r="V1206">
        <v>60</v>
      </c>
      <c r="W1206">
        <v>82</v>
      </c>
      <c r="X1206">
        <v>122</v>
      </c>
      <c r="Y1206">
        <v>85</v>
      </c>
      <c r="Z1206">
        <v>184</v>
      </c>
      <c r="AA1206">
        <v>136</v>
      </c>
      <c r="AB1206" t="s">
        <v>2514</v>
      </c>
      <c r="AC1206" t="s">
        <v>191</v>
      </c>
      <c r="AD1206" t="s">
        <v>609</v>
      </c>
      <c r="AE1206" t="s">
        <v>183</v>
      </c>
      <c r="AF1206">
        <v>0</v>
      </c>
    </row>
    <row r="1207" spans="1:32">
      <c r="A1207">
        <v>346</v>
      </c>
      <c r="B1207">
        <v>973</v>
      </c>
      <c r="C1207" t="s">
        <v>650</v>
      </c>
      <c r="D1207" t="s">
        <v>1059</v>
      </c>
      <c r="E1207" t="s">
        <v>2165</v>
      </c>
      <c r="F1207" t="s">
        <v>193</v>
      </c>
      <c r="G1207" t="s">
        <v>2663</v>
      </c>
      <c r="H1207" t="s">
        <v>192</v>
      </c>
      <c r="I1207" t="s">
        <v>212</v>
      </c>
      <c r="J1207" t="s">
        <v>192</v>
      </c>
      <c r="K1207" t="s">
        <v>652</v>
      </c>
      <c r="L1207" s="84">
        <v>42019</v>
      </c>
      <c r="M1207" t="s">
        <v>175</v>
      </c>
      <c r="N1207" t="s">
        <v>1368</v>
      </c>
      <c r="O1207">
        <v>2</v>
      </c>
      <c r="P1207" t="s">
        <v>653</v>
      </c>
      <c r="Q1207" t="s">
        <v>2905</v>
      </c>
      <c r="R1207" t="s">
        <v>654</v>
      </c>
      <c r="S1207" t="s">
        <v>655</v>
      </c>
      <c r="T1207" t="s">
        <v>36</v>
      </c>
      <c r="U1207" t="s">
        <v>79</v>
      </c>
      <c r="V1207">
        <v>60</v>
      </c>
      <c r="W1207">
        <v>82</v>
      </c>
      <c r="X1207">
        <v>122</v>
      </c>
      <c r="Y1207">
        <v>85</v>
      </c>
      <c r="Z1207">
        <v>184</v>
      </c>
      <c r="AA1207">
        <v>136</v>
      </c>
      <c r="AB1207" t="s">
        <v>2514</v>
      </c>
      <c r="AC1207" t="s">
        <v>191</v>
      </c>
      <c r="AD1207" t="s">
        <v>609</v>
      </c>
      <c r="AE1207" t="s">
        <v>183</v>
      </c>
      <c r="AF1207">
        <v>0</v>
      </c>
    </row>
    <row r="1208" spans="1:32">
      <c r="A1208">
        <v>346</v>
      </c>
      <c r="B1208">
        <v>973</v>
      </c>
      <c r="C1208" t="s">
        <v>650</v>
      </c>
      <c r="D1208" t="s">
        <v>1059</v>
      </c>
      <c r="E1208" t="s">
        <v>2165</v>
      </c>
      <c r="F1208" t="s">
        <v>197</v>
      </c>
      <c r="G1208" t="s">
        <v>2664</v>
      </c>
      <c r="H1208" t="s">
        <v>192</v>
      </c>
      <c r="I1208" t="s">
        <v>192</v>
      </c>
      <c r="J1208" t="s">
        <v>212</v>
      </c>
      <c r="K1208" t="s">
        <v>652</v>
      </c>
      <c r="L1208" s="84">
        <v>42019</v>
      </c>
      <c r="M1208" t="s">
        <v>175</v>
      </c>
      <c r="N1208" t="s">
        <v>1368</v>
      </c>
      <c r="O1208">
        <v>2</v>
      </c>
      <c r="P1208" t="s">
        <v>653</v>
      </c>
      <c r="Q1208" t="s">
        <v>2905</v>
      </c>
      <c r="R1208" t="s">
        <v>654</v>
      </c>
      <c r="S1208" t="s">
        <v>655</v>
      </c>
      <c r="T1208" t="s">
        <v>38</v>
      </c>
      <c r="U1208" t="s">
        <v>79</v>
      </c>
      <c r="V1208">
        <v>60</v>
      </c>
      <c r="W1208">
        <v>82</v>
      </c>
      <c r="X1208">
        <v>122</v>
      </c>
      <c r="Y1208">
        <v>85</v>
      </c>
      <c r="Z1208">
        <v>184</v>
      </c>
      <c r="AA1208">
        <v>136</v>
      </c>
      <c r="AB1208" t="s">
        <v>2514</v>
      </c>
      <c r="AC1208" t="s">
        <v>191</v>
      </c>
      <c r="AD1208" t="s">
        <v>609</v>
      </c>
      <c r="AE1208" t="s">
        <v>183</v>
      </c>
      <c r="AF1208">
        <v>0</v>
      </c>
    </row>
    <row r="1209" spans="1:32">
      <c r="A1209">
        <v>346</v>
      </c>
      <c r="B1209">
        <v>973</v>
      </c>
      <c r="C1209" t="s">
        <v>650</v>
      </c>
      <c r="D1209" t="s">
        <v>1059</v>
      </c>
      <c r="E1209" t="s">
        <v>2165</v>
      </c>
      <c r="F1209" t="s">
        <v>6</v>
      </c>
      <c r="G1209" t="s">
        <v>2665</v>
      </c>
      <c r="H1209" t="s">
        <v>191</v>
      </c>
      <c r="I1209" t="s">
        <v>274</v>
      </c>
      <c r="J1209" t="s">
        <v>239</v>
      </c>
      <c r="K1209" t="s">
        <v>652</v>
      </c>
      <c r="L1209" s="84">
        <v>42019</v>
      </c>
      <c r="M1209" t="s">
        <v>175</v>
      </c>
      <c r="N1209" t="s">
        <v>1368</v>
      </c>
      <c r="O1209">
        <v>2</v>
      </c>
      <c r="P1209" t="s">
        <v>653</v>
      </c>
      <c r="Q1209" t="s">
        <v>2905</v>
      </c>
      <c r="R1209" t="s">
        <v>654</v>
      </c>
      <c r="S1209" t="s">
        <v>655</v>
      </c>
      <c r="T1209" t="s">
        <v>34</v>
      </c>
      <c r="U1209" t="s">
        <v>79</v>
      </c>
      <c r="V1209">
        <v>60</v>
      </c>
      <c r="W1209">
        <v>82</v>
      </c>
      <c r="X1209">
        <v>122</v>
      </c>
      <c r="Y1209">
        <v>85</v>
      </c>
      <c r="Z1209">
        <v>184</v>
      </c>
      <c r="AA1209">
        <v>136</v>
      </c>
      <c r="AB1209" t="s">
        <v>2514</v>
      </c>
      <c r="AC1209" t="s">
        <v>191</v>
      </c>
      <c r="AD1209" t="s">
        <v>609</v>
      </c>
      <c r="AE1209" t="s">
        <v>183</v>
      </c>
      <c r="AF1209">
        <v>0</v>
      </c>
    </row>
    <row r="1210" spans="1:32">
      <c r="A1210">
        <v>346</v>
      </c>
      <c r="B1210">
        <v>973</v>
      </c>
      <c r="C1210" t="s">
        <v>650</v>
      </c>
      <c r="D1210" t="s">
        <v>1059</v>
      </c>
      <c r="E1210" t="s">
        <v>2165</v>
      </c>
      <c r="F1210" t="s">
        <v>7</v>
      </c>
      <c r="G1210" t="s">
        <v>2666</v>
      </c>
      <c r="H1210" t="s">
        <v>274</v>
      </c>
      <c r="I1210" t="s">
        <v>216</v>
      </c>
      <c r="J1210" t="s">
        <v>216</v>
      </c>
      <c r="K1210" t="s">
        <v>652</v>
      </c>
      <c r="L1210" s="84">
        <v>42019</v>
      </c>
      <c r="M1210" t="s">
        <v>175</v>
      </c>
      <c r="N1210" t="s">
        <v>1368</v>
      </c>
      <c r="O1210">
        <v>2</v>
      </c>
      <c r="P1210" t="s">
        <v>653</v>
      </c>
      <c r="Q1210" t="s">
        <v>2905</v>
      </c>
      <c r="R1210" t="s">
        <v>654</v>
      </c>
      <c r="S1210" t="s">
        <v>655</v>
      </c>
      <c r="T1210" t="s">
        <v>32</v>
      </c>
      <c r="U1210" t="s">
        <v>79</v>
      </c>
      <c r="V1210">
        <v>60</v>
      </c>
      <c r="W1210">
        <v>82</v>
      </c>
      <c r="X1210">
        <v>122</v>
      </c>
      <c r="Y1210">
        <v>85</v>
      </c>
      <c r="Z1210">
        <v>184</v>
      </c>
      <c r="AA1210">
        <v>136</v>
      </c>
      <c r="AB1210" t="s">
        <v>2514</v>
      </c>
      <c r="AC1210" t="s">
        <v>191</v>
      </c>
      <c r="AD1210" t="s">
        <v>609</v>
      </c>
      <c r="AE1210" t="s">
        <v>183</v>
      </c>
      <c r="AF1210">
        <v>0</v>
      </c>
    </row>
    <row r="1211" spans="1:32">
      <c r="A1211">
        <v>346</v>
      </c>
      <c r="B1211">
        <v>973</v>
      </c>
      <c r="C1211" t="s">
        <v>650</v>
      </c>
      <c r="D1211" t="s">
        <v>1059</v>
      </c>
      <c r="E1211" t="s">
        <v>2165</v>
      </c>
      <c r="F1211" t="s">
        <v>8</v>
      </c>
      <c r="G1211" t="s">
        <v>2667</v>
      </c>
      <c r="H1211" t="s">
        <v>185</v>
      </c>
      <c r="I1211" t="s">
        <v>275</v>
      </c>
      <c r="J1211" t="s">
        <v>220</v>
      </c>
      <c r="K1211" t="s">
        <v>652</v>
      </c>
      <c r="L1211" s="84">
        <v>42019</v>
      </c>
      <c r="M1211" t="s">
        <v>175</v>
      </c>
      <c r="N1211" t="s">
        <v>1368</v>
      </c>
      <c r="O1211">
        <v>2</v>
      </c>
      <c r="P1211" t="s">
        <v>653</v>
      </c>
      <c r="Q1211" t="s">
        <v>2905</v>
      </c>
      <c r="R1211" t="s">
        <v>654</v>
      </c>
      <c r="S1211" t="s">
        <v>655</v>
      </c>
      <c r="T1211" t="s">
        <v>31</v>
      </c>
      <c r="U1211" t="s">
        <v>79</v>
      </c>
      <c r="V1211">
        <v>60</v>
      </c>
      <c r="W1211">
        <v>82</v>
      </c>
      <c r="X1211">
        <v>122</v>
      </c>
      <c r="Y1211">
        <v>85</v>
      </c>
      <c r="Z1211">
        <v>184</v>
      </c>
      <c r="AA1211">
        <v>136</v>
      </c>
      <c r="AB1211" t="s">
        <v>2514</v>
      </c>
      <c r="AC1211" t="s">
        <v>191</v>
      </c>
      <c r="AD1211" t="s">
        <v>609</v>
      </c>
      <c r="AE1211" t="s">
        <v>183</v>
      </c>
      <c r="AF1211">
        <v>0</v>
      </c>
    </row>
    <row r="1212" spans="1:32">
      <c r="A1212">
        <v>346</v>
      </c>
      <c r="B1212">
        <v>973</v>
      </c>
      <c r="C1212" t="s">
        <v>650</v>
      </c>
      <c r="D1212" t="s">
        <v>1059</v>
      </c>
      <c r="E1212" t="s">
        <v>2165</v>
      </c>
      <c r="F1212" t="s">
        <v>5</v>
      </c>
      <c r="G1212" t="s">
        <v>2668</v>
      </c>
      <c r="H1212" t="s">
        <v>497</v>
      </c>
      <c r="I1212" t="s">
        <v>305</v>
      </c>
      <c r="J1212" t="s">
        <v>497</v>
      </c>
      <c r="K1212" t="s">
        <v>652</v>
      </c>
      <c r="L1212" s="84">
        <v>42019</v>
      </c>
      <c r="M1212" t="s">
        <v>175</v>
      </c>
      <c r="N1212" t="s">
        <v>1368</v>
      </c>
      <c r="O1212">
        <v>2</v>
      </c>
      <c r="P1212" t="s">
        <v>653</v>
      </c>
      <c r="Q1212" t="s">
        <v>2905</v>
      </c>
      <c r="R1212" t="s">
        <v>654</v>
      </c>
      <c r="S1212" t="s">
        <v>655</v>
      </c>
      <c r="T1212" t="s">
        <v>33</v>
      </c>
      <c r="U1212" t="s">
        <v>79</v>
      </c>
      <c r="V1212">
        <v>60</v>
      </c>
      <c r="W1212">
        <v>82</v>
      </c>
      <c r="X1212">
        <v>122</v>
      </c>
      <c r="Y1212">
        <v>85</v>
      </c>
      <c r="Z1212">
        <v>184</v>
      </c>
      <c r="AA1212">
        <v>136</v>
      </c>
      <c r="AB1212" t="s">
        <v>2514</v>
      </c>
      <c r="AC1212" t="s">
        <v>191</v>
      </c>
      <c r="AD1212" t="s">
        <v>609</v>
      </c>
      <c r="AE1212" t="s">
        <v>183</v>
      </c>
      <c r="AF1212">
        <v>0</v>
      </c>
    </row>
    <row r="1213" spans="1:32">
      <c r="A1213">
        <v>347</v>
      </c>
      <c r="B1213">
        <v>810</v>
      </c>
      <c r="C1213" t="s">
        <v>662</v>
      </c>
      <c r="D1213" t="s">
        <v>1059</v>
      </c>
      <c r="E1213" t="s">
        <v>2165</v>
      </c>
      <c r="F1213" t="s">
        <v>5</v>
      </c>
      <c r="G1213" t="s">
        <v>2669</v>
      </c>
      <c r="H1213" t="s">
        <v>217</v>
      </c>
      <c r="I1213" t="s">
        <v>189</v>
      </c>
      <c r="J1213" t="s">
        <v>260</v>
      </c>
      <c r="K1213" t="s">
        <v>664</v>
      </c>
      <c r="L1213" s="84">
        <v>42694</v>
      </c>
      <c r="M1213" t="s">
        <v>381</v>
      </c>
      <c r="N1213" t="s">
        <v>665</v>
      </c>
      <c r="O1213">
        <v>3</v>
      </c>
      <c r="P1213" t="s">
        <v>666</v>
      </c>
      <c r="Q1213" t="s">
        <v>667</v>
      </c>
      <c r="R1213" t="s">
        <v>668</v>
      </c>
      <c r="S1213" t="s">
        <v>669</v>
      </c>
      <c r="T1213" t="s">
        <v>33</v>
      </c>
      <c r="U1213" t="s">
        <v>80</v>
      </c>
      <c r="V1213">
        <v>56</v>
      </c>
      <c r="W1213">
        <v>82</v>
      </c>
      <c r="X1213">
        <v>122</v>
      </c>
      <c r="Y1213">
        <v>90</v>
      </c>
      <c r="Z1213">
        <v>184</v>
      </c>
      <c r="AA1213">
        <v>140</v>
      </c>
      <c r="AB1213" t="s">
        <v>398</v>
      </c>
      <c r="AC1213" t="s">
        <v>223</v>
      </c>
      <c r="AD1213" t="s">
        <v>609</v>
      </c>
      <c r="AE1213" t="s">
        <v>183</v>
      </c>
      <c r="AF1213">
        <v>0</v>
      </c>
    </row>
    <row r="1214" spans="1:32">
      <c r="A1214">
        <v>347</v>
      </c>
      <c r="B1214">
        <v>810</v>
      </c>
      <c r="C1214" t="s">
        <v>662</v>
      </c>
      <c r="D1214" t="s">
        <v>1059</v>
      </c>
      <c r="E1214" t="s">
        <v>2165</v>
      </c>
      <c r="F1214" t="s">
        <v>8</v>
      </c>
      <c r="G1214" t="s">
        <v>2670</v>
      </c>
      <c r="H1214" t="s">
        <v>275</v>
      </c>
      <c r="I1214" t="s">
        <v>257</v>
      </c>
      <c r="J1214" t="s">
        <v>215</v>
      </c>
      <c r="K1214" t="s">
        <v>664</v>
      </c>
      <c r="L1214" s="84">
        <v>42694</v>
      </c>
      <c r="M1214" t="s">
        <v>381</v>
      </c>
      <c r="N1214" t="s">
        <v>665</v>
      </c>
      <c r="O1214">
        <v>3</v>
      </c>
      <c r="P1214" t="s">
        <v>666</v>
      </c>
      <c r="Q1214" t="s">
        <v>667</v>
      </c>
      <c r="R1214" t="s">
        <v>668</v>
      </c>
      <c r="S1214" t="s">
        <v>669</v>
      </c>
      <c r="T1214" t="s">
        <v>31</v>
      </c>
      <c r="U1214" t="s">
        <v>80</v>
      </c>
      <c r="V1214">
        <v>56</v>
      </c>
      <c r="W1214">
        <v>82</v>
      </c>
      <c r="X1214">
        <v>122</v>
      </c>
      <c r="Y1214">
        <v>90</v>
      </c>
      <c r="Z1214">
        <v>184</v>
      </c>
      <c r="AA1214">
        <v>140</v>
      </c>
      <c r="AB1214" t="s">
        <v>398</v>
      </c>
      <c r="AC1214" t="s">
        <v>223</v>
      </c>
      <c r="AD1214" t="s">
        <v>609</v>
      </c>
      <c r="AE1214" t="s">
        <v>183</v>
      </c>
      <c r="AF1214">
        <v>0</v>
      </c>
    </row>
    <row r="1215" spans="1:32">
      <c r="A1215">
        <v>347</v>
      </c>
      <c r="B1215">
        <v>810</v>
      </c>
      <c r="C1215" t="s">
        <v>662</v>
      </c>
      <c r="D1215" t="s">
        <v>1059</v>
      </c>
      <c r="E1215" t="s">
        <v>2165</v>
      </c>
      <c r="F1215" t="s">
        <v>7</v>
      </c>
      <c r="G1215" t="s">
        <v>2671</v>
      </c>
      <c r="H1215" t="s">
        <v>236</v>
      </c>
      <c r="I1215" t="s">
        <v>189</v>
      </c>
      <c r="J1215" t="s">
        <v>189</v>
      </c>
      <c r="K1215" t="s">
        <v>664</v>
      </c>
      <c r="L1215" s="84">
        <v>42694</v>
      </c>
      <c r="M1215" t="s">
        <v>381</v>
      </c>
      <c r="N1215" t="s">
        <v>665</v>
      </c>
      <c r="O1215">
        <v>3</v>
      </c>
      <c r="P1215" t="s">
        <v>666</v>
      </c>
      <c r="Q1215" t="s">
        <v>667</v>
      </c>
      <c r="R1215" t="s">
        <v>668</v>
      </c>
      <c r="S1215" t="s">
        <v>669</v>
      </c>
      <c r="T1215" t="s">
        <v>32</v>
      </c>
      <c r="U1215" t="s">
        <v>80</v>
      </c>
      <c r="V1215">
        <v>56</v>
      </c>
      <c r="W1215">
        <v>82</v>
      </c>
      <c r="X1215">
        <v>122</v>
      </c>
      <c r="Y1215">
        <v>90</v>
      </c>
      <c r="Z1215">
        <v>184</v>
      </c>
      <c r="AA1215">
        <v>140</v>
      </c>
      <c r="AB1215" t="s">
        <v>398</v>
      </c>
      <c r="AC1215" t="s">
        <v>223</v>
      </c>
      <c r="AD1215" t="s">
        <v>609</v>
      </c>
      <c r="AE1215" t="s">
        <v>183</v>
      </c>
      <c r="AF1215">
        <v>0</v>
      </c>
    </row>
    <row r="1216" spans="1:32">
      <c r="A1216">
        <v>347</v>
      </c>
      <c r="B1216">
        <v>810</v>
      </c>
      <c r="C1216" t="s">
        <v>662</v>
      </c>
      <c r="D1216" t="s">
        <v>1059</v>
      </c>
      <c r="E1216" t="s">
        <v>2165</v>
      </c>
      <c r="F1216" t="s">
        <v>6</v>
      </c>
      <c r="G1216" t="s">
        <v>2672</v>
      </c>
      <c r="H1216" t="s">
        <v>259</v>
      </c>
      <c r="I1216" t="s">
        <v>497</v>
      </c>
      <c r="J1216" t="s">
        <v>189</v>
      </c>
      <c r="K1216" t="s">
        <v>664</v>
      </c>
      <c r="L1216" s="84">
        <v>42694</v>
      </c>
      <c r="M1216" t="s">
        <v>381</v>
      </c>
      <c r="N1216" t="s">
        <v>665</v>
      </c>
      <c r="O1216">
        <v>3</v>
      </c>
      <c r="P1216" t="s">
        <v>666</v>
      </c>
      <c r="Q1216" t="s">
        <v>667</v>
      </c>
      <c r="R1216" t="s">
        <v>668</v>
      </c>
      <c r="S1216" t="s">
        <v>669</v>
      </c>
      <c r="T1216" t="s">
        <v>34</v>
      </c>
      <c r="U1216" t="s">
        <v>80</v>
      </c>
      <c r="V1216">
        <v>56</v>
      </c>
      <c r="W1216">
        <v>82</v>
      </c>
      <c r="X1216">
        <v>122</v>
      </c>
      <c r="Y1216">
        <v>90</v>
      </c>
      <c r="Z1216">
        <v>184</v>
      </c>
      <c r="AA1216">
        <v>140</v>
      </c>
      <c r="AB1216" t="s">
        <v>398</v>
      </c>
      <c r="AC1216" t="s">
        <v>223</v>
      </c>
      <c r="AD1216" t="s">
        <v>609</v>
      </c>
      <c r="AE1216" t="s">
        <v>183</v>
      </c>
      <c r="AF1216">
        <v>0</v>
      </c>
    </row>
    <row r="1217" spans="1:32">
      <c r="A1217">
        <v>347</v>
      </c>
      <c r="B1217">
        <v>810</v>
      </c>
      <c r="C1217" t="s">
        <v>662</v>
      </c>
      <c r="D1217" t="s">
        <v>1059</v>
      </c>
      <c r="E1217" t="s">
        <v>2165</v>
      </c>
      <c r="F1217" t="s">
        <v>197</v>
      </c>
      <c r="G1217" t="s">
        <v>2673</v>
      </c>
      <c r="H1217" t="s">
        <v>212</v>
      </c>
      <c r="I1217" t="s">
        <v>192</v>
      </c>
      <c r="J1217" t="s">
        <v>212</v>
      </c>
      <c r="K1217" t="s">
        <v>664</v>
      </c>
      <c r="L1217" s="84">
        <v>42694</v>
      </c>
      <c r="M1217" t="s">
        <v>381</v>
      </c>
      <c r="N1217" t="s">
        <v>665</v>
      </c>
      <c r="O1217">
        <v>3</v>
      </c>
      <c r="P1217" t="s">
        <v>666</v>
      </c>
      <c r="Q1217" t="s">
        <v>667</v>
      </c>
      <c r="R1217" t="s">
        <v>668</v>
      </c>
      <c r="S1217" t="s">
        <v>669</v>
      </c>
      <c r="T1217" t="s">
        <v>38</v>
      </c>
      <c r="U1217" t="s">
        <v>80</v>
      </c>
      <c r="V1217">
        <v>56</v>
      </c>
      <c r="W1217">
        <v>82</v>
      </c>
      <c r="X1217">
        <v>122</v>
      </c>
      <c r="Y1217">
        <v>90</v>
      </c>
      <c r="Z1217">
        <v>184</v>
      </c>
      <c r="AA1217">
        <v>140</v>
      </c>
      <c r="AB1217" t="s">
        <v>398</v>
      </c>
      <c r="AC1217" t="s">
        <v>223</v>
      </c>
      <c r="AD1217" t="s">
        <v>609</v>
      </c>
      <c r="AE1217" t="s">
        <v>183</v>
      </c>
      <c r="AF1217">
        <v>0</v>
      </c>
    </row>
    <row r="1218" spans="1:32">
      <c r="A1218">
        <v>347</v>
      </c>
      <c r="B1218">
        <v>810</v>
      </c>
      <c r="C1218" t="s">
        <v>662</v>
      </c>
      <c r="D1218" t="s">
        <v>1059</v>
      </c>
      <c r="E1218" t="s">
        <v>2165</v>
      </c>
      <c r="F1218" t="s">
        <v>193</v>
      </c>
      <c r="G1218" t="s">
        <v>2674</v>
      </c>
      <c r="H1218" t="s">
        <v>192</v>
      </c>
      <c r="I1218" t="s">
        <v>212</v>
      </c>
      <c r="J1218" t="s">
        <v>192</v>
      </c>
      <c r="K1218" t="s">
        <v>664</v>
      </c>
      <c r="L1218" s="84">
        <v>42694</v>
      </c>
      <c r="M1218" t="s">
        <v>381</v>
      </c>
      <c r="N1218" t="s">
        <v>665</v>
      </c>
      <c r="O1218">
        <v>3</v>
      </c>
      <c r="P1218" t="s">
        <v>666</v>
      </c>
      <c r="Q1218" t="s">
        <v>667</v>
      </c>
      <c r="R1218" t="s">
        <v>668</v>
      </c>
      <c r="S1218" t="s">
        <v>669</v>
      </c>
      <c r="T1218" t="s">
        <v>36</v>
      </c>
      <c r="U1218" t="s">
        <v>80</v>
      </c>
      <c r="V1218">
        <v>56</v>
      </c>
      <c r="W1218">
        <v>82</v>
      </c>
      <c r="X1218">
        <v>122</v>
      </c>
      <c r="Y1218">
        <v>90</v>
      </c>
      <c r="Z1218">
        <v>184</v>
      </c>
      <c r="AA1218">
        <v>140</v>
      </c>
      <c r="AB1218" t="s">
        <v>398</v>
      </c>
      <c r="AC1218" t="s">
        <v>223</v>
      </c>
      <c r="AD1218" t="s">
        <v>609</v>
      </c>
      <c r="AE1218" t="s">
        <v>183</v>
      </c>
      <c r="AF1218">
        <v>0</v>
      </c>
    </row>
    <row r="1219" spans="1:32">
      <c r="A1219">
        <v>347</v>
      </c>
      <c r="B1219">
        <v>810</v>
      </c>
      <c r="C1219" t="s">
        <v>662</v>
      </c>
      <c r="D1219" t="s">
        <v>1059</v>
      </c>
      <c r="E1219" t="s">
        <v>2165</v>
      </c>
      <c r="F1219" t="s">
        <v>37</v>
      </c>
      <c r="G1219" t="s">
        <v>2675</v>
      </c>
      <c r="H1219" t="s">
        <v>1701</v>
      </c>
      <c r="I1219" t="s">
        <v>212</v>
      </c>
      <c r="J1219" t="s">
        <v>192</v>
      </c>
      <c r="K1219" t="s">
        <v>664</v>
      </c>
      <c r="L1219" s="84">
        <v>42694</v>
      </c>
      <c r="M1219" t="s">
        <v>381</v>
      </c>
      <c r="N1219" t="s">
        <v>665</v>
      </c>
      <c r="O1219">
        <v>3</v>
      </c>
      <c r="P1219" t="s">
        <v>666</v>
      </c>
      <c r="Q1219" t="s">
        <v>667</v>
      </c>
      <c r="R1219" t="s">
        <v>668</v>
      </c>
      <c r="S1219" t="s">
        <v>669</v>
      </c>
      <c r="T1219" t="s">
        <v>37</v>
      </c>
      <c r="U1219" t="s">
        <v>80</v>
      </c>
      <c r="V1219">
        <v>56</v>
      </c>
      <c r="W1219">
        <v>82</v>
      </c>
      <c r="X1219">
        <v>122</v>
      </c>
      <c r="Y1219">
        <v>90</v>
      </c>
      <c r="Z1219">
        <v>184</v>
      </c>
      <c r="AA1219">
        <v>140</v>
      </c>
      <c r="AB1219" t="s">
        <v>398</v>
      </c>
      <c r="AC1219" t="s">
        <v>223</v>
      </c>
      <c r="AD1219" t="s">
        <v>609</v>
      </c>
      <c r="AE1219" t="s">
        <v>183</v>
      </c>
      <c r="AF1219">
        <v>0</v>
      </c>
    </row>
    <row r="1220" spans="1:32">
      <c r="A1220">
        <v>348</v>
      </c>
      <c r="B1220">
        <v>797</v>
      </c>
      <c r="C1220" t="s">
        <v>676</v>
      </c>
      <c r="D1220" t="s">
        <v>1059</v>
      </c>
      <c r="E1220" t="s">
        <v>2165</v>
      </c>
      <c r="F1220" t="s">
        <v>37</v>
      </c>
      <c r="G1220" t="s">
        <v>2676</v>
      </c>
      <c r="H1220" t="s">
        <v>1701</v>
      </c>
      <c r="I1220" t="s">
        <v>212</v>
      </c>
      <c r="J1220" t="s">
        <v>212</v>
      </c>
      <c r="K1220" t="s">
        <v>678</v>
      </c>
      <c r="L1220" s="84">
        <v>42478</v>
      </c>
      <c r="M1220" t="s">
        <v>381</v>
      </c>
      <c r="N1220" t="s">
        <v>1369</v>
      </c>
      <c r="O1220">
        <v>3</v>
      </c>
      <c r="P1220" t="s">
        <v>679</v>
      </c>
      <c r="Q1220" t="s">
        <v>680</v>
      </c>
      <c r="R1220" t="s">
        <v>681</v>
      </c>
      <c r="S1220" t="s">
        <v>682</v>
      </c>
      <c r="T1220" t="s">
        <v>37</v>
      </c>
      <c r="U1220" t="s">
        <v>80</v>
      </c>
      <c r="V1220">
        <v>47</v>
      </c>
      <c r="W1220">
        <v>82</v>
      </c>
      <c r="X1220">
        <v>122</v>
      </c>
      <c r="Y1220">
        <v>79</v>
      </c>
      <c r="Z1220">
        <v>184</v>
      </c>
      <c r="AA1220">
        <v>132</v>
      </c>
      <c r="AB1220" t="s">
        <v>1084</v>
      </c>
      <c r="AC1220" t="s">
        <v>274</v>
      </c>
      <c r="AD1220" t="s">
        <v>210</v>
      </c>
      <c r="AE1220" t="s">
        <v>183</v>
      </c>
      <c r="AF1220">
        <v>0</v>
      </c>
    </row>
    <row r="1221" spans="1:32">
      <c r="A1221">
        <v>348</v>
      </c>
      <c r="B1221">
        <v>797</v>
      </c>
      <c r="C1221" t="s">
        <v>676</v>
      </c>
      <c r="D1221" t="s">
        <v>1059</v>
      </c>
      <c r="E1221" t="s">
        <v>2165</v>
      </c>
      <c r="F1221" t="s">
        <v>193</v>
      </c>
      <c r="G1221" t="s">
        <v>2677</v>
      </c>
      <c r="H1221" t="s">
        <v>188</v>
      </c>
      <c r="I1221" t="s">
        <v>212</v>
      </c>
      <c r="J1221" t="s">
        <v>212</v>
      </c>
      <c r="K1221" t="s">
        <v>678</v>
      </c>
      <c r="L1221" s="84">
        <v>42478</v>
      </c>
      <c r="M1221" t="s">
        <v>381</v>
      </c>
      <c r="N1221" t="s">
        <v>1369</v>
      </c>
      <c r="O1221">
        <v>3</v>
      </c>
      <c r="P1221" t="s">
        <v>679</v>
      </c>
      <c r="Q1221" t="s">
        <v>680</v>
      </c>
      <c r="R1221" t="s">
        <v>681</v>
      </c>
      <c r="S1221" t="s">
        <v>682</v>
      </c>
      <c r="T1221" t="s">
        <v>36</v>
      </c>
      <c r="U1221" t="s">
        <v>80</v>
      </c>
      <c r="V1221">
        <v>47</v>
      </c>
      <c r="W1221">
        <v>82</v>
      </c>
      <c r="X1221">
        <v>122</v>
      </c>
      <c r="Y1221">
        <v>79</v>
      </c>
      <c r="Z1221">
        <v>184</v>
      </c>
      <c r="AA1221">
        <v>132</v>
      </c>
      <c r="AB1221" t="s">
        <v>1084</v>
      </c>
      <c r="AC1221" t="s">
        <v>274</v>
      </c>
      <c r="AD1221" t="s">
        <v>210</v>
      </c>
      <c r="AE1221" t="s">
        <v>183</v>
      </c>
      <c r="AF1221">
        <v>0</v>
      </c>
    </row>
    <row r="1222" spans="1:32">
      <c r="A1222">
        <v>348</v>
      </c>
      <c r="B1222">
        <v>797</v>
      </c>
      <c r="C1222" t="s">
        <v>676</v>
      </c>
      <c r="D1222" t="s">
        <v>1059</v>
      </c>
      <c r="E1222" t="s">
        <v>2165</v>
      </c>
      <c r="F1222" t="s">
        <v>197</v>
      </c>
      <c r="G1222" t="s">
        <v>2678</v>
      </c>
      <c r="H1222" t="s">
        <v>212</v>
      </c>
      <c r="I1222" t="s">
        <v>192</v>
      </c>
      <c r="J1222" t="s">
        <v>192</v>
      </c>
      <c r="K1222" t="s">
        <v>678</v>
      </c>
      <c r="L1222" s="84">
        <v>42478</v>
      </c>
      <c r="M1222" t="s">
        <v>381</v>
      </c>
      <c r="N1222" t="s">
        <v>1369</v>
      </c>
      <c r="O1222">
        <v>3</v>
      </c>
      <c r="P1222" t="s">
        <v>679</v>
      </c>
      <c r="Q1222" t="s">
        <v>680</v>
      </c>
      <c r="R1222" t="s">
        <v>681</v>
      </c>
      <c r="S1222" t="s">
        <v>682</v>
      </c>
      <c r="T1222" t="s">
        <v>38</v>
      </c>
      <c r="U1222" t="s">
        <v>80</v>
      </c>
      <c r="V1222">
        <v>47</v>
      </c>
      <c r="W1222">
        <v>82</v>
      </c>
      <c r="X1222">
        <v>122</v>
      </c>
      <c r="Y1222">
        <v>79</v>
      </c>
      <c r="Z1222">
        <v>184</v>
      </c>
      <c r="AA1222">
        <v>132</v>
      </c>
      <c r="AB1222" t="s">
        <v>1084</v>
      </c>
      <c r="AC1222" t="s">
        <v>274</v>
      </c>
      <c r="AD1222" t="s">
        <v>210</v>
      </c>
      <c r="AE1222" t="s">
        <v>183</v>
      </c>
      <c r="AF1222">
        <v>0</v>
      </c>
    </row>
    <row r="1223" spans="1:32">
      <c r="A1223">
        <v>348</v>
      </c>
      <c r="B1223">
        <v>797</v>
      </c>
      <c r="C1223" t="s">
        <v>676</v>
      </c>
      <c r="D1223" t="s">
        <v>1059</v>
      </c>
      <c r="E1223" t="s">
        <v>2165</v>
      </c>
      <c r="F1223" t="s">
        <v>6</v>
      </c>
      <c r="G1223" t="s">
        <v>2679</v>
      </c>
      <c r="H1223" t="s">
        <v>218</v>
      </c>
      <c r="I1223" t="s">
        <v>216</v>
      </c>
      <c r="J1223" t="s">
        <v>212</v>
      </c>
      <c r="K1223" t="s">
        <v>678</v>
      </c>
      <c r="L1223" s="84">
        <v>42478</v>
      </c>
      <c r="M1223" t="s">
        <v>381</v>
      </c>
      <c r="N1223" t="s">
        <v>1369</v>
      </c>
      <c r="O1223">
        <v>3</v>
      </c>
      <c r="P1223" t="s">
        <v>679</v>
      </c>
      <c r="Q1223" t="s">
        <v>680</v>
      </c>
      <c r="R1223" t="s">
        <v>681</v>
      </c>
      <c r="S1223" t="s">
        <v>682</v>
      </c>
      <c r="T1223" t="s">
        <v>34</v>
      </c>
      <c r="U1223" t="s">
        <v>80</v>
      </c>
      <c r="V1223">
        <v>47</v>
      </c>
      <c r="W1223">
        <v>82</v>
      </c>
      <c r="X1223">
        <v>122</v>
      </c>
      <c r="Y1223">
        <v>79</v>
      </c>
      <c r="Z1223">
        <v>184</v>
      </c>
      <c r="AA1223">
        <v>132</v>
      </c>
      <c r="AB1223" t="s">
        <v>1084</v>
      </c>
      <c r="AC1223" t="s">
        <v>274</v>
      </c>
      <c r="AD1223" t="s">
        <v>210</v>
      </c>
      <c r="AE1223" t="s">
        <v>183</v>
      </c>
      <c r="AF1223">
        <v>0</v>
      </c>
    </row>
    <row r="1224" spans="1:32">
      <c r="A1224">
        <v>348</v>
      </c>
      <c r="B1224">
        <v>797</v>
      </c>
      <c r="C1224" t="s">
        <v>676</v>
      </c>
      <c r="D1224" t="s">
        <v>1059</v>
      </c>
      <c r="E1224" t="s">
        <v>2165</v>
      </c>
      <c r="F1224" t="s">
        <v>7</v>
      </c>
      <c r="G1224" t="s">
        <v>2680</v>
      </c>
      <c r="H1224" t="s">
        <v>274</v>
      </c>
      <c r="I1224" t="s">
        <v>274</v>
      </c>
      <c r="J1224" t="s">
        <v>243</v>
      </c>
      <c r="K1224" t="s">
        <v>678</v>
      </c>
      <c r="L1224" s="84">
        <v>42478</v>
      </c>
      <c r="M1224" t="s">
        <v>381</v>
      </c>
      <c r="N1224" t="s">
        <v>1369</v>
      </c>
      <c r="O1224">
        <v>3</v>
      </c>
      <c r="P1224" t="s">
        <v>679</v>
      </c>
      <c r="Q1224" t="s">
        <v>680</v>
      </c>
      <c r="R1224" t="s">
        <v>681</v>
      </c>
      <c r="S1224" t="s">
        <v>682</v>
      </c>
      <c r="T1224" t="s">
        <v>32</v>
      </c>
      <c r="U1224" t="s">
        <v>80</v>
      </c>
      <c r="V1224">
        <v>47</v>
      </c>
      <c r="W1224">
        <v>82</v>
      </c>
      <c r="X1224">
        <v>122</v>
      </c>
      <c r="Y1224">
        <v>79</v>
      </c>
      <c r="Z1224">
        <v>184</v>
      </c>
      <c r="AA1224">
        <v>132</v>
      </c>
      <c r="AB1224" t="s">
        <v>1084</v>
      </c>
      <c r="AC1224" t="s">
        <v>274</v>
      </c>
      <c r="AD1224" t="s">
        <v>210</v>
      </c>
      <c r="AE1224" t="s">
        <v>183</v>
      </c>
      <c r="AF1224">
        <v>0</v>
      </c>
    </row>
    <row r="1225" spans="1:32">
      <c r="A1225">
        <v>348</v>
      </c>
      <c r="B1225">
        <v>797</v>
      </c>
      <c r="C1225" t="s">
        <v>676</v>
      </c>
      <c r="D1225" t="s">
        <v>1059</v>
      </c>
      <c r="E1225" t="s">
        <v>2165</v>
      </c>
      <c r="F1225" t="s">
        <v>8</v>
      </c>
      <c r="G1225" t="s">
        <v>2681</v>
      </c>
      <c r="H1225" t="s">
        <v>274</v>
      </c>
      <c r="I1225" t="s">
        <v>297</v>
      </c>
      <c r="J1225" t="s">
        <v>171</v>
      </c>
      <c r="K1225" t="s">
        <v>678</v>
      </c>
      <c r="L1225" s="84">
        <v>42478</v>
      </c>
      <c r="M1225" t="s">
        <v>381</v>
      </c>
      <c r="N1225" t="s">
        <v>1369</v>
      </c>
      <c r="O1225">
        <v>3</v>
      </c>
      <c r="P1225" t="s">
        <v>679</v>
      </c>
      <c r="Q1225" t="s">
        <v>680</v>
      </c>
      <c r="R1225" t="s">
        <v>681</v>
      </c>
      <c r="S1225" t="s">
        <v>682</v>
      </c>
      <c r="T1225" t="s">
        <v>31</v>
      </c>
      <c r="U1225" t="s">
        <v>80</v>
      </c>
      <c r="V1225">
        <v>47</v>
      </c>
      <c r="W1225">
        <v>82</v>
      </c>
      <c r="X1225">
        <v>122</v>
      </c>
      <c r="Y1225">
        <v>79</v>
      </c>
      <c r="Z1225">
        <v>184</v>
      </c>
      <c r="AA1225">
        <v>132</v>
      </c>
      <c r="AB1225" t="s">
        <v>1084</v>
      </c>
      <c r="AC1225" t="s">
        <v>274</v>
      </c>
      <c r="AD1225" t="s">
        <v>210</v>
      </c>
      <c r="AE1225" t="s">
        <v>183</v>
      </c>
      <c r="AF1225">
        <v>0</v>
      </c>
    </row>
    <row r="1226" spans="1:32">
      <c r="A1226">
        <v>348</v>
      </c>
      <c r="B1226">
        <v>797</v>
      </c>
      <c r="C1226" t="s">
        <v>676</v>
      </c>
      <c r="D1226" t="s">
        <v>1059</v>
      </c>
      <c r="E1226" t="s">
        <v>2165</v>
      </c>
      <c r="F1226" t="s">
        <v>5</v>
      </c>
      <c r="G1226" t="s">
        <v>2682</v>
      </c>
      <c r="H1226" t="s">
        <v>239</v>
      </c>
      <c r="I1226" t="s">
        <v>216</v>
      </c>
      <c r="J1226" t="s">
        <v>297</v>
      </c>
      <c r="K1226" t="s">
        <v>678</v>
      </c>
      <c r="L1226" s="84">
        <v>42478</v>
      </c>
      <c r="M1226" t="s">
        <v>381</v>
      </c>
      <c r="N1226" t="s">
        <v>1369</v>
      </c>
      <c r="O1226">
        <v>3</v>
      </c>
      <c r="P1226" t="s">
        <v>679</v>
      </c>
      <c r="Q1226" t="s">
        <v>680</v>
      </c>
      <c r="R1226" t="s">
        <v>681</v>
      </c>
      <c r="S1226" t="s">
        <v>682</v>
      </c>
      <c r="T1226" t="s">
        <v>33</v>
      </c>
      <c r="U1226" t="s">
        <v>80</v>
      </c>
      <c r="V1226">
        <v>47</v>
      </c>
      <c r="W1226">
        <v>82</v>
      </c>
      <c r="X1226">
        <v>122</v>
      </c>
      <c r="Y1226">
        <v>79</v>
      </c>
      <c r="Z1226">
        <v>184</v>
      </c>
      <c r="AA1226">
        <v>132</v>
      </c>
      <c r="AB1226" t="s">
        <v>1084</v>
      </c>
      <c r="AC1226" t="s">
        <v>274</v>
      </c>
      <c r="AD1226" t="s">
        <v>210</v>
      </c>
      <c r="AE1226" t="s">
        <v>183</v>
      </c>
      <c r="AF1226">
        <v>0</v>
      </c>
    </row>
    <row r="1227" spans="1:32">
      <c r="A1227">
        <v>349</v>
      </c>
      <c r="B1227">
        <v>843</v>
      </c>
      <c r="C1227" t="s">
        <v>702</v>
      </c>
      <c r="D1227" t="s">
        <v>1059</v>
      </c>
      <c r="E1227" t="s">
        <v>2165</v>
      </c>
      <c r="F1227" t="s">
        <v>5</v>
      </c>
      <c r="G1227" t="s">
        <v>2683</v>
      </c>
      <c r="H1227" t="s">
        <v>259</v>
      </c>
      <c r="I1227" t="s">
        <v>220</v>
      </c>
      <c r="J1227" t="s">
        <v>216</v>
      </c>
      <c r="K1227" t="s">
        <v>704</v>
      </c>
      <c r="L1227" s="84">
        <v>42613</v>
      </c>
      <c r="M1227" t="s">
        <v>352</v>
      </c>
      <c r="N1227" t="s">
        <v>705</v>
      </c>
      <c r="O1227">
        <v>2</v>
      </c>
      <c r="P1227" t="s">
        <v>706</v>
      </c>
      <c r="Q1227" t="s">
        <v>707</v>
      </c>
      <c r="R1227" t="s">
        <v>708</v>
      </c>
      <c r="S1227" t="s">
        <v>709</v>
      </c>
      <c r="T1227" t="s">
        <v>33</v>
      </c>
      <c r="U1227" t="s">
        <v>79</v>
      </c>
      <c r="V1227">
        <v>73</v>
      </c>
      <c r="W1227">
        <v>82</v>
      </c>
      <c r="X1227">
        <v>122</v>
      </c>
      <c r="Y1227">
        <v>110</v>
      </c>
      <c r="Z1227">
        <v>184</v>
      </c>
      <c r="AA1227">
        <v>170</v>
      </c>
      <c r="AB1227" t="s">
        <v>882</v>
      </c>
      <c r="AC1227" t="s">
        <v>226</v>
      </c>
      <c r="AD1227" t="s">
        <v>609</v>
      </c>
      <c r="AE1227" t="s">
        <v>183</v>
      </c>
      <c r="AF1227">
        <v>0</v>
      </c>
    </row>
    <row r="1228" spans="1:32">
      <c r="A1228">
        <v>349</v>
      </c>
      <c r="B1228">
        <v>843</v>
      </c>
      <c r="C1228" t="s">
        <v>702</v>
      </c>
      <c r="D1228" t="s">
        <v>1059</v>
      </c>
      <c r="E1228" t="s">
        <v>2165</v>
      </c>
      <c r="F1228" t="s">
        <v>8</v>
      </c>
      <c r="G1228" t="s">
        <v>2684</v>
      </c>
      <c r="H1228" t="s">
        <v>259</v>
      </c>
      <c r="I1228" t="s">
        <v>305</v>
      </c>
      <c r="J1228" t="s">
        <v>275</v>
      </c>
      <c r="K1228" t="s">
        <v>704</v>
      </c>
      <c r="L1228" s="84">
        <v>42613</v>
      </c>
      <c r="M1228" t="s">
        <v>352</v>
      </c>
      <c r="N1228" t="s">
        <v>705</v>
      </c>
      <c r="O1228">
        <v>2</v>
      </c>
      <c r="P1228" t="s">
        <v>706</v>
      </c>
      <c r="Q1228" t="s">
        <v>707</v>
      </c>
      <c r="R1228" t="s">
        <v>708</v>
      </c>
      <c r="S1228" t="s">
        <v>709</v>
      </c>
      <c r="T1228" t="s">
        <v>31</v>
      </c>
      <c r="U1228" t="s">
        <v>79</v>
      </c>
      <c r="V1228">
        <v>73</v>
      </c>
      <c r="W1228">
        <v>82</v>
      </c>
      <c r="X1228">
        <v>122</v>
      </c>
      <c r="Y1228">
        <v>110</v>
      </c>
      <c r="Z1228">
        <v>184</v>
      </c>
      <c r="AA1228">
        <v>170</v>
      </c>
      <c r="AB1228" t="s">
        <v>882</v>
      </c>
      <c r="AC1228" t="s">
        <v>226</v>
      </c>
      <c r="AD1228" t="s">
        <v>609</v>
      </c>
      <c r="AE1228" t="s">
        <v>183</v>
      </c>
      <c r="AF1228">
        <v>0</v>
      </c>
    </row>
    <row r="1229" spans="1:32">
      <c r="A1229">
        <v>349</v>
      </c>
      <c r="B1229">
        <v>843</v>
      </c>
      <c r="C1229" t="s">
        <v>702</v>
      </c>
      <c r="D1229" t="s">
        <v>1059</v>
      </c>
      <c r="E1229" t="s">
        <v>2165</v>
      </c>
      <c r="F1229" t="s">
        <v>7</v>
      </c>
      <c r="G1229" t="s">
        <v>2685</v>
      </c>
      <c r="H1229" t="s">
        <v>239</v>
      </c>
      <c r="I1229" t="s">
        <v>259</v>
      </c>
      <c r="J1229" t="s">
        <v>239</v>
      </c>
      <c r="K1229" t="s">
        <v>704</v>
      </c>
      <c r="L1229" s="84">
        <v>42613</v>
      </c>
      <c r="M1229" t="s">
        <v>352</v>
      </c>
      <c r="N1229" t="s">
        <v>705</v>
      </c>
      <c r="O1229">
        <v>2</v>
      </c>
      <c r="P1229" t="s">
        <v>706</v>
      </c>
      <c r="Q1229" t="s">
        <v>707</v>
      </c>
      <c r="R1229" t="s">
        <v>708</v>
      </c>
      <c r="S1229" t="s">
        <v>709</v>
      </c>
      <c r="T1229" t="s">
        <v>32</v>
      </c>
      <c r="U1229" t="s">
        <v>79</v>
      </c>
      <c r="V1229">
        <v>73</v>
      </c>
      <c r="W1229">
        <v>82</v>
      </c>
      <c r="X1229">
        <v>122</v>
      </c>
      <c r="Y1229">
        <v>110</v>
      </c>
      <c r="Z1229">
        <v>184</v>
      </c>
      <c r="AA1229">
        <v>170</v>
      </c>
      <c r="AB1229" t="s">
        <v>882</v>
      </c>
      <c r="AC1229" t="s">
        <v>226</v>
      </c>
      <c r="AD1229" t="s">
        <v>609</v>
      </c>
      <c r="AE1229" t="s">
        <v>183</v>
      </c>
      <c r="AF1229">
        <v>0</v>
      </c>
    </row>
    <row r="1230" spans="1:32">
      <c r="A1230">
        <v>349</v>
      </c>
      <c r="B1230">
        <v>843</v>
      </c>
      <c r="C1230" t="s">
        <v>702</v>
      </c>
      <c r="D1230" t="s">
        <v>1059</v>
      </c>
      <c r="E1230" t="s">
        <v>2165</v>
      </c>
      <c r="F1230" t="s">
        <v>6</v>
      </c>
      <c r="G1230" t="s">
        <v>2686</v>
      </c>
      <c r="H1230" t="s">
        <v>257</v>
      </c>
      <c r="I1230" t="s">
        <v>239</v>
      </c>
      <c r="J1230" t="s">
        <v>259</v>
      </c>
      <c r="K1230" t="s">
        <v>704</v>
      </c>
      <c r="L1230" s="84">
        <v>42613</v>
      </c>
      <c r="M1230" t="s">
        <v>352</v>
      </c>
      <c r="N1230" t="s">
        <v>705</v>
      </c>
      <c r="O1230">
        <v>2</v>
      </c>
      <c r="P1230" t="s">
        <v>706</v>
      </c>
      <c r="Q1230" t="s">
        <v>707</v>
      </c>
      <c r="R1230" t="s">
        <v>708</v>
      </c>
      <c r="S1230" t="s">
        <v>709</v>
      </c>
      <c r="T1230" t="s">
        <v>34</v>
      </c>
      <c r="U1230" t="s">
        <v>79</v>
      </c>
      <c r="V1230">
        <v>73</v>
      </c>
      <c r="W1230">
        <v>82</v>
      </c>
      <c r="X1230">
        <v>122</v>
      </c>
      <c r="Y1230">
        <v>110</v>
      </c>
      <c r="Z1230">
        <v>184</v>
      </c>
      <c r="AA1230">
        <v>170</v>
      </c>
      <c r="AB1230" t="s">
        <v>882</v>
      </c>
      <c r="AC1230" t="s">
        <v>226</v>
      </c>
      <c r="AD1230" t="s">
        <v>609</v>
      </c>
      <c r="AE1230" t="s">
        <v>183</v>
      </c>
      <c r="AF1230">
        <v>0</v>
      </c>
    </row>
    <row r="1231" spans="1:32">
      <c r="A1231">
        <v>349</v>
      </c>
      <c r="B1231">
        <v>843</v>
      </c>
      <c r="C1231" t="s">
        <v>702</v>
      </c>
      <c r="D1231" t="s">
        <v>1059</v>
      </c>
      <c r="E1231" t="s">
        <v>2165</v>
      </c>
      <c r="F1231" t="s">
        <v>197</v>
      </c>
      <c r="G1231" t="s">
        <v>2687</v>
      </c>
      <c r="H1231" t="s">
        <v>192</v>
      </c>
      <c r="I1231" t="s">
        <v>192</v>
      </c>
      <c r="J1231" t="s">
        <v>192</v>
      </c>
      <c r="K1231" t="s">
        <v>704</v>
      </c>
      <c r="L1231" s="84">
        <v>42613</v>
      </c>
      <c r="M1231" t="s">
        <v>352</v>
      </c>
      <c r="N1231" t="s">
        <v>705</v>
      </c>
      <c r="O1231">
        <v>2</v>
      </c>
      <c r="P1231" t="s">
        <v>706</v>
      </c>
      <c r="Q1231" t="s">
        <v>707</v>
      </c>
      <c r="R1231" t="s">
        <v>708</v>
      </c>
      <c r="S1231" t="s">
        <v>709</v>
      </c>
      <c r="T1231" t="s">
        <v>38</v>
      </c>
      <c r="U1231" t="s">
        <v>79</v>
      </c>
      <c r="V1231">
        <v>73</v>
      </c>
      <c r="W1231">
        <v>82</v>
      </c>
      <c r="X1231">
        <v>122</v>
      </c>
      <c r="Y1231">
        <v>110</v>
      </c>
      <c r="Z1231">
        <v>184</v>
      </c>
      <c r="AA1231">
        <v>170</v>
      </c>
      <c r="AB1231" t="s">
        <v>882</v>
      </c>
      <c r="AC1231" t="s">
        <v>226</v>
      </c>
      <c r="AD1231" t="s">
        <v>609</v>
      </c>
      <c r="AE1231" t="s">
        <v>183</v>
      </c>
      <c r="AF1231">
        <v>0</v>
      </c>
    </row>
    <row r="1232" spans="1:32">
      <c r="A1232">
        <v>349</v>
      </c>
      <c r="B1232">
        <v>843</v>
      </c>
      <c r="C1232" t="s">
        <v>702</v>
      </c>
      <c r="D1232" t="s">
        <v>1059</v>
      </c>
      <c r="E1232" t="s">
        <v>2165</v>
      </c>
      <c r="F1232" t="s">
        <v>193</v>
      </c>
      <c r="G1232" t="s">
        <v>2688</v>
      </c>
      <c r="H1232" t="s">
        <v>188</v>
      </c>
      <c r="I1232" t="s">
        <v>212</v>
      </c>
      <c r="J1232" t="s">
        <v>212</v>
      </c>
      <c r="K1232" t="s">
        <v>704</v>
      </c>
      <c r="L1232" s="84">
        <v>42613</v>
      </c>
      <c r="M1232" t="s">
        <v>352</v>
      </c>
      <c r="N1232" t="s">
        <v>705</v>
      </c>
      <c r="O1232">
        <v>2</v>
      </c>
      <c r="P1232" t="s">
        <v>706</v>
      </c>
      <c r="Q1232" t="s">
        <v>707</v>
      </c>
      <c r="R1232" t="s">
        <v>708</v>
      </c>
      <c r="S1232" t="s">
        <v>709</v>
      </c>
      <c r="T1232" t="s">
        <v>36</v>
      </c>
      <c r="U1232" t="s">
        <v>79</v>
      </c>
      <c r="V1232">
        <v>73</v>
      </c>
      <c r="W1232">
        <v>82</v>
      </c>
      <c r="X1232">
        <v>122</v>
      </c>
      <c r="Y1232">
        <v>110</v>
      </c>
      <c r="Z1232">
        <v>184</v>
      </c>
      <c r="AA1232">
        <v>170</v>
      </c>
      <c r="AB1232" t="s">
        <v>882</v>
      </c>
      <c r="AC1232" t="s">
        <v>226</v>
      </c>
      <c r="AD1232" t="s">
        <v>609</v>
      </c>
      <c r="AE1232" t="s">
        <v>183</v>
      </c>
      <c r="AF1232">
        <v>0</v>
      </c>
    </row>
    <row r="1233" spans="1:32">
      <c r="A1233">
        <v>349</v>
      </c>
      <c r="B1233">
        <v>843</v>
      </c>
      <c r="C1233" t="s">
        <v>702</v>
      </c>
      <c r="D1233" t="s">
        <v>1059</v>
      </c>
      <c r="E1233" t="s">
        <v>2165</v>
      </c>
      <c r="F1233" t="s">
        <v>37</v>
      </c>
      <c r="G1233" t="s">
        <v>2689</v>
      </c>
      <c r="H1233" t="s">
        <v>1701</v>
      </c>
      <c r="I1233" t="s">
        <v>212</v>
      </c>
      <c r="J1233" t="s">
        <v>192</v>
      </c>
      <c r="K1233" t="s">
        <v>704</v>
      </c>
      <c r="L1233" s="84">
        <v>42613</v>
      </c>
      <c r="M1233" t="s">
        <v>352</v>
      </c>
      <c r="N1233" t="s">
        <v>705</v>
      </c>
      <c r="O1233">
        <v>2</v>
      </c>
      <c r="P1233" t="s">
        <v>706</v>
      </c>
      <c r="Q1233" t="s">
        <v>707</v>
      </c>
      <c r="R1233" t="s">
        <v>708</v>
      </c>
      <c r="S1233" t="s">
        <v>709</v>
      </c>
      <c r="T1233" t="s">
        <v>37</v>
      </c>
      <c r="U1233" t="s">
        <v>79</v>
      </c>
      <c r="V1233">
        <v>73</v>
      </c>
      <c r="W1233">
        <v>82</v>
      </c>
      <c r="X1233">
        <v>122</v>
      </c>
      <c r="Y1233">
        <v>110</v>
      </c>
      <c r="Z1233">
        <v>184</v>
      </c>
      <c r="AA1233">
        <v>170</v>
      </c>
      <c r="AB1233" t="s">
        <v>882</v>
      </c>
      <c r="AC1233" t="s">
        <v>226</v>
      </c>
      <c r="AD1233" t="s">
        <v>609</v>
      </c>
      <c r="AE1233" t="s">
        <v>183</v>
      </c>
      <c r="AF1233">
        <v>0</v>
      </c>
    </row>
    <row r="1234" spans="1:32">
      <c r="A1234">
        <v>350</v>
      </c>
      <c r="B1234">
        <v>844</v>
      </c>
      <c r="C1234" t="s">
        <v>715</v>
      </c>
      <c r="D1234" t="s">
        <v>1059</v>
      </c>
      <c r="E1234" t="s">
        <v>2165</v>
      </c>
      <c r="F1234" t="s">
        <v>37</v>
      </c>
      <c r="G1234" t="s">
        <v>2690</v>
      </c>
      <c r="H1234" t="s">
        <v>1701</v>
      </c>
      <c r="I1234" t="s">
        <v>212</v>
      </c>
      <c r="J1234" t="s">
        <v>192</v>
      </c>
      <c r="K1234" t="s">
        <v>717</v>
      </c>
      <c r="L1234" s="84">
        <v>42377</v>
      </c>
      <c r="M1234" t="s">
        <v>352</v>
      </c>
      <c r="N1234" t="s">
        <v>503</v>
      </c>
      <c r="O1234">
        <v>3</v>
      </c>
      <c r="P1234" t="s">
        <v>718</v>
      </c>
      <c r="Q1234" t="s">
        <v>719</v>
      </c>
      <c r="R1234" t="s">
        <v>720</v>
      </c>
      <c r="S1234" t="s">
        <v>721</v>
      </c>
      <c r="T1234" t="s">
        <v>37</v>
      </c>
      <c r="U1234" t="s">
        <v>80</v>
      </c>
      <c r="V1234">
        <v>64</v>
      </c>
      <c r="W1234">
        <v>82</v>
      </c>
      <c r="X1234">
        <v>122</v>
      </c>
      <c r="Y1234">
        <v>87</v>
      </c>
      <c r="Z1234">
        <v>184</v>
      </c>
      <c r="AA1234">
        <v>126</v>
      </c>
      <c r="AB1234" t="s">
        <v>398</v>
      </c>
      <c r="AC1234" t="s">
        <v>243</v>
      </c>
      <c r="AD1234" t="s">
        <v>210</v>
      </c>
      <c r="AE1234" t="s">
        <v>183</v>
      </c>
      <c r="AF1234">
        <v>0</v>
      </c>
    </row>
    <row r="1235" spans="1:32">
      <c r="A1235">
        <v>350</v>
      </c>
      <c r="B1235">
        <v>844</v>
      </c>
      <c r="C1235" t="s">
        <v>715</v>
      </c>
      <c r="D1235" t="s">
        <v>1059</v>
      </c>
      <c r="E1235" t="s">
        <v>2165</v>
      </c>
      <c r="F1235" t="s">
        <v>193</v>
      </c>
      <c r="G1235" t="s">
        <v>2691</v>
      </c>
      <c r="H1235" t="s">
        <v>212</v>
      </c>
      <c r="I1235" t="s">
        <v>212</v>
      </c>
      <c r="J1235" t="s">
        <v>192</v>
      </c>
      <c r="K1235" t="s">
        <v>717</v>
      </c>
      <c r="L1235" s="84">
        <v>42377</v>
      </c>
      <c r="M1235" t="s">
        <v>352</v>
      </c>
      <c r="N1235" t="s">
        <v>503</v>
      </c>
      <c r="O1235">
        <v>3</v>
      </c>
      <c r="P1235" t="s">
        <v>718</v>
      </c>
      <c r="Q1235" t="s">
        <v>719</v>
      </c>
      <c r="R1235" t="s">
        <v>720</v>
      </c>
      <c r="S1235" t="s">
        <v>721</v>
      </c>
      <c r="T1235" t="s">
        <v>36</v>
      </c>
      <c r="U1235" t="s">
        <v>80</v>
      </c>
      <c r="V1235">
        <v>64</v>
      </c>
      <c r="W1235">
        <v>82</v>
      </c>
      <c r="X1235">
        <v>122</v>
      </c>
      <c r="Y1235">
        <v>87</v>
      </c>
      <c r="Z1235">
        <v>184</v>
      </c>
      <c r="AA1235">
        <v>126</v>
      </c>
      <c r="AB1235" t="s">
        <v>398</v>
      </c>
      <c r="AC1235" t="s">
        <v>243</v>
      </c>
      <c r="AD1235" t="s">
        <v>210</v>
      </c>
      <c r="AE1235" t="s">
        <v>183</v>
      </c>
      <c r="AF1235">
        <v>0</v>
      </c>
    </row>
    <row r="1236" spans="1:32">
      <c r="A1236">
        <v>350</v>
      </c>
      <c r="B1236">
        <v>844</v>
      </c>
      <c r="C1236" t="s">
        <v>715</v>
      </c>
      <c r="D1236" t="s">
        <v>1059</v>
      </c>
      <c r="E1236" t="s">
        <v>2165</v>
      </c>
      <c r="F1236" t="s">
        <v>197</v>
      </c>
      <c r="G1236" t="s">
        <v>2692</v>
      </c>
      <c r="H1236" t="s">
        <v>188</v>
      </c>
      <c r="I1236" t="s">
        <v>192</v>
      </c>
      <c r="J1236" t="s">
        <v>192</v>
      </c>
      <c r="K1236" t="s">
        <v>717</v>
      </c>
      <c r="L1236" s="84">
        <v>42377</v>
      </c>
      <c r="M1236" t="s">
        <v>352</v>
      </c>
      <c r="N1236" t="s">
        <v>503</v>
      </c>
      <c r="O1236">
        <v>3</v>
      </c>
      <c r="P1236" t="s">
        <v>718</v>
      </c>
      <c r="Q1236" t="s">
        <v>719</v>
      </c>
      <c r="R1236" t="s">
        <v>720</v>
      </c>
      <c r="S1236" t="s">
        <v>721</v>
      </c>
      <c r="T1236" t="s">
        <v>38</v>
      </c>
      <c r="U1236" t="s">
        <v>80</v>
      </c>
      <c r="V1236">
        <v>64</v>
      </c>
      <c r="W1236">
        <v>82</v>
      </c>
      <c r="X1236">
        <v>122</v>
      </c>
      <c r="Y1236">
        <v>87</v>
      </c>
      <c r="Z1236">
        <v>184</v>
      </c>
      <c r="AA1236">
        <v>126</v>
      </c>
      <c r="AB1236" t="s">
        <v>398</v>
      </c>
      <c r="AC1236" t="s">
        <v>243</v>
      </c>
      <c r="AD1236" t="s">
        <v>210</v>
      </c>
      <c r="AE1236" t="s">
        <v>183</v>
      </c>
      <c r="AF1236">
        <v>0</v>
      </c>
    </row>
    <row r="1237" spans="1:32">
      <c r="A1237">
        <v>350</v>
      </c>
      <c r="B1237">
        <v>844</v>
      </c>
      <c r="C1237" t="s">
        <v>715</v>
      </c>
      <c r="D1237" t="s">
        <v>1059</v>
      </c>
      <c r="E1237" t="s">
        <v>2165</v>
      </c>
      <c r="F1237" t="s">
        <v>6</v>
      </c>
      <c r="G1237" t="s">
        <v>2693</v>
      </c>
      <c r="H1237" t="s">
        <v>243</v>
      </c>
      <c r="I1237" t="s">
        <v>329</v>
      </c>
      <c r="J1237" t="s">
        <v>374</v>
      </c>
      <c r="K1237" t="s">
        <v>717</v>
      </c>
      <c r="L1237" s="84">
        <v>42377</v>
      </c>
      <c r="M1237" t="s">
        <v>352</v>
      </c>
      <c r="N1237" t="s">
        <v>503</v>
      </c>
      <c r="O1237">
        <v>3</v>
      </c>
      <c r="P1237" t="s">
        <v>718</v>
      </c>
      <c r="Q1237" t="s">
        <v>719</v>
      </c>
      <c r="R1237" t="s">
        <v>720</v>
      </c>
      <c r="S1237" t="s">
        <v>721</v>
      </c>
      <c r="T1237" t="s">
        <v>34</v>
      </c>
      <c r="U1237" t="s">
        <v>80</v>
      </c>
      <c r="V1237">
        <v>64</v>
      </c>
      <c r="W1237">
        <v>82</v>
      </c>
      <c r="X1237">
        <v>122</v>
      </c>
      <c r="Y1237">
        <v>87</v>
      </c>
      <c r="Z1237">
        <v>184</v>
      </c>
      <c r="AA1237">
        <v>126</v>
      </c>
      <c r="AB1237" t="s">
        <v>398</v>
      </c>
      <c r="AC1237" t="s">
        <v>243</v>
      </c>
      <c r="AD1237" t="s">
        <v>210</v>
      </c>
      <c r="AE1237" t="s">
        <v>183</v>
      </c>
      <c r="AF1237">
        <v>0</v>
      </c>
    </row>
    <row r="1238" spans="1:32">
      <c r="A1238">
        <v>350</v>
      </c>
      <c r="B1238">
        <v>844</v>
      </c>
      <c r="C1238" t="s">
        <v>715</v>
      </c>
      <c r="D1238" t="s">
        <v>1059</v>
      </c>
      <c r="E1238" t="s">
        <v>2165</v>
      </c>
      <c r="F1238" t="s">
        <v>7</v>
      </c>
      <c r="G1238" t="s">
        <v>2694</v>
      </c>
      <c r="H1238" t="s">
        <v>181</v>
      </c>
      <c r="I1238" t="s">
        <v>236</v>
      </c>
      <c r="J1238" t="s">
        <v>260</v>
      </c>
      <c r="K1238" t="s">
        <v>717</v>
      </c>
      <c r="L1238" s="84">
        <v>42377</v>
      </c>
      <c r="M1238" t="s">
        <v>352</v>
      </c>
      <c r="N1238" t="s">
        <v>503</v>
      </c>
      <c r="O1238">
        <v>3</v>
      </c>
      <c r="P1238" t="s">
        <v>718</v>
      </c>
      <c r="Q1238" t="s">
        <v>719</v>
      </c>
      <c r="R1238" t="s">
        <v>720</v>
      </c>
      <c r="S1238" t="s">
        <v>721</v>
      </c>
      <c r="T1238" t="s">
        <v>32</v>
      </c>
      <c r="U1238" t="s">
        <v>80</v>
      </c>
      <c r="V1238">
        <v>64</v>
      </c>
      <c r="W1238">
        <v>82</v>
      </c>
      <c r="X1238">
        <v>122</v>
      </c>
      <c r="Y1238">
        <v>87</v>
      </c>
      <c r="Z1238">
        <v>184</v>
      </c>
      <c r="AA1238">
        <v>126</v>
      </c>
      <c r="AB1238" t="s">
        <v>398</v>
      </c>
      <c r="AC1238" t="s">
        <v>243</v>
      </c>
      <c r="AD1238" t="s">
        <v>210</v>
      </c>
      <c r="AE1238" t="s">
        <v>183</v>
      </c>
      <c r="AF1238">
        <v>0</v>
      </c>
    </row>
    <row r="1239" spans="1:32">
      <c r="A1239">
        <v>350</v>
      </c>
      <c r="B1239">
        <v>844</v>
      </c>
      <c r="C1239" t="s">
        <v>715</v>
      </c>
      <c r="D1239" t="s">
        <v>1059</v>
      </c>
      <c r="E1239" t="s">
        <v>2165</v>
      </c>
      <c r="F1239" t="s">
        <v>8</v>
      </c>
      <c r="G1239" t="s">
        <v>2695</v>
      </c>
      <c r="H1239" t="s">
        <v>192</v>
      </c>
      <c r="I1239" t="s">
        <v>192</v>
      </c>
      <c r="J1239" t="s">
        <v>188</v>
      </c>
      <c r="K1239" t="s">
        <v>717</v>
      </c>
      <c r="L1239" s="84">
        <v>42377</v>
      </c>
      <c r="M1239" t="s">
        <v>352</v>
      </c>
      <c r="N1239" t="s">
        <v>503</v>
      </c>
      <c r="O1239">
        <v>3</v>
      </c>
      <c r="P1239" t="s">
        <v>718</v>
      </c>
      <c r="Q1239" t="s">
        <v>719</v>
      </c>
      <c r="R1239" t="s">
        <v>720</v>
      </c>
      <c r="S1239" t="s">
        <v>721</v>
      </c>
      <c r="T1239" t="s">
        <v>31</v>
      </c>
      <c r="U1239" t="s">
        <v>80</v>
      </c>
      <c r="V1239">
        <v>64</v>
      </c>
      <c r="W1239">
        <v>82</v>
      </c>
      <c r="X1239">
        <v>122</v>
      </c>
      <c r="Y1239">
        <v>87</v>
      </c>
      <c r="Z1239">
        <v>184</v>
      </c>
      <c r="AA1239">
        <v>126</v>
      </c>
      <c r="AB1239" t="s">
        <v>398</v>
      </c>
      <c r="AC1239" t="s">
        <v>243</v>
      </c>
      <c r="AD1239" t="s">
        <v>210</v>
      </c>
      <c r="AE1239" t="s">
        <v>183</v>
      </c>
      <c r="AF1239">
        <v>0</v>
      </c>
    </row>
    <row r="1240" spans="1:32">
      <c r="A1240">
        <v>350</v>
      </c>
      <c r="B1240">
        <v>844</v>
      </c>
      <c r="C1240" t="s">
        <v>715</v>
      </c>
      <c r="D1240" t="s">
        <v>1059</v>
      </c>
      <c r="E1240" t="s">
        <v>2165</v>
      </c>
      <c r="F1240" t="s">
        <v>5</v>
      </c>
      <c r="G1240" t="s">
        <v>2696</v>
      </c>
      <c r="H1240" t="s">
        <v>221</v>
      </c>
      <c r="I1240" t="s">
        <v>188</v>
      </c>
      <c r="J1240" t="s">
        <v>191</v>
      </c>
      <c r="K1240" t="s">
        <v>717</v>
      </c>
      <c r="L1240" s="84">
        <v>42377</v>
      </c>
      <c r="M1240" t="s">
        <v>352</v>
      </c>
      <c r="N1240" t="s">
        <v>503</v>
      </c>
      <c r="O1240">
        <v>3</v>
      </c>
      <c r="P1240" t="s">
        <v>718</v>
      </c>
      <c r="Q1240" t="s">
        <v>719</v>
      </c>
      <c r="R1240" t="s">
        <v>720</v>
      </c>
      <c r="S1240" t="s">
        <v>721</v>
      </c>
      <c r="T1240" t="s">
        <v>33</v>
      </c>
      <c r="U1240" t="s">
        <v>80</v>
      </c>
      <c r="V1240">
        <v>64</v>
      </c>
      <c r="W1240">
        <v>82</v>
      </c>
      <c r="X1240">
        <v>122</v>
      </c>
      <c r="Y1240">
        <v>87</v>
      </c>
      <c r="Z1240">
        <v>184</v>
      </c>
      <c r="AA1240">
        <v>126</v>
      </c>
      <c r="AB1240" t="s">
        <v>398</v>
      </c>
      <c r="AC1240" t="s">
        <v>243</v>
      </c>
      <c r="AD1240" t="s">
        <v>210</v>
      </c>
      <c r="AE1240" t="s">
        <v>183</v>
      </c>
      <c r="AF1240">
        <v>0</v>
      </c>
    </row>
    <row r="1241" spans="1:32">
      <c r="A1241">
        <v>351</v>
      </c>
      <c r="B1241">
        <v>959</v>
      </c>
      <c r="C1241" t="s">
        <v>1042</v>
      </c>
      <c r="D1241" t="s">
        <v>1059</v>
      </c>
      <c r="E1241" t="s">
        <v>2165</v>
      </c>
      <c r="F1241" t="s">
        <v>5</v>
      </c>
      <c r="G1241" t="s">
        <v>2697</v>
      </c>
      <c r="H1241" t="s">
        <v>274</v>
      </c>
      <c r="I1241" t="s">
        <v>260</v>
      </c>
      <c r="J1241" t="s">
        <v>226</v>
      </c>
      <c r="K1241" t="s">
        <v>1043</v>
      </c>
      <c r="L1241" s="84">
        <v>41968</v>
      </c>
      <c r="M1241" t="s">
        <v>325</v>
      </c>
      <c r="N1241" t="s">
        <v>1044</v>
      </c>
      <c r="O1241">
        <v>2</v>
      </c>
      <c r="P1241" t="s">
        <v>1045</v>
      </c>
      <c r="Q1241" t="s">
        <v>1046</v>
      </c>
      <c r="R1241" t="s">
        <v>1047</v>
      </c>
      <c r="S1241" t="s">
        <v>1048</v>
      </c>
      <c r="T1241" t="s">
        <v>33</v>
      </c>
      <c r="U1241" t="s">
        <v>79</v>
      </c>
      <c r="V1241">
        <v>49</v>
      </c>
      <c r="W1241">
        <v>82</v>
      </c>
      <c r="X1241">
        <v>122</v>
      </c>
      <c r="Y1241">
        <v>75</v>
      </c>
      <c r="Z1241">
        <v>184</v>
      </c>
      <c r="AA1241">
        <v>127</v>
      </c>
      <c r="AB1241" t="s">
        <v>2514</v>
      </c>
      <c r="AC1241" t="s">
        <v>191</v>
      </c>
      <c r="AD1241" t="s">
        <v>210</v>
      </c>
      <c r="AE1241" t="s">
        <v>183</v>
      </c>
      <c r="AF1241">
        <v>1</v>
      </c>
    </row>
    <row r="1242" spans="1:32">
      <c r="A1242">
        <v>351</v>
      </c>
      <c r="B1242">
        <v>959</v>
      </c>
      <c r="C1242" t="s">
        <v>1042</v>
      </c>
      <c r="D1242" t="s">
        <v>1059</v>
      </c>
      <c r="E1242" t="s">
        <v>2165</v>
      </c>
      <c r="F1242" t="s">
        <v>8</v>
      </c>
      <c r="G1242" t="s">
        <v>2698</v>
      </c>
      <c r="H1242" t="s">
        <v>243</v>
      </c>
      <c r="I1242" t="s">
        <v>181</v>
      </c>
      <c r="J1242" t="s">
        <v>172</v>
      </c>
      <c r="K1242" t="s">
        <v>1043</v>
      </c>
      <c r="L1242" s="84">
        <v>41968</v>
      </c>
      <c r="M1242" t="s">
        <v>325</v>
      </c>
      <c r="N1242" t="s">
        <v>1044</v>
      </c>
      <c r="O1242">
        <v>2</v>
      </c>
      <c r="P1242" t="s">
        <v>1045</v>
      </c>
      <c r="Q1242" t="s">
        <v>1046</v>
      </c>
      <c r="R1242" t="s">
        <v>1047</v>
      </c>
      <c r="S1242" t="s">
        <v>1048</v>
      </c>
      <c r="T1242" t="s">
        <v>31</v>
      </c>
      <c r="U1242" t="s">
        <v>79</v>
      </c>
      <c r="V1242">
        <v>49</v>
      </c>
      <c r="W1242">
        <v>82</v>
      </c>
      <c r="X1242">
        <v>122</v>
      </c>
      <c r="Y1242">
        <v>75</v>
      </c>
      <c r="Z1242">
        <v>184</v>
      </c>
      <c r="AA1242">
        <v>127</v>
      </c>
      <c r="AB1242" t="s">
        <v>2514</v>
      </c>
      <c r="AC1242" t="s">
        <v>191</v>
      </c>
      <c r="AD1242" t="s">
        <v>210</v>
      </c>
      <c r="AE1242" t="s">
        <v>183</v>
      </c>
      <c r="AF1242">
        <v>1</v>
      </c>
    </row>
    <row r="1243" spans="1:32">
      <c r="A1243">
        <v>351</v>
      </c>
      <c r="B1243">
        <v>959</v>
      </c>
      <c r="C1243" t="s">
        <v>1042</v>
      </c>
      <c r="D1243" t="s">
        <v>1059</v>
      </c>
      <c r="E1243" t="s">
        <v>2165</v>
      </c>
      <c r="F1243" t="s">
        <v>7</v>
      </c>
      <c r="G1243" t="s">
        <v>2699</v>
      </c>
      <c r="H1243" t="s">
        <v>2045</v>
      </c>
      <c r="I1243" t="s">
        <v>223</v>
      </c>
      <c r="J1243" t="s">
        <v>188</v>
      </c>
      <c r="K1243" t="s">
        <v>1043</v>
      </c>
      <c r="L1243" s="84">
        <v>41968</v>
      </c>
      <c r="M1243" t="s">
        <v>325</v>
      </c>
      <c r="N1243" t="s">
        <v>1044</v>
      </c>
      <c r="O1243">
        <v>2</v>
      </c>
      <c r="P1243" t="s">
        <v>1045</v>
      </c>
      <c r="Q1243" t="s">
        <v>1046</v>
      </c>
      <c r="R1243" t="s">
        <v>1047</v>
      </c>
      <c r="S1243" t="s">
        <v>1048</v>
      </c>
      <c r="T1243" t="s">
        <v>32</v>
      </c>
      <c r="U1243" t="s">
        <v>79</v>
      </c>
      <c r="V1243">
        <v>49</v>
      </c>
      <c r="W1243">
        <v>82</v>
      </c>
      <c r="X1243">
        <v>122</v>
      </c>
      <c r="Y1243">
        <v>75</v>
      </c>
      <c r="Z1243">
        <v>184</v>
      </c>
      <c r="AA1243">
        <v>127</v>
      </c>
      <c r="AB1243" t="s">
        <v>2514</v>
      </c>
      <c r="AC1243" t="s">
        <v>191</v>
      </c>
      <c r="AD1243" t="s">
        <v>210</v>
      </c>
      <c r="AE1243" t="s">
        <v>2046</v>
      </c>
      <c r="AF1243">
        <v>1</v>
      </c>
    </row>
    <row r="1244" spans="1:32">
      <c r="A1244">
        <v>351</v>
      </c>
      <c r="B1244">
        <v>959</v>
      </c>
      <c r="C1244" t="s">
        <v>1042</v>
      </c>
      <c r="D1244" t="s">
        <v>1059</v>
      </c>
      <c r="E1244" t="s">
        <v>2165</v>
      </c>
      <c r="F1244" t="s">
        <v>6</v>
      </c>
      <c r="G1244" t="s">
        <v>2700</v>
      </c>
      <c r="H1244" t="s">
        <v>223</v>
      </c>
      <c r="I1244" t="s">
        <v>243</v>
      </c>
      <c r="J1244" t="s">
        <v>415</v>
      </c>
      <c r="K1244" t="s">
        <v>1043</v>
      </c>
      <c r="L1244" s="84">
        <v>41968</v>
      </c>
      <c r="M1244" t="s">
        <v>325</v>
      </c>
      <c r="N1244" t="s">
        <v>1044</v>
      </c>
      <c r="O1244">
        <v>2</v>
      </c>
      <c r="P1244" t="s">
        <v>1045</v>
      </c>
      <c r="Q1244" t="s">
        <v>1046</v>
      </c>
      <c r="R1244" t="s">
        <v>1047</v>
      </c>
      <c r="S1244" t="s">
        <v>1048</v>
      </c>
      <c r="T1244" t="s">
        <v>34</v>
      </c>
      <c r="U1244" t="s">
        <v>79</v>
      </c>
      <c r="V1244">
        <v>49</v>
      </c>
      <c r="W1244">
        <v>82</v>
      </c>
      <c r="X1244">
        <v>122</v>
      </c>
      <c r="Y1244">
        <v>75</v>
      </c>
      <c r="Z1244">
        <v>184</v>
      </c>
      <c r="AA1244">
        <v>127</v>
      </c>
      <c r="AB1244" t="s">
        <v>2514</v>
      </c>
      <c r="AC1244" t="s">
        <v>191</v>
      </c>
      <c r="AD1244" t="s">
        <v>210</v>
      </c>
      <c r="AE1244" t="s">
        <v>183</v>
      </c>
      <c r="AF1244">
        <v>1</v>
      </c>
    </row>
    <row r="1245" spans="1:32">
      <c r="A1245">
        <v>351</v>
      </c>
      <c r="B1245">
        <v>959</v>
      </c>
      <c r="C1245" t="s">
        <v>1042</v>
      </c>
      <c r="D1245" t="s">
        <v>1059</v>
      </c>
      <c r="E1245" t="s">
        <v>2165</v>
      </c>
      <c r="F1245" t="s">
        <v>197</v>
      </c>
      <c r="G1245" t="s">
        <v>2701</v>
      </c>
      <c r="H1245" t="s">
        <v>188</v>
      </c>
      <c r="I1245" t="s">
        <v>192</v>
      </c>
      <c r="J1245" t="s">
        <v>192</v>
      </c>
      <c r="K1245" t="s">
        <v>1043</v>
      </c>
      <c r="L1245" s="84">
        <v>41968</v>
      </c>
      <c r="M1245" t="s">
        <v>325</v>
      </c>
      <c r="N1245" t="s">
        <v>1044</v>
      </c>
      <c r="O1245">
        <v>2</v>
      </c>
      <c r="P1245" t="s">
        <v>1045</v>
      </c>
      <c r="Q1245" t="s">
        <v>1046</v>
      </c>
      <c r="R1245" t="s">
        <v>1047</v>
      </c>
      <c r="S1245" t="s">
        <v>1048</v>
      </c>
      <c r="T1245" t="s">
        <v>38</v>
      </c>
      <c r="U1245" t="s">
        <v>79</v>
      </c>
      <c r="V1245">
        <v>49</v>
      </c>
      <c r="W1245">
        <v>82</v>
      </c>
      <c r="X1245">
        <v>122</v>
      </c>
      <c r="Y1245">
        <v>75</v>
      </c>
      <c r="Z1245">
        <v>184</v>
      </c>
      <c r="AA1245">
        <v>127</v>
      </c>
      <c r="AB1245" t="s">
        <v>2514</v>
      </c>
      <c r="AC1245" t="s">
        <v>191</v>
      </c>
      <c r="AD1245" t="s">
        <v>210</v>
      </c>
      <c r="AE1245" t="s">
        <v>183</v>
      </c>
      <c r="AF1245">
        <v>1</v>
      </c>
    </row>
    <row r="1246" spans="1:32">
      <c r="A1246">
        <v>351</v>
      </c>
      <c r="B1246">
        <v>959</v>
      </c>
      <c r="C1246" t="s">
        <v>1042</v>
      </c>
      <c r="D1246" t="s">
        <v>1059</v>
      </c>
      <c r="E1246" t="s">
        <v>2165</v>
      </c>
      <c r="F1246" t="s">
        <v>193</v>
      </c>
      <c r="G1246" t="s">
        <v>2702</v>
      </c>
      <c r="H1246" t="s">
        <v>192</v>
      </c>
      <c r="I1246" t="s">
        <v>212</v>
      </c>
      <c r="J1246" t="s">
        <v>192</v>
      </c>
      <c r="K1246" t="s">
        <v>1043</v>
      </c>
      <c r="L1246" s="84">
        <v>41968</v>
      </c>
      <c r="M1246" t="s">
        <v>325</v>
      </c>
      <c r="N1246" t="s">
        <v>1044</v>
      </c>
      <c r="O1246">
        <v>2</v>
      </c>
      <c r="P1246" t="s">
        <v>1045</v>
      </c>
      <c r="Q1246" t="s">
        <v>1046</v>
      </c>
      <c r="R1246" t="s">
        <v>1047</v>
      </c>
      <c r="S1246" t="s">
        <v>1048</v>
      </c>
      <c r="T1246" t="s">
        <v>36</v>
      </c>
      <c r="U1246" t="s">
        <v>79</v>
      </c>
      <c r="V1246">
        <v>49</v>
      </c>
      <c r="W1246">
        <v>82</v>
      </c>
      <c r="X1246">
        <v>122</v>
      </c>
      <c r="Y1246">
        <v>75</v>
      </c>
      <c r="Z1246">
        <v>184</v>
      </c>
      <c r="AA1246">
        <v>127</v>
      </c>
      <c r="AB1246" t="s">
        <v>2514</v>
      </c>
      <c r="AC1246" t="s">
        <v>191</v>
      </c>
      <c r="AD1246" t="s">
        <v>210</v>
      </c>
      <c r="AE1246" t="s">
        <v>183</v>
      </c>
      <c r="AF1246">
        <v>1</v>
      </c>
    </row>
    <row r="1247" spans="1:32">
      <c r="A1247">
        <v>351</v>
      </c>
      <c r="B1247">
        <v>959</v>
      </c>
      <c r="C1247" t="s">
        <v>1042</v>
      </c>
      <c r="D1247" t="s">
        <v>1059</v>
      </c>
      <c r="E1247" t="s">
        <v>2165</v>
      </c>
      <c r="F1247" t="s">
        <v>37</v>
      </c>
      <c r="G1247" t="s">
        <v>2703</v>
      </c>
      <c r="H1247" t="s">
        <v>1701</v>
      </c>
      <c r="I1247" t="s">
        <v>212</v>
      </c>
      <c r="J1247" t="s">
        <v>192</v>
      </c>
      <c r="K1247" t="s">
        <v>1043</v>
      </c>
      <c r="L1247" s="84">
        <v>41968</v>
      </c>
      <c r="M1247" t="s">
        <v>325</v>
      </c>
      <c r="N1247" t="s">
        <v>1044</v>
      </c>
      <c r="O1247">
        <v>2</v>
      </c>
      <c r="P1247" t="s">
        <v>1045</v>
      </c>
      <c r="Q1247" t="s">
        <v>1046</v>
      </c>
      <c r="R1247" t="s">
        <v>1047</v>
      </c>
      <c r="S1247" t="s">
        <v>1048</v>
      </c>
      <c r="T1247" t="s">
        <v>37</v>
      </c>
      <c r="U1247" t="s">
        <v>79</v>
      </c>
      <c r="V1247">
        <v>49</v>
      </c>
      <c r="W1247">
        <v>82</v>
      </c>
      <c r="X1247">
        <v>122</v>
      </c>
      <c r="Y1247">
        <v>75</v>
      </c>
      <c r="Z1247">
        <v>184</v>
      </c>
      <c r="AA1247">
        <v>127</v>
      </c>
      <c r="AB1247" t="s">
        <v>2514</v>
      </c>
      <c r="AC1247" t="s">
        <v>191</v>
      </c>
      <c r="AD1247" t="s">
        <v>210</v>
      </c>
      <c r="AE1247" t="s">
        <v>183</v>
      </c>
      <c r="AF1247">
        <v>1</v>
      </c>
    </row>
    <row r="1248" spans="1:32">
      <c r="A1248">
        <v>352</v>
      </c>
      <c r="B1248">
        <v>1019</v>
      </c>
      <c r="C1248" t="s">
        <v>2009</v>
      </c>
      <c r="D1248" t="s">
        <v>1059</v>
      </c>
      <c r="E1248" t="s">
        <v>2165</v>
      </c>
      <c r="F1248" t="s">
        <v>37</v>
      </c>
      <c r="G1248" t="s">
        <v>2704</v>
      </c>
      <c r="H1248" t="s">
        <v>1701</v>
      </c>
      <c r="I1248" t="s">
        <v>212</v>
      </c>
      <c r="J1248" t="s">
        <v>192</v>
      </c>
      <c r="K1248" t="s">
        <v>2010</v>
      </c>
      <c r="L1248" s="84">
        <v>42869</v>
      </c>
      <c r="M1248" t="s">
        <v>381</v>
      </c>
      <c r="N1248" t="s">
        <v>1903</v>
      </c>
      <c r="O1248">
        <v>3</v>
      </c>
      <c r="P1248" t="s">
        <v>2011</v>
      </c>
      <c r="Q1248" t="s">
        <v>2012</v>
      </c>
      <c r="R1248" t="s">
        <v>2067</v>
      </c>
      <c r="S1248" t="s">
        <v>183</v>
      </c>
      <c r="T1248" t="s">
        <v>37</v>
      </c>
      <c r="U1248" t="s">
        <v>80</v>
      </c>
      <c r="V1248">
        <v>63</v>
      </c>
      <c r="W1248">
        <v>82</v>
      </c>
      <c r="X1248">
        <v>122</v>
      </c>
      <c r="Y1248">
        <v>96</v>
      </c>
      <c r="Z1248">
        <v>184</v>
      </c>
      <c r="AA1248">
        <v>136</v>
      </c>
      <c r="AB1248" t="s">
        <v>370</v>
      </c>
      <c r="AC1248" t="s">
        <v>223</v>
      </c>
      <c r="AD1248" t="s">
        <v>210</v>
      </c>
      <c r="AE1248" t="s">
        <v>183</v>
      </c>
      <c r="AF1248">
        <v>0</v>
      </c>
    </row>
    <row r="1249" spans="1:32">
      <c r="A1249">
        <v>352</v>
      </c>
      <c r="B1249">
        <v>1019</v>
      </c>
      <c r="C1249" t="s">
        <v>2009</v>
      </c>
      <c r="D1249" t="s">
        <v>1059</v>
      </c>
      <c r="E1249" t="s">
        <v>2165</v>
      </c>
      <c r="F1249" t="s">
        <v>193</v>
      </c>
      <c r="G1249" t="s">
        <v>2705</v>
      </c>
      <c r="H1249" t="s">
        <v>212</v>
      </c>
      <c r="I1249" t="s">
        <v>212</v>
      </c>
      <c r="J1249" t="s">
        <v>192</v>
      </c>
      <c r="K1249" t="s">
        <v>2010</v>
      </c>
      <c r="L1249" s="84">
        <v>42869</v>
      </c>
      <c r="M1249" t="s">
        <v>381</v>
      </c>
      <c r="N1249" t="s">
        <v>1903</v>
      </c>
      <c r="O1249">
        <v>3</v>
      </c>
      <c r="P1249" t="s">
        <v>2011</v>
      </c>
      <c r="Q1249" t="s">
        <v>2012</v>
      </c>
      <c r="R1249" t="s">
        <v>2067</v>
      </c>
      <c r="S1249" t="s">
        <v>183</v>
      </c>
      <c r="T1249" t="s">
        <v>36</v>
      </c>
      <c r="U1249" t="s">
        <v>80</v>
      </c>
      <c r="V1249">
        <v>63</v>
      </c>
      <c r="W1249">
        <v>82</v>
      </c>
      <c r="X1249">
        <v>122</v>
      </c>
      <c r="Y1249">
        <v>96</v>
      </c>
      <c r="Z1249">
        <v>184</v>
      </c>
      <c r="AA1249">
        <v>136</v>
      </c>
      <c r="AB1249" t="s">
        <v>370</v>
      </c>
      <c r="AC1249" t="s">
        <v>223</v>
      </c>
      <c r="AD1249" t="s">
        <v>210</v>
      </c>
      <c r="AE1249" t="s">
        <v>183</v>
      </c>
      <c r="AF1249">
        <v>0</v>
      </c>
    </row>
    <row r="1250" spans="1:32">
      <c r="A1250">
        <v>352</v>
      </c>
      <c r="B1250">
        <v>1019</v>
      </c>
      <c r="C1250" t="s">
        <v>2009</v>
      </c>
      <c r="D1250" t="s">
        <v>1059</v>
      </c>
      <c r="E1250" t="s">
        <v>2165</v>
      </c>
      <c r="F1250" t="s">
        <v>197</v>
      </c>
      <c r="G1250" t="s">
        <v>2706</v>
      </c>
      <c r="H1250" t="s">
        <v>212</v>
      </c>
      <c r="I1250" t="s">
        <v>192</v>
      </c>
      <c r="J1250" t="s">
        <v>192</v>
      </c>
      <c r="K1250" t="s">
        <v>2010</v>
      </c>
      <c r="L1250" s="84">
        <v>42869</v>
      </c>
      <c r="M1250" t="s">
        <v>381</v>
      </c>
      <c r="N1250" t="s">
        <v>1903</v>
      </c>
      <c r="O1250">
        <v>3</v>
      </c>
      <c r="P1250" t="s">
        <v>2011</v>
      </c>
      <c r="Q1250" t="s">
        <v>2012</v>
      </c>
      <c r="R1250" t="s">
        <v>2067</v>
      </c>
      <c r="S1250" t="s">
        <v>183</v>
      </c>
      <c r="T1250" t="s">
        <v>38</v>
      </c>
      <c r="U1250" t="s">
        <v>80</v>
      </c>
      <c r="V1250">
        <v>63</v>
      </c>
      <c r="W1250">
        <v>82</v>
      </c>
      <c r="X1250">
        <v>122</v>
      </c>
      <c r="Y1250">
        <v>96</v>
      </c>
      <c r="Z1250">
        <v>184</v>
      </c>
      <c r="AA1250">
        <v>136</v>
      </c>
      <c r="AB1250" t="s">
        <v>370</v>
      </c>
      <c r="AC1250" t="s">
        <v>223</v>
      </c>
      <c r="AD1250" t="s">
        <v>210</v>
      </c>
      <c r="AE1250" t="s">
        <v>183</v>
      </c>
      <c r="AF1250">
        <v>0</v>
      </c>
    </row>
    <row r="1251" spans="1:32">
      <c r="A1251">
        <v>352</v>
      </c>
      <c r="B1251">
        <v>1019</v>
      </c>
      <c r="C1251" t="s">
        <v>2009</v>
      </c>
      <c r="D1251" t="s">
        <v>1059</v>
      </c>
      <c r="E1251" t="s">
        <v>2165</v>
      </c>
      <c r="F1251" t="s">
        <v>6</v>
      </c>
      <c r="G1251" t="s">
        <v>2707</v>
      </c>
      <c r="H1251" t="s">
        <v>191</v>
      </c>
      <c r="I1251" t="s">
        <v>223</v>
      </c>
      <c r="J1251" t="s">
        <v>223</v>
      </c>
      <c r="K1251" t="s">
        <v>2010</v>
      </c>
      <c r="L1251" s="84">
        <v>42869</v>
      </c>
      <c r="M1251" t="s">
        <v>381</v>
      </c>
      <c r="N1251" t="s">
        <v>1903</v>
      </c>
      <c r="O1251">
        <v>3</v>
      </c>
      <c r="P1251" t="s">
        <v>2011</v>
      </c>
      <c r="Q1251" t="s">
        <v>2012</v>
      </c>
      <c r="R1251" t="s">
        <v>2067</v>
      </c>
      <c r="S1251" t="s">
        <v>183</v>
      </c>
      <c r="T1251" t="s">
        <v>34</v>
      </c>
      <c r="U1251" t="s">
        <v>80</v>
      </c>
      <c r="V1251">
        <v>63</v>
      </c>
      <c r="W1251">
        <v>82</v>
      </c>
      <c r="X1251">
        <v>122</v>
      </c>
      <c r="Y1251">
        <v>96</v>
      </c>
      <c r="Z1251">
        <v>184</v>
      </c>
      <c r="AA1251">
        <v>136</v>
      </c>
      <c r="AB1251" t="s">
        <v>370</v>
      </c>
      <c r="AC1251" t="s">
        <v>223</v>
      </c>
      <c r="AD1251" t="s">
        <v>210</v>
      </c>
      <c r="AE1251" t="s">
        <v>183</v>
      </c>
      <c r="AF1251">
        <v>0</v>
      </c>
    </row>
    <row r="1252" spans="1:32">
      <c r="A1252">
        <v>352</v>
      </c>
      <c r="B1252">
        <v>1019</v>
      </c>
      <c r="C1252" t="s">
        <v>2009</v>
      </c>
      <c r="D1252" t="s">
        <v>1059</v>
      </c>
      <c r="E1252" t="s">
        <v>2165</v>
      </c>
      <c r="F1252" t="s">
        <v>7</v>
      </c>
      <c r="G1252" t="s">
        <v>2708</v>
      </c>
      <c r="H1252" t="s">
        <v>237</v>
      </c>
      <c r="I1252" t="s">
        <v>212</v>
      </c>
      <c r="J1252" t="s">
        <v>236</v>
      </c>
      <c r="K1252" t="s">
        <v>2010</v>
      </c>
      <c r="L1252" s="84">
        <v>42869</v>
      </c>
      <c r="M1252" t="s">
        <v>381</v>
      </c>
      <c r="N1252" t="s">
        <v>1903</v>
      </c>
      <c r="O1252">
        <v>3</v>
      </c>
      <c r="P1252" t="s">
        <v>2011</v>
      </c>
      <c r="Q1252" t="s">
        <v>2012</v>
      </c>
      <c r="R1252" t="s">
        <v>2067</v>
      </c>
      <c r="S1252" t="s">
        <v>183</v>
      </c>
      <c r="T1252" t="s">
        <v>32</v>
      </c>
      <c r="U1252" t="s">
        <v>80</v>
      </c>
      <c r="V1252">
        <v>63</v>
      </c>
      <c r="W1252">
        <v>82</v>
      </c>
      <c r="X1252">
        <v>122</v>
      </c>
      <c r="Y1252">
        <v>96</v>
      </c>
      <c r="Z1252">
        <v>184</v>
      </c>
      <c r="AA1252">
        <v>136</v>
      </c>
      <c r="AB1252" t="s">
        <v>370</v>
      </c>
      <c r="AC1252" t="s">
        <v>223</v>
      </c>
      <c r="AD1252" t="s">
        <v>210</v>
      </c>
      <c r="AE1252" t="s">
        <v>183</v>
      </c>
      <c r="AF1252">
        <v>0</v>
      </c>
    </row>
    <row r="1253" spans="1:32">
      <c r="A1253">
        <v>352</v>
      </c>
      <c r="B1253">
        <v>1019</v>
      </c>
      <c r="C1253" t="s">
        <v>2009</v>
      </c>
      <c r="D1253" t="s">
        <v>1059</v>
      </c>
      <c r="E1253" t="s">
        <v>2165</v>
      </c>
      <c r="F1253" t="s">
        <v>8</v>
      </c>
      <c r="G1253" t="s">
        <v>2709</v>
      </c>
      <c r="H1253" t="s">
        <v>191</v>
      </c>
      <c r="I1253" t="s">
        <v>185</v>
      </c>
      <c r="J1253" t="s">
        <v>256</v>
      </c>
      <c r="K1253" t="s">
        <v>2010</v>
      </c>
      <c r="L1253" s="84">
        <v>42869</v>
      </c>
      <c r="M1253" t="s">
        <v>381</v>
      </c>
      <c r="N1253" t="s">
        <v>1903</v>
      </c>
      <c r="O1253">
        <v>3</v>
      </c>
      <c r="P1253" t="s">
        <v>2011</v>
      </c>
      <c r="Q1253" t="s">
        <v>2012</v>
      </c>
      <c r="R1253" t="s">
        <v>2067</v>
      </c>
      <c r="S1253" t="s">
        <v>183</v>
      </c>
      <c r="T1253" t="s">
        <v>31</v>
      </c>
      <c r="U1253" t="s">
        <v>80</v>
      </c>
      <c r="V1253">
        <v>63</v>
      </c>
      <c r="W1253">
        <v>82</v>
      </c>
      <c r="X1253">
        <v>122</v>
      </c>
      <c r="Y1253">
        <v>96</v>
      </c>
      <c r="Z1253">
        <v>184</v>
      </c>
      <c r="AA1253">
        <v>136</v>
      </c>
      <c r="AB1253" t="s">
        <v>370</v>
      </c>
      <c r="AC1253" t="s">
        <v>223</v>
      </c>
      <c r="AD1253" t="s">
        <v>210</v>
      </c>
      <c r="AE1253" t="s">
        <v>183</v>
      </c>
      <c r="AF1253">
        <v>0</v>
      </c>
    </row>
    <row r="1254" spans="1:32">
      <c r="A1254">
        <v>352</v>
      </c>
      <c r="B1254">
        <v>1019</v>
      </c>
      <c r="C1254" t="s">
        <v>2009</v>
      </c>
      <c r="D1254" t="s">
        <v>1059</v>
      </c>
      <c r="E1254" t="s">
        <v>2165</v>
      </c>
      <c r="F1254" t="s">
        <v>5</v>
      </c>
      <c r="G1254" t="s">
        <v>2710</v>
      </c>
      <c r="H1254" t="s">
        <v>260</v>
      </c>
      <c r="I1254" t="s">
        <v>256</v>
      </c>
      <c r="J1254" t="s">
        <v>275</v>
      </c>
      <c r="K1254" t="s">
        <v>2010</v>
      </c>
      <c r="L1254" s="84">
        <v>42869</v>
      </c>
      <c r="M1254" t="s">
        <v>381</v>
      </c>
      <c r="N1254" t="s">
        <v>1903</v>
      </c>
      <c r="O1254">
        <v>3</v>
      </c>
      <c r="P1254" t="s">
        <v>2011</v>
      </c>
      <c r="Q1254" t="s">
        <v>2012</v>
      </c>
      <c r="R1254" t="s">
        <v>2067</v>
      </c>
      <c r="S1254" t="s">
        <v>183</v>
      </c>
      <c r="T1254" t="s">
        <v>33</v>
      </c>
      <c r="U1254" t="s">
        <v>80</v>
      </c>
      <c r="V1254">
        <v>63</v>
      </c>
      <c r="W1254">
        <v>82</v>
      </c>
      <c r="X1254">
        <v>122</v>
      </c>
      <c r="Y1254">
        <v>96</v>
      </c>
      <c r="Z1254">
        <v>184</v>
      </c>
      <c r="AA1254">
        <v>136</v>
      </c>
      <c r="AB1254" t="s">
        <v>370</v>
      </c>
      <c r="AC1254" t="s">
        <v>223</v>
      </c>
      <c r="AD1254" t="s">
        <v>210</v>
      </c>
      <c r="AE1254" t="s">
        <v>183</v>
      </c>
      <c r="AF1254">
        <v>0</v>
      </c>
    </row>
    <row r="1255" spans="1:32">
      <c r="A1255">
        <v>401</v>
      </c>
      <c r="B1255">
        <v>790</v>
      </c>
      <c r="C1255" t="s">
        <v>746</v>
      </c>
      <c r="D1255" t="s">
        <v>1411</v>
      </c>
      <c r="E1255" t="s">
        <v>2165</v>
      </c>
      <c r="F1255" t="s">
        <v>37</v>
      </c>
      <c r="G1255" t="s">
        <v>1418</v>
      </c>
      <c r="H1255" t="s">
        <v>192</v>
      </c>
      <c r="I1255" t="s">
        <v>212</v>
      </c>
      <c r="J1255" t="s">
        <v>192</v>
      </c>
      <c r="K1255" t="s">
        <v>749</v>
      </c>
      <c r="L1255" s="84">
        <v>41983</v>
      </c>
      <c r="M1255" t="s">
        <v>203</v>
      </c>
      <c r="N1255" t="s">
        <v>204</v>
      </c>
      <c r="O1255">
        <v>3</v>
      </c>
      <c r="P1255" t="s">
        <v>205</v>
      </c>
      <c r="Q1255" t="s">
        <v>750</v>
      </c>
      <c r="R1255" t="s">
        <v>751</v>
      </c>
      <c r="S1255" t="s">
        <v>752</v>
      </c>
      <c r="T1255" t="s">
        <v>37</v>
      </c>
      <c r="U1255" t="s">
        <v>80</v>
      </c>
      <c r="V1255">
        <v>69</v>
      </c>
      <c r="W1255">
        <v>83</v>
      </c>
      <c r="X1255">
        <v>123</v>
      </c>
      <c r="Y1255">
        <v>98</v>
      </c>
      <c r="Z1255">
        <v>196</v>
      </c>
      <c r="AA1255">
        <v>162</v>
      </c>
      <c r="AB1255" t="s">
        <v>1069</v>
      </c>
      <c r="AC1255" t="s">
        <v>212</v>
      </c>
      <c r="AD1255" t="s">
        <v>210</v>
      </c>
      <c r="AE1255" t="s">
        <v>183</v>
      </c>
      <c r="AF1255">
        <v>0</v>
      </c>
    </row>
    <row r="1256" spans="1:32">
      <c r="A1256">
        <v>401</v>
      </c>
      <c r="B1256">
        <v>790</v>
      </c>
      <c r="C1256" t="s">
        <v>746</v>
      </c>
      <c r="D1256" t="s">
        <v>1411</v>
      </c>
      <c r="E1256" t="s">
        <v>2165</v>
      </c>
      <c r="F1256" t="s">
        <v>193</v>
      </c>
      <c r="G1256" t="s">
        <v>1417</v>
      </c>
      <c r="H1256" t="s">
        <v>192</v>
      </c>
      <c r="I1256" t="s">
        <v>212</v>
      </c>
      <c r="J1256" t="s">
        <v>192</v>
      </c>
      <c r="K1256" t="s">
        <v>749</v>
      </c>
      <c r="L1256" s="84">
        <v>41983</v>
      </c>
      <c r="M1256" t="s">
        <v>203</v>
      </c>
      <c r="N1256" t="s">
        <v>204</v>
      </c>
      <c r="O1256">
        <v>3</v>
      </c>
      <c r="P1256" t="s">
        <v>205</v>
      </c>
      <c r="Q1256" t="s">
        <v>750</v>
      </c>
      <c r="R1256" t="s">
        <v>751</v>
      </c>
      <c r="S1256" t="s">
        <v>752</v>
      </c>
      <c r="T1256" t="s">
        <v>36</v>
      </c>
      <c r="U1256" t="s">
        <v>80</v>
      </c>
      <c r="V1256">
        <v>69</v>
      </c>
      <c r="W1256">
        <v>83</v>
      </c>
      <c r="X1256">
        <v>123</v>
      </c>
      <c r="Y1256">
        <v>98</v>
      </c>
      <c r="Z1256">
        <v>196</v>
      </c>
      <c r="AA1256">
        <v>162</v>
      </c>
      <c r="AB1256" t="s">
        <v>1069</v>
      </c>
      <c r="AC1256" t="s">
        <v>212</v>
      </c>
      <c r="AD1256" t="s">
        <v>210</v>
      </c>
      <c r="AE1256" t="s">
        <v>183</v>
      </c>
      <c r="AF1256">
        <v>0</v>
      </c>
    </row>
    <row r="1257" spans="1:32">
      <c r="A1257">
        <v>401</v>
      </c>
      <c r="B1257">
        <v>790</v>
      </c>
      <c r="C1257" t="s">
        <v>746</v>
      </c>
      <c r="D1257" t="s">
        <v>1411</v>
      </c>
      <c r="E1257" t="s">
        <v>2165</v>
      </c>
      <c r="F1257" t="s">
        <v>197</v>
      </c>
      <c r="G1257" t="s">
        <v>1419</v>
      </c>
      <c r="H1257" t="s">
        <v>188</v>
      </c>
      <c r="I1257" t="s">
        <v>212</v>
      </c>
      <c r="J1257" t="s">
        <v>196</v>
      </c>
      <c r="K1257" t="s">
        <v>749</v>
      </c>
      <c r="L1257" s="84">
        <v>41983</v>
      </c>
      <c r="M1257" t="s">
        <v>203</v>
      </c>
      <c r="N1257" t="s">
        <v>204</v>
      </c>
      <c r="O1257">
        <v>3</v>
      </c>
      <c r="P1257" t="s">
        <v>205</v>
      </c>
      <c r="Q1257" t="s">
        <v>750</v>
      </c>
      <c r="R1257" t="s">
        <v>751</v>
      </c>
      <c r="S1257" t="s">
        <v>752</v>
      </c>
      <c r="T1257" t="s">
        <v>38</v>
      </c>
      <c r="U1257" t="s">
        <v>80</v>
      </c>
      <c r="V1257">
        <v>69</v>
      </c>
      <c r="W1257">
        <v>83</v>
      </c>
      <c r="X1257">
        <v>123</v>
      </c>
      <c r="Y1257">
        <v>98</v>
      </c>
      <c r="Z1257">
        <v>196</v>
      </c>
      <c r="AA1257">
        <v>162</v>
      </c>
      <c r="AB1257" t="s">
        <v>1069</v>
      </c>
      <c r="AC1257" t="s">
        <v>212</v>
      </c>
      <c r="AD1257" t="s">
        <v>210</v>
      </c>
      <c r="AE1257" t="s">
        <v>183</v>
      </c>
      <c r="AF1257">
        <v>0</v>
      </c>
    </row>
    <row r="1258" spans="1:32">
      <c r="A1258">
        <v>401</v>
      </c>
      <c r="B1258">
        <v>790</v>
      </c>
      <c r="C1258" t="s">
        <v>746</v>
      </c>
      <c r="D1258" t="s">
        <v>1411</v>
      </c>
      <c r="E1258" t="s">
        <v>2165</v>
      </c>
      <c r="F1258" t="s">
        <v>5</v>
      </c>
      <c r="G1258" t="s">
        <v>1416</v>
      </c>
      <c r="H1258" t="s">
        <v>221</v>
      </c>
      <c r="I1258" t="s">
        <v>220</v>
      </c>
      <c r="J1258" t="s">
        <v>173</v>
      </c>
      <c r="K1258" t="s">
        <v>749</v>
      </c>
      <c r="L1258" s="84">
        <v>41983</v>
      </c>
      <c r="M1258" t="s">
        <v>203</v>
      </c>
      <c r="N1258" t="s">
        <v>204</v>
      </c>
      <c r="O1258">
        <v>3</v>
      </c>
      <c r="P1258" t="s">
        <v>205</v>
      </c>
      <c r="Q1258" t="s">
        <v>750</v>
      </c>
      <c r="R1258" t="s">
        <v>751</v>
      </c>
      <c r="S1258" t="s">
        <v>752</v>
      </c>
      <c r="T1258" t="s">
        <v>33</v>
      </c>
      <c r="U1258" t="s">
        <v>80</v>
      </c>
      <c r="V1258">
        <v>69</v>
      </c>
      <c r="W1258">
        <v>83</v>
      </c>
      <c r="X1258">
        <v>123</v>
      </c>
      <c r="Y1258">
        <v>98</v>
      </c>
      <c r="Z1258">
        <v>196</v>
      </c>
      <c r="AA1258">
        <v>162</v>
      </c>
      <c r="AB1258" t="s">
        <v>1069</v>
      </c>
      <c r="AC1258" t="s">
        <v>212</v>
      </c>
      <c r="AD1258" t="s">
        <v>210</v>
      </c>
      <c r="AE1258" t="s">
        <v>183</v>
      </c>
      <c r="AF1258">
        <v>0</v>
      </c>
    </row>
    <row r="1259" spans="1:32">
      <c r="A1259">
        <v>401</v>
      </c>
      <c r="B1259">
        <v>790</v>
      </c>
      <c r="C1259" t="s">
        <v>746</v>
      </c>
      <c r="D1259" t="s">
        <v>1411</v>
      </c>
      <c r="E1259" t="s">
        <v>2165</v>
      </c>
      <c r="F1259" t="s">
        <v>8</v>
      </c>
      <c r="G1259" t="s">
        <v>1414</v>
      </c>
      <c r="H1259" t="s">
        <v>218</v>
      </c>
      <c r="I1259" t="s">
        <v>216</v>
      </c>
      <c r="J1259" t="s">
        <v>259</v>
      </c>
      <c r="K1259" t="s">
        <v>749</v>
      </c>
      <c r="L1259" s="84">
        <v>41983</v>
      </c>
      <c r="M1259" t="s">
        <v>203</v>
      </c>
      <c r="N1259" t="s">
        <v>204</v>
      </c>
      <c r="O1259">
        <v>3</v>
      </c>
      <c r="P1259" t="s">
        <v>205</v>
      </c>
      <c r="Q1259" t="s">
        <v>750</v>
      </c>
      <c r="R1259" t="s">
        <v>751</v>
      </c>
      <c r="S1259" t="s">
        <v>752</v>
      </c>
      <c r="T1259" t="s">
        <v>31</v>
      </c>
      <c r="U1259" t="s">
        <v>80</v>
      </c>
      <c r="V1259">
        <v>69</v>
      </c>
      <c r="W1259">
        <v>83</v>
      </c>
      <c r="X1259">
        <v>123</v>
      </c>
      <c r="Y1259">
        <v>98</v>
      </c>
      <c r="Z1259">
        <v>196</v>
      </c>
      <c r="AA1259">
        <v>162</v>
      </c>
      <c r="AB1259" t="s">
        <v>1069</v>
      </c>
      <c r="AC1259" t="s">
        <v>212</v>
      </c>
      <c r="AD1259" t="s">
        <v>210</v>
      </c>
      <c r="AE1259" t="s">
        <v>183</v>
      </c>
      <c r="AF1259">
        <v>0</v>
      </c>
    </row>
    <row r="1260" spans="1:32">
      <c r="A1260">
        <v>401</v>
      </c>
      <c r="B1260">
        <v>790</v>
      </c>
      <c r="C1260" t="s">
        <v>746</v>
      </c>
      <c r="D1260" t="s">
        <v>1411</v>
      </c>
      <c r="E1260" t="s">
        <v>2165</v>
      </c>
      <c r="F1260" t="s">
        <v>7</v>
      </c>
      <c r="G1260" t="s">
        <v>1412</v>
      </c>
      <c r="H1260" t="s">
        <v>188</v>
      </c>
      <c r="I1260" t="s">
        <v>221</v>
      </c>
      <c r="J1260" t="s">
        <v>188</v>
      </c>
      <c r="K1260" t="s">
        <v>749</v>
      </c>
      <c r="L1260" s="84">
        <v>41983</v>
      </c>
      <c r="M1260" t="s">
        <v>203</v>
      </c>
      <c r="N1260" t="s">
        <v>204</v>
      </c>
      <c r="O1260">
        <v>3</v>
      </c>
      <c r="P1260" t="s">
        <v>205</v>
      </c>
      <c r="Q1260" t="s">
        <v>750</v>
      </c>
      <c r="R1260" t="s">
        <v>751</v>
      </c>
      <c r="S1260" t="s">
        <v>752</v>
      </c>
      <c r="T1260" t="s">
        <v>32</v>
      </c>
      <c r="U1260" t="s">
        <v>80</v>
      </c>
      <c r="V1260">
        <v>69</v>
      </c>
      <c r="W1260">
        <v>83</v>
      </c>
      <c r="X1260">
        <v>123</v>
      </c>
      <c r="Y1260">
        <v>98</v>
      </c>
      <c r="Z1260">
        <v>196</v>
      </c>
      <c r="AA1260">
        <v>162</v>
      </c>
      <c r="AB1260" t="s">
        <v>1069</v>
      </c>
      <c r="AC1260" t="s">
        <v>212</v>
      </c>
      <c r="AD1260" t="s">
        <v>210</v>
      </c>
      <c r="AE1260" t="s">
        <v>183</v>
      </c>
      <c r="AF1260">
        <v>0</v>
      </c>
    </row>
    <row r="1261" spans="1:32">
      <c r="A1261">
        <v>401</v>
      </c>
      <c r="B1261">
        <v>790</v>
      </c>
      <c r="C1261" t="s">
        <v>746</v>
      </c>
      <c r="D1261" t="s">
        <v>1411</v>
      </c>
      <c r="E1261" t="s">
        <v>2165</v>
      </c>
      <c r="F1261" t="s">
        <v>6</v>
      </c>
      <c r="G1261" t="s">
        <v>1415</v>
      </c>
      <c r="H1261" t="s">
        <v>221</v>
      </c>
      <c r="I1261" t="s">
        <v>297</v>
      </c>
      <c r="J1261" t="s">
        <v>221</v>
      </c>
      <c r="K1261" t="s">
        <v>749</v>
      </c>
      <c r="L1261" s="84">
        <v>41983</v>
      </c>
      <c r="M1261" t="s">
        <v>203</v>
      </c>
      <c r="N1261" t="s">
        <v>204</v>
      </c>
      <c r="O1261">
        <v>3</v>
      </c>
      <c r="P1261" t="s">
        <v>205</v>
      </c>
      <c r="Q1261" t="s">
        <v>750</v>
      </c>
      <c r="R1261" t="s">
        <v>751</v>
      </c>
      <c r="S1261" t="s">
        <v>752</v>
      </c>
      <c r="T1261" t="s">
        <v>34</v>
      </c>
      <c r="U1261" t="s">
        <v>80</v>
      </c>
      <c r="V1261">
        <v>69</v>
      </c>
      <c r="W1261">
        <v>83</v>
      </c>
      <c r="X1261">
        <v>123</v>
      </c>
      <c r="Y1261">
        <v>98</v>
      </c>
      <c r="Z1261">
        <v>196</v>
      </c>
      <c r="AA1261">
        <v>162</v>
      </c>
      <c r="AB1261" t="s">
        <v>1069</v>
      </c>
      <c r="AC1261" t="s">
        <v>212</v>
      </c>
      <c r="AD1261" t="s">
        <v>210</v>
      </c>
      <c r="AE1261" t="s">
        <v>183</v>
      </c>
      <c r="AF1261">
        <v>0</v>
      </c>
    </row>
    <row r="1262" spans="1:32">
      <c r="A1262">
        <v>402</v>
      </c>
      <c r="B1262">
        <v>799</v>
      </c>
      <c r="C1262" t="s">
        <v>756</v>
      </c>
      <c r="D1262" t="s">
        <v>1411</v>
      </c>
      <c r="E1262" t="s">
        <v>2165</v>
      </c>
      <c r="F1262" t="s">
        <v>6</v>
      </c>
      <c r="G1262" t="s">
        <v>1424</v>
      </c>
      <c r="H1262" t="s">
        <v>324</v>
      </c>
      <c r="I1262" t="s">
        <v>192</v>
      </c>
      <c r="J1262" t="s">
        <v>243</v>
      </c>
      <c r="K1262" t="s">
        <v>757</v>
      </c>
      <c r="L1262" s="84">
        <v>41721</v>
      </c>
      <c r="M1262" t="s">
        <v>325</v>
      </c>
      <c r="N1262" t="s">
        <v>758</v>
      </c>
      <c r="O1262">
        <v>2</v>
      </c>
      <c r="P1262" t="s">
        <v>759</v>
      </c>
      <c r="Q1262" t="s">
        <v>760</v>
      </c>
      <c r="R1262" t="s">
        <v>761</v>
      </c>
      <c r="S1262" t="s">
        <v>762</v>
      </c>
      <c r="T1262" t="s">
        <v>34</v>
      </c>
      <c r="U1262" t="s">
        <v>79</v>
      </c>
      <c r="V1262">
        <v>67</v>
      </c>
      <c r="W1262">
        <v>83</v>
      </c>
      <c r="X1262">
        <v>123</v>
      </c>
      <c r="Y1262">
        <v>100</v>
      </c>
      <c r="Z1262">
        <v>196</v>
      </c>
      <c r="AA1262">
        <v>158</v>
      </c>
      <c r="AB1262" t="s">
        <v>805</v>
      </c>
      <c r="AC1262" t="s">
        <v>228</v>
      </c>
      <c r="AD1262" t="s">
        <v>210</v>
      </c>
      <c r="AE1262" t="s">
        <v>183</v>
      </c>
      <c r="AF1262">
        <v>1</v>
      </c>
    </row>
    <row r="1263" spans="1:32">
      <c r="A1263">
        <v>402</v>
      </c>
      <c r="B1263">
        <v>799</v>
      </c>
      <c r="C1263" t="s">
        <v>756</v>
      </c>
      <c r="D1263" t="s">
        <v>1411</v>
      </c>
      <c r="E1263" t="s">
        <v>2165</v>
      </c>
      <c r="F1263" t="s">
        <v>7</v>
      </c>
      <c r="G1263" t="s">
        <v>1426</v>
      </c>
      <c r="H1263" t="s">
        <v>173</v>
      </c>
      <c r="I1263" t="s">
        <v>407</v>
      </c>
      <c r="J1263" t="s">
        <v>227</v>
      </c>
      <c r="K1263" t="s">
        <v>757</v>
      </c>
      <c r="L1263" s="84">
        <v>41721</v>
      </c>
      <c r="M1263" t="s">
        <v>325</v>
      </c>
      <c r="N1263" t="s">
        <v>758</v>
      </c>
      <c r="O1263">
        <v>2</v>
      </c>
      <c r="P1263" t="s">
        <v>759</v>
      </c>
      <c r="Q1263" t="s">
        <v>760</v>
      </c>
      <c r="R1263" t="s">
        <v>761</v>
      </c>
      <c r="S1263" t="s">
        <v>762</v>
      </c>
      <c r="T1263" t="s">
        <v>32</v>
      </c>
      <c r="U1263" t="s">
        <v>79</v>
      </c>
      <c r="V1263">
        <v>67</v>
      </c>
      <c r="W1263">
        <v>83</v>
      </c>
      <c r="X1263">
        <v>123</v>
      </c>
      <c r="Y1263">
        <v>100</v>
      </c>
      <c r="Z1263">
        <v>196</v>
      </c>
      <c r="AA1263">
        <v>158</v>
      </c>
      <c r="AB1263" t="s">
        <v>805</v>
      </c>
      <c r="AC1263" t="s">
        <v>228</v>
      </c>
      <c r="AD1263" t="s">
        <v>210</v>
      </c>
      <c r="AE1263" t="s">
        <v>183</v>
      </c>
      <c r="AF1263">
        <v>1</v>
      </c>
    </row>
    <row r="1264" spans="1:32">
      <c r="A1264">
        <v>402</v>
      </c>
      <c r="B1264">
        <v>799</v>
      </c>
      <c r="C1264" t="s">
        <v>756</v>
      </c>
      <c r="D1264" t="s">
        <v>1411</v>
      </c>
      <c r="E1264" t="s">
        <v>2165</v>
      </c>
      <c r="F1264" t="s">
        <v>8</v>
      </c>
      <c r="G1264" t="s">
        <v>1425</v>
      </c>
      <c r="H1264" t="s">
        <v>173</v>
      </c>
      <c r="I1264" t="s">
        <v>228</v>
      </c>
      <c r="J1264" t="s">
        <v>436</v>
      </c>
      <c r="K1264" t="s">
        <v>757</v>
      </c>
      <c r="L1264" s="84">
        <v>41721</v>
      </c>
      <c r="M1264" t="s">
        <v>325</v>
      </c>
      <c r="N1264" t="s">
        <v>758</v>
      </c>
      <c r="O1264">
        <v>2</v>
      </c>
      <c r="P1264" t="s">
        <v>759</v>
      </c>
      <c r="Q1264" t="s">
        <v>760</v>
      </c>
      <c r="R1264" t="s">
        <v>761</v>
      </c>
      <c r="S1264" t="s">
        <v>762</v>
      </c>
      <c r="T1264" t="s">
        <v>31</v>
      </c>
      <c r="U1264" t="s">
        <v>79</v>
      </c>
      <c r="V1264">
        <v>67</v>
      </c>
      <c r="W1264">
        <v>83</v>
      </c>
      <c r="X1264">
        <v>123</v>
      </c>
      <c r="Y1264">
        <v>100</v>
      </c>
      <c r="Z1264">
        <v>196</v>
      </c>
      <c r="AA1264">
        <v>158</v>
      </c>
      <c r="AB1264" t="s">
        <v>805</v>
      </c>
      <c r="AC1264" t="s">
        <v>228</v>
      </c>
      <c r="AD1264" t="s">
        <v>210</v>
      </c>
      <c r="AE1264" t="s">
        <v>183</v>
      </c>
      <c r="AF1264">
        <v>1</v>
      </c>
    </row>
    <row r="1265" spans="1:32">
      <c r="A1265">
        <v>402</v>
      </c>
      <c r="B1265">
        <v>799</v>
      </c>
      <c r="C1265" t="s">
        <v>756</v>
      </c>
      <c r="D1265" t="s">
        <v>1411</v>
      </c>
      <c r="E1265" t="s">
        <v>2165</v>
      </c>
      <c r="F1265" t="s">
        <v>5</v>
      </c>
      <c r="G1265" t="s">
        <v>1423</v>
      </c>
      <c r="H1265" t="s">
        <v>192</v>
      </c>
      <c r="I1265" t="s">
        <v>181</v>
      </c>
      <c r="J1265" t="s">
        <v>172</v>
      </c>
      <c r="K1265" t="s">
        <v>757</v>
      </c>
      <c r="L1265" s="84">
        <v>41721</v>
      </c>
      <c r="M1265" t="s">
        <v>325</v>
      </c>
      <c r="N1265" t="s">
        <v>758</v>
      </c>
      <c r="O1265">
        <v>2</v>
      </c>
      <c r="P1265" t="s">
        <v>759</v>
      </c>
      <c r="Q1265" t="s">
        <v>760</v>
      </c>
      <c r="R1265" t="s">
        <v>761</v>
      </c>
      <c r="S1265" t="s">
        <v>762</v>
      </c>
      <c r="T1265" t="s">
        <v>33</v>
      </c>
      <c r="U1265" t="s">
        <v>79</v>
      </c>
      <c r="V1265">
        <v>67</v>
      </c>
      <c r="W1265">
        <v>83</v>
      </c>
      <c r="X1265">
        <v>123</v>
      </c>
      <c r="Y1265">
        <v>100</v>
      </c>
      <c r="Z1265">
        <v>196</v>
      </c>
      <c r="AA1265">
        <v>158</v>
      </c>
      <c r="AB1265" t="s">
        <v>805</v>
      </c>
      <c r="AC1265" t="s">
        <v>228</v>
      </c>
      <c r="AD1265" t="s">
        <v>210</v>
      </c>
      <c r="AE1265" t="s">
        <v>183</v>
      </c>
      <c r="AF1265">
        <v>1</v>
      </c>
    </row>
    <row r="1266" spans="1:32">
      <c r="A1266">
        <v>402</v>
      </c>
      <c r="B1266">
        <v>799</v>
      </c>
      <c r="C1266" t="s">
        <v>756</v>
      </c>
      <c r="D1266" t="s">
        <v>1411</v>
      </c>
      <c r="E1266" t="s">
        <v>2165</v>
      </c>
      <c r="F1266" t="s">
        <v>197</v>
      </c>
      <c r="G1266" t="s">
        <v>1420</v>
      </c>
      <c r="H1266" t="s">
        <v>188</v>
      </c>
      <c r="I1266" t="s">
        <v>212</v>
      </c>
      <c r="J1266" t="s">
        <v>201</v>
      </c>
      <c r="K1266" t="s">
        <v>757</v>
      </c>
      <c r="L1266" s="84">
        <v>41721</v>
      </c>
      <c r="M1266" t="s">
        <v>325</v>
      </c>
      <c r="N1266" t="s">
        <v>758</v>
      </c>
      <c r="O1266">
        <v>2</v>
      </c>
      <c r="P1266" t="s">
        <v>759</v>
      </c>
      <c r="Q1266" t="s">
        <v>760</v>
      </c>
      <c r="R1266" t="s">
        <v>761</v>
      </c>
      <c r="S1266" t="s">
        <v>762</v>
      </c>
      <c r="T1266" t="s">
        <v>38</v>
      </c>
      <c r="U1266" t="s">
        <v>79</v>
      </c>
      <c r="V1266">
        <v>67</v>
      </c>
      <c r="W1266">
        <v>83</v>
      </c>
      <c r="X1266">
        <v>123</v>
      </c>
      <c r="Y1266">
        <v>100</v>
      </c>
      <c r="Z1266">
        <v>196</v>
      </c>
      <c r="AA1266">
        <v>158</v>
      </c>
      <c r="AB1266" t="s">
        <v>805</v>
      </c>
      <c r="AC1266" t="s">
        <v>228</v>
      </c>
      <c r="AD1266" t="s">
        <v>210</v>
      </c>
      <c r="AE1266" t="s">
        <v>183</v>
      </c>
      <c r="AF1266">
        <v>1</v>
      </c>
    </row>
    <row r="1267" spans="1:32">
      <c r="A1267">
        <v>402</v>
      </c>
      <c r="B1267">
        <v>799</v>
      </c>
      <c r="C1267" t="s">
        <v>756</v>
      </c>
      <c r="D1267" t="s">
        <v>1411</v>
      </c>
      <c r="E1267" t="s">
        <v>2165</v>
      </c>
      <c r="F1267" t="s">
        <v>193</v>
      </c>
      <c r="G1267" t="s">
        <v>1422</v>
      </c>
      <c r="H1267" t="s">
        <v>192</v>
      </c>
      <c r="I1267" t="s">
        <v>212</v>
      </c>
      <c r="J1267" t="s">
        <v>212</v>
      </c>
      <c r="K1267" t="s">
        <v>757</v>
      </c>
      <c r="L1267" s="84">
        <v>41721</v>
      </c>
      <c r="M1267" t="s">
        <v>325</v>
      </c>
      <c r="N1267" t="s">
        <v>758</v>
      </c>
      <c r="O1267">
        <v>2</v>
      </c>
      <c r="P1267" t="s">
        <v>759</v>
      </c>
      <c r="Q1267" t="s">
        <v>760</v>
      </c>
      <c r="R1267" t="s">
        <v>761</v>
      </c>
      <c r="S1267" t="s">
        <v>762</v>
      </c>
      <c r="T1267" t="s">
        <v>36</v>
      </c>
      <c r="U1267" t="s">
        <v>79</v>
      </c>
      <c r="V1267">
        <v>67</v>
      </c>
      <c r="W1267">
        <v>83</v>
      </c>
      <c r="X1267">
        <v>123</v>
      </c>
      <c r="Y1267">
        <v>100</v>
      </c>
      <c r="Z1267">
        <v>196</v>
      </c>
      <c r="AA1267">
        <v>158</v>
      </c>
      <c r="AB1267" t="s">
        <v>805</v>
      </c>
      <c r="AC1267" t="s">
        <v>228</v>
      </c>
      <c r="AD1267" t="s">
        <v>210</v>
      </c>
      <c r="AE1267" t="s">
        <v>183</v>
      </c>
      <c r="AF1267">
        <v>1</v>
      </c>
    </row>
    <row r="1268" spans="1:32">
      <c r="A1268">
        <v>402</v>
      </c>
      <c r="B1268">
        <v>799</v>
      </c>
      <c r="C1268" t="s">
        <v>756</v>
      </c>
      <c r="D1268" t="s">
        <v>1411</v>
      </c>
      <c r="E1268" t="s">
        <v>2165</v>
      </c>
      <c r="F1268" t="s">
        <v>37</v>
      </c>
      <c r="G1268" t="s">
        <v>1421</v>
      </c>
      <c r="H1268" t="s">
        <v>192</v>
      </c>
      <c r="I1268" t="s">
        <v>212</v>
      </c>
      <c r="J1268" t="s">
        <v>192</v>
      </c>
      <c r="K1268" t="s">
        <v>757</v>
      </c>
      <c r="L1268" s="84">
        <v>41721</v>
      </c>
      <c r="M1268" t="s">
        <v>325</v>
      </c>
      <c r="N1268" t="s">
        <v>758</v>
      </c>
      <c r="O1268">
        <v>2</v>
      </c>
      <c r="P1268" t="s">
        <v>759</v>
      </c>
      <c r="Q1268" t="s">
        <v>760</v>
      </c>
      <c r="R1268" t="s">
        <v>761</v>
      </c>
      <c r="S1268" t="s">
        <v>762</v>
      </c>
      <c r="T1268" t="s">
        <v>37</v>
      </c>
      <c r="U1268" t="s">
        <v>79</v>
      </c>
      <c r="V1268">
        <v>67</v>
      </c>
      <c r="W1268">
        <v>83</v>
      </c>
      <c r="X1268">
        <v>123</v>
      </c>
      <c r="Y1268">
        <v>100</v>
      </c>
      <c r="Z1268">
        <v>196</v>
      </c>
      <c r="AA1268">
        <v>158</v>
      </c>
      <c r="AB1268" t="s">
        <v>805</v>
      </c>
      <c r="AC1268" t="s">
        <v>228</v>
      </c>
      <c r="AD1268" t="s">
        <v>210</v>
      </c>
      <c r="AE1268" t="s">
        <v>183</v>
      </c>
      <c r="AF1268">
        <v>1</v>
      </c>
    </row>
    <row r="1269" spans="1:32">
      <c r="A1269">
        <v>403</v>
      </c>
      <c r="B1269">
        <v>795</v>
      </c>
      <c r="C1269" t="s">
        <v>767</v>
      </c>
      <c r="D1269" t="s">
        <v>1411</v>
      </c>
      <c r="E1269" t="s">
        <v>2165</v>
      </c>
      <c r="F1269" t="s">
        <v>37</v>
      </c>
      <c r="G1269" t="s">
        <v>1432</v>
      </c>
      <c r="H1269" t="s">
        <v>192</v>
      </c>
      <c r="I1269" t="s">
        <v>212</v>
      </c>
      <c r="J1269" t="s">
        <v>212</v>
      </c>
      <c r="K1269" t="s">
        <v>769</v>
      </c>
      <c r="L1269" s="84">
        <v>42620</v>
      </c>
      <c r="M1269" t="s">
        <v>325</v>
      </c>
      <c r="N1269" t="s">
        <v>770</v>
      </c>
      <c r="O1269">
        <v>2</v>
      </c>
      <c r="P1269" t="s">
        <v>771</v>
      </c>
      <c r="Q1269" t="s">
        <v>772</v>
      </c>
      <c r="R1269" t="s">
        <v>773</v>
      </c>
      <c r="S1269" t="s">
        <v>774</v>
      </c>
      <c r="T1269" t="s">
        <v>37</v>
      </c>
      <c r="U1269" t="s">
        <v>79</v>
      </c>
      <c r="V1269">
        <v>62</v>
      </c>
      <c r="W1269">
        <v>83</v>
      </c>
      <c r="X1269">
        <v>123</v>
      </c>
      <c r="Y1269">
        <v>97</v>
      </c>
      <c r="Z1269">
        <v>196</v>
      </c>
      <c r="AA1269">
        <v>166</v>
      </c>
      <c r="AB1269" t="s">
        <v>271</v>
      </c>
      <c r="AC1269" t="s">
        <v>192</v>
      </c>
      <c r="AD1269" t="s">
        <v>210</v>
      </c>
      <c r="AE1269" t="s">
        <v>183</v>
      </c>
      <c r="AF1269">
        <v>0</v>
      </c>
    </row>
    <row r="1270" spans="1:32">
      <c r="A1270">
        <v>403</v>
      </c>
      <c r="B1270">
        <v>795</v>
      </c>
      <c r="C1270" t="s">
        <v>767</v>
      </c>
      <c r="D1270" t="s">
        <v>1411</v>
      </c>
      <c r="E1270" t="s">
        <v>2165</v>
      </c>
      <c r="F1270" t="s">
        <v>193</v>
      </c>
      <c r="G1270" t="s">
        <v>1431</v>
      </c>
      <c r="H1270" t="s">
        <v>192</v>
      </c>
      <c r="I1270" t="s">
        <v>212</v>
      </c>
      <c r="J1270" t="s">
        <v>192</v>
      </c>
      <c r="K1270" t="s">
        <v>769</v>
      </c>
      <c r="L1270" s="84">
        <v>42620</v>
      </c>
      <c r="M1270" t="s">
        <v>325</v>
      </c>
      <c r="N1270" t="s">
        <v>770</v>
      </c>
      <c r="O1270">
        <v>2</v>
      </c>
      <c r="P1270" t="s">
        <v>771</v>
      </c>
      <c r="Q1270" t="s">
        <v>772</v>
      </c>
      <c r="R1270" t="s">
        <v>773</v>
      </c>
      <c r="S1270" t="s">
        <v>774</v>
      </c>
      <c r="T1270" t="s">
        <v>36</v>
      </c>
      <c r="U1270" t="s">
        <v>79</v>
      </c>
      <c r="V1270">
        <v>62</v>
      </c>
      <c r="W1270">
        <v>83</v>
      </c>
      <c r="X1270">
        <v>123</v>
      </c>
      <c r="Y1270">
        <v>97</v>
      </c>
      <c r="Z1270">
        <v>196</v>
      </c>
      <c r="AA1270">
        <v>166</v>
      </c>
      <c r="AB1270" t="s">
        <v>271</v>
      </c>
      <c r="AC1270" t="s">
        <v>192</v>
      </c>
      <c r="AD1270" t="s">
        <v>210</v>
      </c>
      <c r="AE1270" t="s">
        <v>183</v>
      </c>
      <c r="AF1270">
        <v>0</v>
      </c>
    </row>
    <row r="1271" spans="1:32">
      <c r="A1271">
        <v>403</v>
      </c>
      <c r="B1271">
        <v>795</v>
      </c>
      <c r="C1271" t="s">
        <v>767</v>
      </c>
      <c r="D1271" t="s">
        <v>1411</v>
      </c>
      <c r="E1271" t="s">
        <v>2165</v>
      </c>
      <c r="F1271" t="s">
        <v>197</v>
      </c>
      <c r="G1271" t="s">
        <v>1433</v>
      </c>
      <c r="H1271" t="s">
        <v>188</v>
      </c>
      <c r="I1271" t="s">
        <v>212</v>
      </c>
      <c r="J1271" t="s">
        <v>173</v>
      </c>
      <c r="K1271" t="s">
        <v>769</v>
      </c>
      <c r="L1271" s="84">
        <v>42620</v>
      </c>
      <c r="M1271" t="s">
        <v>325</v>
      </c>
      <c r="N1271" t="s">
        <v>770</v>
      </c>
      <c r="O1271">
        <v>2</v>
      </c>
      <c r="P1271" t="s">
        <v>771</v>
      </c>
      <c r="Q1271" t="s">
        <v>772</v>
      </c>
      <c r="R1271" t="s">
        <v>773</v>
      </c>
      <c r="S1271" t="s">
        <v>774</v>
      </c>
      <c r="T1271" t="s">
        <v>38</v>
      </c>
      <c r="U1271" t="s">
        <v>79</v>
      </c>
      <c r="V1271">
        <v>62</v>
      </c>
      <c r="W1271">
        <v>83</v>
      </c>
      <c r="X1271">
        <v>123</v>
      </c>
      <c r="Y1271">
        <v>97</v>
      </c>
      <c r="Z1271">
        <v>196</v>
      </c>
      <c r="AA1271">
        <v>166</v>
      </c>
      <c r="AB1271" t="s">
        <v>271</v>
      </c>
      <c r="AC1271" t="s">
        <v>192</v>
      </c>
      <c r="AD1271" t="s">
        <v>210</v>
      </c>
      <c r="AE1271" t="s">
        <v>183</v>
      </c>
      <c r="AF1271">
        <v>0</v>
      </c>
    </row>
    <row r="1272" spans="1:32">
      <c r="A1272">
        <v>403</v>
      </c>
      <c r="B1272">
        <v>795</v>
      </c>
      <c r="C1272" t="s">
        <v>767</v>
      </c>
      <c r="D1272" t="s">
        <v>1411</v>
      </c>
      <c r="E1272" t="s">
        <v>2165</v>
      </c>
      <c r="F1272" t="s">
        <v>5</v>
      </c>
      <c r="G1272" t="s">
        <v>1430</v>
      </c>
      <c r="H1272" t="s">
        <v>297</v>
      </c>
      <c r="I1272" t="s">
        <v>239</v>
      </c>
      <c r="J1272" t="s">
        <v>226</v>
      </c>
      <c r="K1272" t="s">
        <v>769</v>
      </c>
      <c r="L1272" s="84">
        <v>42620</v>
      </c>
      <c r="M1272" t="s">
        <v>325</v>
      </c>
      <c r="N1272" t="s">
        <v>770</v>
      </c>
      <c r="O1272">
        <v>2</v>
      </c>
      <c r="P1272" t="s">
        <v>771</v>
      </c>
      <c r="Q1272" t="s">
        <v>772</v>
      </c>
      <c r="R1272" t="s">
        <v>773</v>
      </c>
      <c r="S1272" t="s">
        <v>774</v>
      </c>
      <c r="T1272" t="s">
        <v>33</v>
      </c>
      <c r="U1272" t="s">
        <v>79</v>
      </c>
      <c r="V1272">
        <v>62</v>
      </c>
      <c r="W1272">
        <v>83</v>
      </c>
      <c r="X1272">
        <v>123</v>
      </c>
      <c r="Y1272">
        <v>97</v>
      </c>
      <c r="Z1272">
        <v>196</v>
      </c>
      <c r="AA1272">
        <v>166</v>
      </c>
      <c r="AB1272" t="s">
        <v>271</v>
      </c>
      <c r="AC1272" t="s">
        <v>192</v>
      </c>
      <c r="AD1272" t="s">
        <v>210</v>
      </c>
      <c r="AE1272" t="s">
        <v>183</v>
      </c>
      <c r="AF1272">
        <v>0</v>
      </c>
    </row>
    <row r="1273" spans="1:32">
      <c r="A1273">
        <v>403</v>
      </c>
      <c r="B1273">
        <v>795</v>
      </c>
      <c r="C1273" t="s">
        <v>767</v>
      </c>
      <c r="D1273" t="s">
        <v>1411</v>
      </c>
      <c r="E1273" t="s">
        <v>2165</v>
      </c>
      <c r="F1273" t="s">
        <v>8</v>
      </c>
      <c r="G1273" t="s">
        <v>1428</v>
      </c>
      <c r="H1273" t="s">
        <v>257</v>
      </c>
      <c r="I1273" t="s">
        <v>297</v>
      </c>
      <c r="J1273" t="s">
        <v>215</v>
      </c>
      <c r="K1273" t="s">
        <v>769</v>
      </c>
      <c r="L1273" s="84">
        <v>42620</v>
      </c>
      <c r="M1273" t="s">
        <v>325</v>
      </c>
      <c r="N1273" t="s">
        <v>770</v>
      </c>
      <c r="O1273">
        <v>2</v>
      </c>
      <c r="P1273" t="s">
        <v>771</v>
      </c>
      <c r="Q1273" t="s">
        <v>772</v>
      </c>
      <c r="R1273" t="s">
        <v>773</v>
      </c>
      <c r="S1273" t="s">
        <v>774</v>
      </c>
      <c r="T1273" t="s">
        <v>31</v>
      </c>
      <c r="U1273" t="s">
        <v>79</v>
      </c>
      <c r="V1273">
        <v>62</v>
      </c>
      <c r="W1273">
        <v>83</v>
      </c>
      <c r="X1273">
        <v>123</v>
      </c>
      <c r="Y1273">
        <v>97</v>
      </c>
      <c r="Z1273">
        <v>196</v>
      </c>
      <c r="AA1273">
        <v>166</v>
      </c>
      <c r="AB1273" t="s">
        <v>271</v>
      </c>
      <c r="AC1273" t="s">
        <v>192</v>
      </c>
      <c r="AD1273" t="s">
        <v>210</v>
      </c>
      <c r="AE1273" t="s">
        <v>183</v>
      </c>
      <c r="AF1273">
        <v>0</v>
      </c>
    </row>
    <row r="1274" spans="1:32">
      <c r="A1274">
        <v>403</v>
      </c>
      <c r="B1274">
        <v>795</v>
      </c>
      <c r="C1274" t="s">
        <v>767</v>
      </c>
      <c r="D1274" t="s">
        <v>1411</v>
      </c>
      <c r="E1274" t="s">
        <v>2165</v>
      </c>
      <c r="F1274" t="s">
        <v>7</v>
      </c>
      <c r="G1274" t="s">
        <v>1427</v>
      </c>
      <c r="H1274" t="s">
        <v>260</v>
      </c>
      <c r="I1274" t="s">
        <v>275</v>
      </c>
      <c r="J1274" t="s">
        <v>238</v>
      </c>
      <c r="K1274" t="s">
        <v>769</v>
      </c>
      <c r="L1274" s="84">
        <v>42620</v>
      </c>
      <c r="M1274" t="s">
        <v>325</v>
      </c>
      <c r="N1274" t="s">
        <v>770</v>
      </c>
      <c r="O1274">
        <v>2</v>
      </c>
      <c r="P1274" t="s">
        <v>771</v>
      </c>
      <c r="Q1274" t="s">
        <v>772</v>
      </c>
      <c r="R1274" t="s">
        <v>773</v>
      </c>
      <c r="S1274" t="s">
        <v>774</v>
      </c>
      <c r="T1274" t="s">
        <v>32</v>
      </c>
      <c r="U1274" t="s">
        <v>79</v>
      </c>
      <c r="V1274">
        <v>62</v>
      </c>
      <c r="W1274">
        <v>83</v>
      </c>
      <c r="X1274">
        <v>123</v>
      </c>
      <c r="Y1274">
        <v>97</v>
      </c>
      <c r="Z1274">
        <v>196</v>
      </c>
      <c r="AA1274">
        <v>166</v>
      </c>
      <c r="AB1274" t="s">
        <v>271</v>
      </c>
      <c r="AC1274" t="s">
        <v>192</v>
      </c>
      <c r="AD1274" t="s">
        <v>210</v>
      </c>
      <c r="AE1274" t="s">
        <v>183</v>
      </c>
      <c r="AF1274">
        <v>0</v>
      </c>
    </row>
    <row r="1275" spans="1:32">
      <c r="A1275">
        <v>403</v>
      </c>
      <c r="B1275">
        <v>795</v>
      </c>
      <c r="C1275" t="s">
        <v>767</v>
      </c>
      <c r="D1275" t="s">
        <v>1411</v>
      </c>
      <c r="E1275" t="s">
        <v>2165</v>
      </c>
      <c r="F1275" t="s">
        <v>6</v>
      </c>
      <c r="G1275" t="s">
        <v>1429</v>
      </c>
      <c r="H1275" t="s">
        <v>238</v>
      </c>
      <c r="I1275" t="s">
        <v>260</v>
      </c>
      <c r="J1275" t="s">
        <v>260</v>
      </c>
      <c r="K1275" t="s">
        <v>769</v>
      </c>
      <c r="L1275" s="84">
        <v>42620</v>
      </c>
      <c r="M1275" t="s">
        <v>325</v>
      </c>
      <c r="N1275" t="s">
        <v>770</v>
      </c>
      <c r="O1275">
        <v>2</v>
      </c>
      <c r="P1275" t="s">
        <v>771</v>
      </c>
      <c r="Q1275" t="s">
        <v>772</v>
      </c>
      <c r="R1275" t="s">
        <v>773</v>
      </c>
      <c r="S1275" t="s">
        <v>774</v>
      </c>
      <c r="T1275" t="s">
        <v>34</v>
      </c>
      <c r="U1275" t="s">
        <v>79</v>
      </c>
      <c r="V1275">
        <v>62</v>
      </c>
      <c r="W1275">
        <v>83</v>
      </c>
      <c r="X1275">
        <v>123</v>
      </c>
      <c r="Y1275">
        <v>97</v>
      </c>
      <c r="Z1275">
        <v>196</v>
      </c>
      <c r="AA1275">
        <v>166</v>
      </c>
      <c r="AB1275" t="s">
        <v>271</v>
      </c>
      <c r="AC1275" t="s">
        <v>192</v>
      </c>
      <c r="AD1275" t="s">
        <v>210</v>
      </c>
      <c r="AE1275" t="s">
        <v>183</v>
      </c>
      <c r="AF1275">
        <v>0</v>
      </c>
    </row>
    <row r="1276" spans="1:32">
      <c r="A1276">
        <v>404</v>
      </c>
      <c r="B1276">
        <v>831</v>
      </c>
      <c r="C1276" t="s">
        <v>2906</v>
      </c>
      <c r="D1276" t="s">
        <v>1411</v>
      </c>
      <c r="E1276" t="s">
        <v>2165</v>
      </c>
      <c r="F1276" t="s">
        <v>6</v>
      </c>
      <c r="G1276" t="s">
        <v>1438</v>
      </c>
      <c r="H1276" t="s">
        <v>218</v>
      </c>
      <c r="I1276" t="s">
        <v>257</v>
      </c>
      <c r="J1276" t="s">
        <v>215</v>
      </c>
      <c r="K1276" t="s">
        <v>778</v>
      </c>
      <c r="L1276" s="84">
        <v>42174</v>
      </c>
      <c r="M1276" t="s">
        <v>175</v>
      </c>
      <c r="N1276" t="s">
        <v>779</v>
      </c>
      <c r="O1276">
        <v>3</v>
      </c>
      <c r="P1276" t="s">
        <v>780</v>
      </c>
      <c r="Q1276" t="s">
        <v>781</v>
      </c>
      <c r="R1276" t="s">
        <v>782</v>
      </c>
      <c r="S1276" t="s">
        <v>783</v>
      </c>
      <c r="T1276" t="s">
        <v>34</v>
      </c>
      <c r="U1276" t="s">
        <v>80</v>
      </c>
      <c r="V1276">
        <v>76</v>
      </c>
      <c r="W1276">
        <v>83</v>
      </c>
      <c r="X1276">
        <v>123</v>
      </c>
      <c r="Y1276">
        <v>113</v>
      </c>
      <c r="Z1276">
        <v>196</v>
      </c>
      <c r="AA1276">
        <v>181</v>
      </c>
      <c r="AB1276" t="s">
        <v>805</v>
      </c>
      <c r="AC1276" t="s">
        <v>228</v>
      </c>
      <c r="AD1276" t="s">
        <v>609</v>
      </c>
      <c r="AE1276" t="s">
        <v>183</v>
      </c>
      <c r="AF1276">
        <v>0</v>
      </c>
    </row>
    <row r="1277" spans="1:32">
      <c r="A1277">
        <v>404</v>
      </c>
      <c r="B1277">
        <v>831</v>
      </c>
      <c r="C1277" t="s">
        <v>2906</v>
      </c>
      <c r="D1277" t="s">
        <v>1411</v>
      </c>
      <c r="E1277" t="s">
        <v>2165</v>
      </c>
      <c r="F1277" t="s">
        <v>7</v>
      </c>
      <c r="G1277" t="s">
        <v>1440</v>
      </c>
      <c r="H1277" t="s">
        <v>257</v>
      </c>
      <c r="I1277" t="s">
        <v>217</v>
      </c>
      <c r="J1277" t="s">
        <v>262</v>
      </c>
      <c r="K1277" t="s">
        <v>778</v>
      </c>
      <c r="L1277" s="84">
        <v>42174</v>
      </c>
      <c r="M1277" t="s">
        <v>175</v>
      </c>
      <c r="N1277" t="s">
        <v>779</v>
      </c>
      <c r="O1277">
        <v>3</v>
      </c>
      <c r="P1277" t="s">
        <v>780</v>
      </c>
      <c r="Q1277" t="s">
        <v>781</v>
      </c>
      <c r="R1277" t="s">
        <v>782</v>
      </c>
      <c r="S1277" t="s">
        <v>783</v>
      </c>
      <c r="T1277" t="s">
        <v>32</v>
      </c>
      <c r="U1277" t="s">
        <v>80</v>
      </c>
      <c r="V1277">
        <v>76</v>
      </c>
      <c r="W1277">
        <v>83</v>
      </c>
      <c r="X1277">
        <v>123</v>
      </c>
      <c r="Y1277">
        <v>113</v>
      </c>
      <c r="Z1277">
        <v>196</v>
      </c>
      <c r="AA1277">
        <v>181</v>
      </c>
      <c r="AB1277" t="s">
        <v>805</v>
      </c>
      <c r="AC1277" t="s">
        <v>228</v>
      </c>
      <c r="AD1277" t="s">
        <v>609</v>
      </c>
      <c r="AE1277" t="s">
        <v>183</v>
      </c>
      <c r="AF1277">
        <v>0</v>
      </c>
    </row>
    <row r="1278" spans="1:32">
      <c r="A1278">
        <v>404</v>
      </c>
      <c r="B1278">
        <v>831</v>
      </c>
      <c r="C1278" t="s">
        <v>2906</v>
      </c>
      <c r="D1278" t="s">
        <v>1411</v>
      </c>
      <c r="E1278" t="s">
        <v>2165</v>
      </c>
      <c r="F1278" t="s">
        <v>8</v>
      </c>
      <c r="G1278" t="s">
        <v>1439</v>
      </c>
      <c r="H1278" t="s">
        <v>217</v>
      </c>
      <c r="I1278" t="s">
        <v>257</v>
      </c>
      <c r="J1278" t="s">
        <v>217</v>
      </c>
      <c r="K1278" t="s">
        <v>778</v>
      </c>
      <c r="L1278" s="84">
        <v>42174</v>
      </c>
      <c r="M1278" t="s">
        <v>175</v>
      </c>
      <c r="N1278" t="s">
        <v>779</v>
      </c>
      <c r="O1278">
        <v>3</v>
      </c>
      <c r="P1278" t="s">
        <v>780</v>
      </c>
      <c r="Q1278" t="s">
        <v>781</v>
      </c>
      <c r="R1278" t="s">
        <v>782</v>
      </c>
      <c r="S1278" t="s">
        <v>783</v>
      </c>
      <c r="T1278" t="s">
        <v>31</v>
      </c>
      <c r="U1278" t="s">
        <v>80</v>
      </c>
      <c r="V1278">
        <v>76</v>
      </c>
      <c r="W1278">
        <v>83</v>
      </c>
      <c r="X1278">
        <v>123</v>
      </c>
      <c r="Y1278">
        <v>113</v>
      </c>
      <c r="Z1278">
        <v>196</v>
      </c>
      <c r="AA1278">
        <v>181</v>
      </c>
      <c r="AB1278" t="s">
        <v>805</v>
      </c>
      <c r="AC1278" t="s">
        <v>228</v>
      </c>
      <c r="AD1278" t="s">
        <v>609</v>
      </c>
      <c r="AE1278" t="s">
        <v>183</v>
      </c>
      <c r="AF1278">
        <v>0</v>
      </c>
    </row>
    <row r="1279" spans="1:32">
      <c r="A1279">
        <v>404</v>
      </c>
      <c r="B1279">
        <v>831</v>
      </c>
      <c r="C1279" t="s">
        <v>2906</v>
      </c>
      <c r="D1279" t="s">
        <v>1411</v>
      </c>
      <c r="E1279" t="s">
        <v>2165</v>
      </c>
      <c r="F1279" t="s">
        <v>5</v>
      </c>
      <c r="G1279" t="s">
        <v>1437</v>
      </c>
      <c r="H1279" t="s">
        <v>305</v>
      </c>
      <c r="I1279" t="s">
        <v>218</v>
      </c>
      <c r="J1279" t="s">
        <v>239</v>
      </c>
      <c r="K1279" t="s">
        <v>778</v>
      </c>
      <c r="L1279" s="84">
        <v>42174</v>
      </c>
      <c r="M1279" t="s">
        <v>175</v>
      </c>
      <c r="N1279" t="s">
        <v>779</v>
      </c>
      <c r="O1279">
        <v>3</v>
      </c>
      <c r="P1279" t="s">
        <v>780</v>
      </c>
      <c r="Q1279" t="s">
        <v>781</v>
      </c>
      <c r="R1279" t="s">
        <v>782</v>
      </c>
      <c r="S1279" t="s">
        <v>783</v>
      </c>
      <c r="T1279" t="s">
        <v>33</v>
      </c>
      <c r="U1279" t="s">
        <v>80</v>
      </c>
      <c r="V1279">
        <v>76</v>
      </c>
      <c r="W1279">
        <v>83</v>
      </c>
      <c r="X1279">
        <v>123</v>
      </c>
      <c r="Y1279">
        <v>113</v>
      </c>
      <c r="Z1279">
        <v>196</v>
      </c>
      <c r="AA1279">
        <v>181</v>
      </c>
      <c r="AB1279" t="s">
        <v>805</v>
      </c>
      <c r="AC1279" t="s">
        <v>228</v>
      </c>
      <c r="AD1279" t="s">
        <v>609</v>
      </c>
      <c r="AE1279" t="s">
        <v>183</v>
      </c>
      <c r="AF1279">
        <v>0</v>
      </c>
    </row>
    <row r="1280" spans="1:32">
      <c r="A1280">
        <v>404</v>
      </c>
      <c r="B1280">
        <v>831</v>
      </c>
      <c r="C1280" t="s">
        <v>2906</v>
      </c>
      <c r="D1280" t="s">
        <v>1411</v>
      </c>
      <c r="E1280" t="s">
        <v>2165</v>
      </c>
      <c r="F1280" t="s">
        <v>197</v>
      </c>
      <c r="G1280" t="s">
        <v>1434</v>
      </c>
      <c r="H1280" t="s">
        <v>188</v>
      </c>
      <c r="I1280" t="s">
        <v>212</v>
      </c>
      <c r="J1280" t="s">
        <v>201</v>
      </c>
      <c r="K1280" t="s">
        <v>778</v>
      </c>
      <c r="L1280" s="84">
        <v>42174</v>
      </c>
      <c r="M1280" t="s">
        <v>175</v>
      </c>
      <c r="N1280" t="s">
        <v>779</v>
      </c>
      <c r="O1280">
        <v>3</v>
      </c>
      <c r="P1280" t="s">
        <v>780</v>
      </c>
      <c r="Q1280" t="s">
        <v>781</v>
      </c>
      <c r="R1280" t="s">
        <v>782</v>
      </c>
      <c r="S1280" t="s">
        <v>783</v>
      </c>
      <c r="T1280" t="s">
        <v>38</v>
      </c>
      <c r="U1280" t="s">
        <v>80</v>
      </c>
      <c r="V1280">
        <v>76</v>
      </c>
      <c r="W1280">
        <v>83</v>
      </c>
      <c r="X1280">
        <v>123</v>
      </c>
      <c r="Y1280">
        <v>113</v>
      </c>
      <c r="Z1280">
        <v>196</v>
      </c>
      <c r="AA1280">
        <v>181</v>
      </c>
      <c r="AB1280" t="s">
        <v>805</v>
      </c>
      <c r="AC1280" t="s">
        <v>228</v>
      </c>
      <c r="AD1280" t="s">
        <v>609</v>
      </c>
      <c r="AE1280" t="s">
        <v>183</v>
      </c>
      <c r="AF1280">
        <v>0</v>
      </c>
    </row>
    <row r="1281" spans="1:32">
      <c r="A1281">
        <v>404</v>
      </c>
      <c r="B1281">
        <v>831</v>
      </c>
      <c r="C1281" t="s">
        <v>2906</v>
      </c>
      <c r="D1281" t="s">
        <v>1411</v>
      </c>
      <c r="E1281" t="s">
        <v>2165</v>
      </c>
      <c r="F1281" t="s">
        <v>193</v>
      </c>
      <c r="G1281" t="s">
        <v>1436</v>
      </c>
      <c r="H1281" t="s">
        <v>192</v>
      </c>
      <c r="I1281" t="s">
        <v>212</v>
      </c>
      <c r="J1281" t="s">
        <v>192</v>
      </c>
      <c r="K1281" t="s">
        <v>778</v>
      </c>
      <c r="L1281" s="84">
        <v>42174</v>
      </c>
      <c r="M1281" t="s">
        <v>175</v>
      </c>
      <c r="N1281" t="s">
        <v>779</v>
      </c>
      <c r="O1281">
        <v>3</v>
      </c>
      <c r="P1281" t="s">
        <v>780</v>
      </c>
      <c r="Q1281" t="s">
        <v>781</v>
      </c>
      <c r="R1281" t="s">
        <v>782</v>
      </c>
      <c r="S1281" t="s">
        <v>783</v>
      </c>
      <c r="T1281" t="s">
        <v>36</v>
      </c>
      <c r="U1281" t="s">
        <v>80</v>
      </c>
      <c r="V1281">
        <v>76</v>
      </c>
      <c r="W1281">
        <v>83</v>
      </c>
      <c r="X1281">
        <v>123</v>
      </c>
      <c r="Y1281">
        <v>113</v>
      </c>
      <c r="Z1281">
        <v>196</v>
      </c>
      <c r="AA1281">
        <v>181</v>
      </c>
      <c r="AB1281" t="s">
        <v>805</v>
      </c>
      <c r="AC1281" t="s">
        <v>228</v>
      </c>
      <c r="AD1281" t="s">
        <v>609</v>
      </c>
      <c r="AE1281" t="s">
        <v>183</v>
      </c>
      <c r="AF1281">
        <v>0</v>
      </c>
    </row>
    <row r="1282" spans="1:32">
      <c r="A1282">
        <v>404</v>
      </c>
      <c r="B1282">
        <v>831</v>
      </c>
      <c r="C1282" t="s">
        <v>2906</v>
      </c>
      <c r="D1282" t="s">
        <v>1411</v>
      </c>
      <c r="E1282" t="s">
        <v>2165</v>
      </c>
      <c r="F1282" t="s">
        <v>37</v>
      </c>
      <c r="G1282" t="s">
        <v>1435</v>
      </c>
      <c r="H1282" t="s">
        <v>192</v>
      </c>
      <c r="I1282" t="s">
        <v>212</v>
      </c>
      <c r="J1282" t="s">
        <v>212</v>
      </c>
      <c r="K1282" t="s">
        <v>778</v>
      </c>
      <c r="L1282" s="84">
        <v>42174</v>
      </c>
      <c r="M1282" t="s">
        <v>175</v>
      </c>
      <c r="N1282" t="s">
        <v>779</v>
      </c>
      <c r="O1282">
        <v>3</v>
      </c>
      <c r="P1282" t="s">
        <v>780</v>
      </c>
      <c r="Q1282" t="s">
        <v>781</v>
      </c>
      <c r="R1282" t="s">
        <v>782</v>
      </c>
      <c r="S1282" t="s">
        <v>783</v>
      </c>
      <c r="T1282" t="s">
        <v>37</v>
      </c>
      <c r="U1282" t="s">
        <v>80</v>
      </c>
      <c r="V1282">
        <v>76</v>
      </c>
      <c r="W1282">
        <v>83</v>
      </c>
      <c r="X1282">
        <v>123</v>
      </c>
      <c r="Y1282">
        <v>113</v>
      </c>
      <c r="Z1282">
        <v>196</v>
      </c>
      <c r="AA1282">
        <v>181</v>
      </c>
      <c r="AB1282" t="s">
        <v>805</v>
      </c>
      <c r="AC1282" t="s">
        <v>228</v>
      </c>
      <c r="AD1282" t="s">
        <v>609</v>
      </c>
      <c r="AE1282" t="s">
        <v>183</v>
      </c>
      <c r="AF1282">
        <v>0</v>
      </c>
    </row>
    <row r="1283" spans="1:32">
      <c r="A1283">
        <v>405</v>
      </c>
      <c r="B1283">
        <v>937</v>
      </c>
      <c r="C1283" t="s">
        <v>788</v>
      </c>
      <c r="D1283" t="s">
        <v>1411</v>
      </c>
      <c r="E1283" t="s">
        <v>2165</v>
      </c>
      <c r="F1283" t="s">
        <v>37</v>
      </c>
      <c r="G1283" t="s">
        <v>1447</v>
      </c>
      <c r="H1283" t="s">
        <v>192</v>
      </c>
      <c r="I1283" t="s">
        <v>212</v>
      </c>
      <c r="J1283" t="s">
        <v>192</v>
      </c>
      <c r="K1283" t="s">
        <v>790</v>
      </c>
      <c r="L1283" s="84">
        <v>42434</v>
      </c>
      <c r="M1283" t="s">
        <v>175</v>
      </c>
      <c r="N1283" t="s">
        <v>791</v>
      </c>
      <c r="O1283">
        <v>1</v>
      </c>
      <c r="P1283" t="s">
        <v>792</v>
      </c>
      <c r="Q1283" t="s">
        <v>793</v>
      </c>
      <c r="R1283" t="s">
        <v>794</v>
      </c>
      <c r="S1283" t="s">
        <v>795</v>
      </c>
      <c r="T1283" t="s">
        <v>37</v>
      </c>
      <c r="U1283" t="s">
        <v>78</v>
      </c>
      <c r="V1283">
        <v>77</v>
      </c>
      <c r="W1283">
        <v>83</v>
      </c>
      <c r="X1283">
        <v>123</v>
      </c>
      <c r="Y1283">
        <v>114</v>
      </c>
      <c r="Z1283">
        <v>196</v>
      </c>
      <c r="AA1283">
        <v>179</v>
      </c>
      <c r="AB1283" t="s">
        <v>1084</v>
      </c>
      <c r="AC1283" t="s">
        <v>256</v>
      </c>
      <c r="AD1283" t="s">
        <v>182</v>
      </c>
      <c r="AE1283" t="s">
        <v>183</v>
      </c>
      <c r="AF1283">
        <v>0</v>
      </c>
    </row>
    <row r="1284" spans="1:32">
      <c r="A1284">
        <v>405</v>
      </c>
      <c r="B1284">
        <v>937</v>
      </c>
      <c r="C1284" t="s">
        <v>788</v>
      </c>
      <c r="D1284" t="s">
        <v>1411</v>
      </c>
      <c r="E1284" t="s">
        <v>2165</v>
      </c>
      <c r="F1284" t="s">
        <v>193</v>
      </c>
      <c r="G1284" t="s">
        <v>1446</v>
      </c>
      <c r="H1284" t="s">
        <v>192</v>
      </c>
      <c r="I1284" t="s">
        <v>212</v>
      </c>
      <c r="J1284" t="s">
        <v>192</v>
      </c>
      <c r="K1284" t="s">
        <v>790</v>
      </c>
      <c r="L1284" s="84">
        <v>42434</v>
      </c>
      <c r="M1284" t="s">
        <v>175</v>
      </c>
      <c r="N1284" t="s">
        <v>791</v>
      </c>
      <c r="O1284">
        <v>1</v>
      </c>
      <c r="P1284" t="s">
        <v>792</v>
      </c>
      <c r="Q1284" t="s">
        <v>793</v>
      </c>
      <c r="R1284" t="s">
        <v>794</v>
      </c>
      <c r="S1284" t="s">
        <v>795</v>
      </c>
      <c r="T1284" t="s">
        <v>36</v>
      </c>
      <c r="U1284" t="s">
        <v>78</v>
      </c>
      <c r="V1284">
        <v>77</v>
      </c>
      <c r="W1284">
        <v>83</v>
      </c>
      <c r="X1284">
        <v>123</v>
      </c>
      <c r="Y1284">
        <v>114</v>
      </c>
      <c r="Z1284">
        <v>196</v>
      </c>
      <c r="AA1284">
        <v>179</v>
      </c>
      <c r="AB1284" t="s">
        <v>1084</v>
      </c>
      <c r="AC1284" t="s">
        <v>256</v>
      </c>
      <c r="AD1284" t="s">
        <v>182</v>
      </c>
      <c r="AE1284" t="s">
        <v>183</v>
      </c>
      <c r="AF1284">
        <v>0</v>
      </c>
    </row>
    <row r="1285" spans="1:32">
      <c r="A1285">
        <v>405</v>
      </c>
      <c r="B1285">
        <v>937</v>
      </c>
      <c r="C1285" t="s">
        <v>788</v>
      </c>
      <c r="D1285" t="s">
        <v>1411</v>
      </c>
      <c r="E1285" t="s">
        <v>2165</v>
      </c>
      <c r="F1285" t="s">
        <v>197</v>
      </c>
      <c r="G1285" t="s">
        <v>1448</v>
      </c>
      <c r="H1285" t="s">
        <v>188</v>
      </c>
      <c r="I1285" t="s">
        <v>212</v>
      </c>
      <c r="J1285" t="s">
        <v>173</v>
      </c>
      <c r="K1285" t="s">
        <v>790</v>
      </c>
      <c r="L1285" s="84">
        <v>42434</v>
      </c>
      <c r="M1285" t="s">
        <v>175</v>
      </c>
      <c r="N1285" t="s">
        <v>791</v>
      </c>
      <c r="O1285">
        <v>1</v>
      </c>
      <c r="P1285" t="s">
        <v>792</v>
      </c>
      <c r="Q1285" t="s">
        <v>793</v>
      </c>
      <c r="R1285" t="s">
        <v>794</v>
      </c>
      <c r="S1285" t="s">
        <v>795</v>
      </c>
      <c r="T1285" t="s">
        <v>38</v>
      </c>
      <c r="U1285" t="s">
        <v>78</v>
      </c>
      <c r="V1285">
        <v>77</v>
      </c>
      <c r="W1285">
        <v>83</v>
      </c>
      <c r="X1285">
        <v>123</v>
      </c>
      <c r="Y1285">
        <v>114</v>
      </c>
      <c r="Z1285">
        <v>196</v>
      </c>
      <c r="AA1285">
        <v>179</v>
      </c>
      <c r="AB1285" t="s">
        <v>1084</v>
      </c>
      <c r="AC1285" t="s">
        <v>256</v>
      </c>
      <c r="AD1285" t="s">
        <v>182</v>
      </c>
      <c r="AE1285" t="s">
        <v>183</v>
      </c>
      <c r="AF1285">
        <v>0</v>
      </c>
    </row>
    <row r="1286" spans="1:32">
      <c r="A1286">
        <v>405</v>
      </c>
      <c r="B1286">
        <v>937</v>
      </c>
      <c r="C1286" t="s">
        <v>788</v>
      </c>
      <c r="D1286" t="s">
        <v>1411</v>
      </c>
      <c r="E1286" t="s">
        <v>2165</v>
      </c>
      <c r="F1286" t="s">
        <v>5</v>
      </c>
      <c r="G1286" t="s">
        <v>1445</v>
      </c>
      <c r="H1286" t="s">
        <v>212</v>
      </c>
      <c r="I1286" t="s">
        <v>223</v>
      </c>
      <c r="J1286" t="s">
        <v>212</v>
      </c>
      <c r="K1286" t="s">
        <v>790</v>
      </c>
      <c r="L1286" s="84">
        <v>42434</v>
      </c>
      <c r="M1286" t="s">
        <v>175</v>
      </c>
      <c r="N1286" t="s">
        <v>791</v>
      </c>
      <c r="O1286">
        <v>1</v>
      </c>
      <c r="P1286" t="s">
        <v>792</v>
      </c>
      <c r="Q1286" t="s">
        <v>793</v>
      </c>
      <c r="R1286" t="s">
        <v>794</v>
      </c>
      <c r="S1286" t="s">
        <v>795</v>
      </c>
      <c r="T1286" t="s">
        <v>33</v>
      </c>
      <c r="U1286" t="s">
        <v>78</v>
      </c>
      <c r="V1286">
        <v>77</v>
      </c>
      <c r="W1286">
        <v>83</v>
      </c>
      <c r="X1286">
        <v>123</v>
      </c>
      <c r="Y1286">
        <v>114</v>
      </c>
      <c r="Z1286">
        <v>196</v>
      </c>
      <c r="AA1286">
        <v>179</v>
      </c>
      <c r="AB1286" t="s">
        <v>1084</v>
      </c>
      <c r="AC1286" t="s">
        <v>256</v>
      </c>
      <c r="AD1286" t="s">
        <v>182</v>
      </c>
      <c r="AE1286" t="s">
        <v>183</v>
      </c>
      <c r="AF1286">
        <v>0</v>
      </c>
    </row>
    <row r="1287" spans="1:32">
      <c r="A1287">
        <v>405</v>
      </c>
      <c r="B1287">
        <v>937</v>
      </c>
      <c r="C1287" t="s">
        <v>788</v>
      </c>
      <c r="D1287" t="s">
        <v>1411</v>
      </c>
      <c r="E1287" t="s">
        <v>2165</v>
      </c>
      <c r="F1287" t="s">
        <v>8</v>
      </c>
      <c r="G1287" t="s">
        <v>1443</v>
      </c>
      <c r="H1287" t="s">
        <v>256</v>
      </c>
      <c r="I1287" t="s">
        <v>191</v>
      </c>
      <c r="J1287" t="s">
        <v>259</v>
      </c>
      <c r="K1287" t="s">
        <v>790</v>
      </c>
      <c r="L1287" s="84">
        <v>42434</v>
      </c>
      <c r="M1287" t="s">
        <v>175</v>
      </c>
      <c r="N1287" t="s">
        <v>791</v>
      </c>
      <c r="O1287">
        <v>1</v>
      </c>
      <c r="P1287" t="s">
        <v>792</v>
      </c>
      <c r="Q1287" t="s">
        <v>793</v>
      </c>
      <c r="R1287" t="s">
        <v>794</v>
      </c>
      <c r="S1287" t="s">
        <v>795</v>
      </c>
      <c r="T1287" t="s">
        <v>31</v>
      </c>
      <c r="U1287" t="s">
        <v>78</v>
      </c>
      <c r="V1287">
        <v>77</v>
      </c>
      <c r="W1287">
        <v>83</v>
      </c>
      <c r="X1287">
        <v>123</v>
      </c>
      <c r="Y1287">
        <v>114</v>
      </c>
      <c r="Z1287">
        <v>196</v>
      </c>
      <c r="AA1287">
        <v>179</v>
      </c>
      <c r="AB1287" t="s">
        <v>1084</v>
      </c>
      <c r="AC1287" t="s">
        <v>256</v>
      </c>
      <c r="AD1287" t="s">
        <v>182</v>
      </c>
      <c r="AE1287" t="s">
        <v>183</v>
      </c>
      <c r="AF1287">
        <v>0</v>
      </c>
    </row>
    <row r="1288" spans="1:32">
      <c r="A1288">
        <v>405</v>
      </c>
      <c r="B1288">
        <v>937</v>
      </c>
      <c r="C1288" t="s">
        <v>788</v>
      </c>
      <c r="D1288" t="s">
        <v>1411</v>
      </c>
      <c r="E1288" t="s">
        <v>2165</v>
      </c>
      <c r="F1288" t="s">
        <v>7</v>
      </c>
      <c r="G1288" t="s">
        <v>1441</v>
      </c>
      <c r="H1288" t="s">
        <v>188</v>
      </c>
      <c r="I1288" t="s">
        <v>226</v>
      </c>
      <c r="J1288" t="s">
        <v>243</v>
      </c>
      <c r="K1288" t="s">
        <v>790</v>
      </c>
      <c r="L1288" s="84">
        <v>42434</v>
      </c>
      <c r="M1288" t="s">
        <v>175</v>
      </c>
      <c r="N1288" t="s">
        <v>791</v>
      </c>
      <c r="O1288">
        <v>1</v>
      </c>
      <c r="P1288" t="s">
        <v>792</v>
      </c>
      <c r="Q1288" t="s">
        <v>793</v>
      </c>
      <c r="R1288" t="s">
        <v>794</v>
      </c>
      <c r="S1288" t="s">
        <v>795</v>
      </c>
      <c r="T1288" t="s">
        <v>32</v>
      </c>
      <c r="U1288" t="s">
        <v>78</v>
      </c>
      <c r="V1288">
        <v>77</v>
      </c>
      <c r="W1288">
        <v>83</v>
      </c>
      <c r="X1288">
        <v>123</v>
      </c>
      <c r="Y1288">
        <v>114</v>
      </c>
      <c r="Z1288">
        <v>196</v>
      </c>
      <c r="AA1288">
        <v>179</v>
      </c>
      <c r="AB1288" t="s">
        <v>1084</v>
      </c>
      <c r="AC1288" t="s">
        <v>256</v>
      </c>
      <c r="AD1288" t="s">
        <v>182</v>
      </c>
      <c r="AE1288" t="s">
        <v>183</v>
      </c>
      <c r="AF1288">
        <v>0</v>
      </c>
    </row>
    <row r="1289" spans="1:32">
      <c r="A1289">
        <v>405</v>
      </c>
      <c r="B1289">
        <v>937</v>
      </c>
      <c r="C1289" t="s">
        <v>788</v>
      </c>
      <c r="D1289" t="s">
        <v>1411</v>
      </c>
      <c r="E1289" t="s">
        <v>2165</v>
      </c>
      <c r="F1289" t="s">
        <v>6</v>
      </c>
      <c r="G1289" t="s">
        <v>1444</v>
      </c>
      <c r="H1289" t="s">
        <v>212</v>
      </c>
      <c r="I1289" t="s">
        <v>239</v>
      </c>
      <c r="J1289" t="s">
        <v>215</v>
      </c>
      <c r="K1289" t="s">
        <v>790</v>
      </c>
      <c r="L1289" s="84">
        <v>42434</v>
      </c>
      <c r="M1289" t="s">
        <v>175</v>
      </c>
      <c r="N1289" t="s">
        <v>791</v>
      </c>
      <c r="O1289">
        <v>1</v>
      </c>
      <c r="P1289" t="s">
        <v>792</v>
      </c>
      <c r="Q1289" t="s">
        <v>793</v>
      </c>
      <c r="R1289" t="s">
        <v>794</v>
      </c>
      <c r="S1289" t="s">
        <v>795</v>
      </c>
      <c r="T1289" t="s">
        <v>34</v>
      </c>
      <c r="U1289" t="s">
        <v>78</v>
      </c>
      <c r="V1289">
        <v>77</v>
      </c>
      <c r="W1289">
        <v>83</v>
      </c>
      <c r="X1289">
        <v>123</v>
      </c>
      <c r="Y1289">
        <v>114</v>
      </c>
      <c r="Z1289">
        <v>196</v>
      </c>
      <c r="AA1289">
        <v>179</v>
      </c>
      <c r="AB1289" t="s">
        <v>1084</v>
      </c>
      <c r="AC1289" t="s">
        <v>256</v>
      </c>
      <c r="AD1289" t="s">
        <v>182</v>
      </c>
      <c r="AE1289" t="s">
        <v>183</v>
      </c>
      <c r="AF1289">
        <v>0</v>
      </c>
    </row>
    <row r="1290" spans="1:32">
      <c r="A1290">
        <v>406</v>
      </c>
      <c r="B1290">
        <v>887</v>
      </c>
      <c r="C1290" t="s">
        <v>799</v>
      </c>
      <c r="D1290" t="s">
        <v>1411</v>
      </c>
      <c r="E1290" t="s">
        <v>2165</v>
      </c>
      <c r="F1290" t="s">
        <v>6</v>
      </c>
      <c r="G1290" t="s">
        <v>1453</v>
      </c>
      <c r="H1290" t="s">
        <v>223</v>
      </c>
      <c r="I1290" t="s">
        <v>171</v>
      </c>
      <c r="J1290" t="s">
        <v>181</v>
      </c>
      <c r="K1290" t="s">
        <v>800</v>
      </c>
      <c r="L1290" s="84">
        <v>41275</v>
      </c>
      <c r="M1290" t="s">
        <v>175</v>
      </c>
      <c r="N1290" t="s">
        <v>801</v>
      </c>
      <c r="O1290">
        <v>3</v>
      </c>
      <c r="P1290" t="s">
        <v>802</v>
      </c>
      <c r="Q1290" t="s">
        <v>803</v>
      </c>
      <c r="R1290" t="s">
        <v>804</v>
      </c>
      <c r="S1290" t="s">
        <v>2068</v>
      </c>
      <c r="T1290" t="s">
        <v>34</v>
      </c>
      <c r="U1290" t="s">
        <v>80</v>
      </c>
      <c r="V1290">
        <v>62</v>
      </c>
      <c r="W1290">
        <v>83</v>
      </c>
      <c r="X1290">
        <v>123</v>
      </c>
      <c r="Y1290">
        <v>100</v>
      </c>
      <c r="Z1290">
        <v>196</v>
      </c>
      <c r="AA1290">
        <v>166</v>
      </c>
      <c r="AB1290" t="s">
        <v>2711</v>
      </c>
      <c r="AC1290" t="s">
        <v>2712</v>
      </c>
      <c r="AD1290" t="s">
        <v>609</v>
      </c>
      <c r="AE1290" t="s">
        <v>183</v>
      </c>
      <c r="AF1290">
        <v>0</v>
      </c>
    </row>
    <row r="1291" spans="1:32">
      <c r="A1291">
        <v>406</v>
      </c>
      <c r="B1291">
        <v>887</v>
      </c>
      <c r="C1291" t="s">
        <v>799</v>
      </c>
      <c r="D1291" t="s">
        <v>1411</v>
      </c>
      <c r="E1291" t="s">
        <v>2165</v>
      </c>
      <c r="F1291" t="s">
        <v>7</v>
      </c>
      <c r="G1291" t="s">
        <v>1455</v>
      </c>
      <c r="H1291" t="s">
        <v>223</v>
      </c>
      <c r="I1291" t="s">
        <v>228</v>
      </c>
      <c r="J1291" t="s">
        <v>212</v>
      </c>
      <c r="K1291" t="s">
        <v>800</v>
      </c>
      <c r="L1291" s="84">
        <v>41275</v>
      </c>
      <c r="M1291" t="s">
        <v>175</v>
      </c>
      <c r="N1291" t="s">
        <v>801</v>
      </c>
      <c r="O1291">
        <v>3</v>
      </c>
      <c r="P1291" t="s">
        <v>802</v>
      </c>
      <c r="Q1291" t="s">
        <v>803</v>
      </c>
      <c r="R1291" t="s">
        <v>804</v>
      </c>
      <c r="S1291" t="s">
        <v>2068</v>
      </c>
      <c r="T1291" t="s">
        <v>32</v>
      </c>
      <c r="U1291" t="s">
        <v>80</v>
      </c>
      <c r="V1291">
        <v>62</v>
      </c>
      <c r="W1291">
        <v>83</v>
      </c>
      <c r="X1291">
        <v>123</v>
      </c>
      <c r="Y1291">
        <v>100</v>
      </c>
      <c r="Z1291">
        <v>196</v>
      </c>
      <c r="AA1291">
        <v>166</v>
      </c>
      <c r="AB1291" t="s">
        <v>2711</v>
      </c>
      <c r="AC1291" t="s">
        <v>2712</v>
      </c>
      <c r="AD1291" t="s">
        <v>609</v>
      </c>
      <c r="AE1291" t="s">
        <v>183</v>
      </c>
      <c r="AF1291">
        <v>0</v>
      </c>
    </row>
    <row r="1292" spans="1:32">
      <c r="A1292">
        <v>406</v>
      </c>
      <c r="B1292">
        <v>887</v>
      </c>
      <c r="C1292" t="s">
        <v>799</v>
      </c>
      <c r="D1292" t="s">
        <v>1411</v>
      </c>
      <c r="E1292" t="s">
        <v>2165</v>
      </c>
      <c r="F1292" t="s">
        <v>8</v>
      </c>
      <c r="G1292" t="s">
        <v>1454</v>
      </c>
      <c r="H1292" t="s">
        <v>243</v>
      </c>
      <c r="I1292" t="s">
        <v>188</v>
      </c>
      <c r="J1292" t="s">
        <v>171</v>
      </c>
      <c r="K1292" t="s">
        <v>800</v>
      </c>
      <c r="L1292" s="84">
        <v>41275</v>
      </c>
      <c r="M1292" t="s">
        <v>175</v>
      </c>
      <c r="N1292" t="s">
        <v>801</v>
      </c>
      <c r="O1292">
        <v>3</v>
      </c>
      <c r="P1292" t="s">
        <v>802</v>
      </c>
      <c r="Q1292" t="s">
        <v>803</v>
      </c>
      <c r="R1292" t="s">
        <v>804</v>
      </c>
      <c r="S1292" t="s">
        <v>2068</v>
      </c>
      <c r="T1292" t="s">
        <v>31</v>
      </c>
      <c r="U1292" t="s">
        <v>80</v>
      </c>
      <c r="V1292">
        <v>62</v>
      </c>
      <c r="W1292">
        <v>83</v>
      </c>
      <c r="X1292">
        <v>123</v>
      </c>
      <c r="Y1292">
        <v>100</v>
      </c>
      <c r="Z1292">
        <v>196</v>
      </c>
      <c r="AA1292">
        <v>166</v>
      </c>
      <c r="AB1292" t="s">
        <v>2711</v>
      </c>
      <c r="AC1292" t="s">
        <v>2712</v>
      </c>
      <c r="AD1292" t="s">
        <v>609</v>
      </c>
      <c r="AE1292" t="s">
        <v>183</v>
      </c>
      <c r="AF1292">
        <v>0</v>
      </c>
    </row>
    <row r="1293" spans="1:32">
      <c r="A1293">
        <v>406</v>
      </c>
      <c r="B1293">
        <v>887</v>
      </c>
      <c r="C1293" t="s">
        <v>799</v>
      </c>
      <c r="D1293" t="s">
        <v>1411</v>
      </c>
      <c r="E1293" t="s">
        <v>2165</v>
      </c>
      <c r="F1293" t="s">
        <v>5</v>
      </c>
      <c r="G1293" t="s">
        <v>1452</v>
      </c>
      <c r="H1293" t="s">
        <v>226</v>
      </c>
      <c r="I1293" t="s">
        <v>243</v>
      </c>
      <c r="J1293" t="s">
        <v>186</v>
      </c>
      <c r="K1293" t="s">
        <v>800</v>
      </c>
      <c r="L1293" s="84">
        <v>41275</v>
      </c>
      <c r="M1293" t="s">
        <v>175</v>
      </c>
      <c r="N1293" t="s">
        <v>801</v>
      </c>
      <c r="O1293">
        <v>3</v>
      </c>
      <c r="P1293" t="s">
        <v>802</v>
      </c>
      <c r="Q1293" t="s">
        <v>803</v>
      </c>
      <c r="R1293" t="s">
        <v>804</v>
      </c>
      <c r="S1293" t="s">
        <v>2068</v>
      </c>
      <c r="T1293" t="s">
        <v>33</v>
      </c>
      <c r="U1293" t="s">
        <v>80</v>
      </c>
      <c r="V1293">
        <v>62</v>
      </c>
      <c r="W1293">
        <v>83</v>
      </c>
      <c r="X1293">
        <v>123</v>
      </c>
      <c r="Y1293">
        <v>100</v>
      </c>
      <c r="Z1293">
        <v>196</v>
      </c>
      <c r="AA1293">
        <v>166</v>
      </c>
      <c r="AB1293" t="s">
        <v>2711</v>
      </c>
      <c r="AC1293" t="s">
        <v>2712</v>
      </c>
      <c r="AD1293" t="s">
        <v>609</v>
      </c>
      <c r="AE1293" t="s">
        <v>183</v>
      </c>
      <c r="AF1293">
        <v>0</v>
      </c>
    </row>
    <row r="1294" spans="1:32">
      <c r="A1294">
        <v>406</v>
      </c>
      <c r="B1294">
        <v>887</v>
      </c>
      <c r="C1294" t="s">
        <v>799</v>
      </c>
      <c r="D1294" t="s">
        <v>1411</v>
      </c>
      <c r="E1294" t="s">
        <v>2165</v>
      </c>
      <c r="F1294" t="s">
        <v>197</v>
      </c>
      <c r="G1294" t="s">
        <v>1449</v>
      </c>
      <c r="H1294" t="s">
        <v>188</v>
      </c>
      <c r="I1294" t="s">
        <v>212</v>
      </c>
      <c r="J1294" t="s">
        <v>173</v>
      </c>
      <c r="K1294" t="s">
        <v>800</v>
      </c>
      <c r="L1294" s="84">
        <v>41275</v>
      </c>
      <c r="M1294" t="s">
        <v>175</v>
      </c>
      <c r="N1294" t="s">
        <v>801</v>
      </c>
      <c r="O1294">
        <v>3</v>
      </c>
      <c r="P1294" t="s">
        <v>802</v>
      </c>
      <c r="Q1294" t="s">
        <v>803</v>
      </c>
      <c r="R1294" t="s">
        <v>804</v>
      </c>
      <c r="S1294" t="s">
        <v>2068</v>
      </c>
      <c r="T1294" t="s">
        <v>38</v>
      </c>
      <c r="U1294" t="s">
        <v>80</v>
      </c>
      <c r="V1294">
        <v>62</v>
      </c>
      <c r="W1294">
        <v>83</v>
      </c>
      <c r="X1294">
        <v>123</v>
      </c>
      <c r="Y1294">
        <v>100</v>
      </c>
      <c r="Z1294">
        <v>196</v>
      </c>
      <c r="AA1294">
        <v>166</v>
      </c>
      <c r="AB1294" t="s">
        <v>2711</v>
      </c>
      <c r="AC1294" t="s">
        <v>2712</v>
      </c>
      <c r="AD1294" t="s">
        <v>609</v>
      </c>
      <c r="AE1294" t="s">
        <v>183</v>
      </c>
      <c r="AF1294">
        <v>0</v>
      </c>
    </row>
    <row r="1295" spans="1:32">
      <c r="A1295">
        <v>406</v>
      </c>
      <c r="B1295">
        <v>887</v>
      </c>
      <c r="C1295" t="s">
        <v>799</v>
      </c>
      <c r="D1295" t="s">
        <v>1411</v>
      </c>
      <c r="E1295" t="s">
        <v>2165</v>
      </c>
      <c r="F1295" t="s">
        <v>193</v>
      </c>
      <c r="G1295" t="s">
        <v>1451</v>
      </c>
      <c r="H1295" t="s">
        <v>192</v>
      </c>
      <c r="I1295" t="s">
        <v>212</v>
      </c>
      <c r="J1295" t="s">
        <v>192</v>
      </c>
      <c r="K1295" t="s">
        <v>800</v>
      </c>
      <c r="L1295" s="84">
        <v>41275</v>
      </c>
      <c r="M1295" t="s">
        <v>175</v>
      </c>
      <c r="N1295" t="s">
        <v>801</v>
      </c>
      <c r="O1295">
        <v>3</v>
      </c>
      <c r="P1295" t="s">
        <v>802</v>
      </c>
      <c r="Q1295" t="s">
        <v>803</v>
      </c>
      <c r="R1295" t="s">
        <v>804</v>
      </c>
      <c r="S1295" t="s">
        <v>2068</v>
      </c>
      <c r="T1295" t="s">
        <v>36</v>
      </c>
      <c r="U1295" t="s">
        <v>80</v>
      </c>
      <c r="V1295">
        <v>62</v>
      </c>
      <c r="W1295">
        <v>83</v>
      </c>
      <c r="X1295">
        <v>123</v>
      </c>
      <c r="Y1295">
        <v>100</v>
      </c>
      <c r="Z1295">
        <v>196</v>
      </c>
      <c r="AA1295">
        <v>166</v>
      </c>
      <c r="AB1295" t="s">
        <v>2711</v>
      </c>
      <c r="AC1295" t="s">
        <v>2712</v>
      </c>
      <c r="AD1295" t="s">
        <v>609</v>
      </c>
      <c r="AE1295" t="s">
        <v>183</v>
      </c>
      <c r="AF1295">
        <v>0</v>
      </c>
    </row>
    <row r="1296" spans="1:32">
      <c r="A1296">
        <v>406</v>
      </c>
      <c r="B1296">
        <v>887</v>
      </c>
      <c r="C1296" t="s">
        <v>799</v>
      </c>
      <c r="D1296" t="s">
        <v>1411</v>
      </c>
      <c r="E1296" t="s">
        <v>2165</v>
      </c>
      <c r="F1296" t="s">
        <v>37</v>
      </c>
      <c r="G1296" t="s">
        <v>1450</v>
      </c>
      <c r="H1296" t="s">
        <v>192</v>
      </c>
      <c r="I1296" t="s">
        <v>212</v>
      </c>
      <c r="J1296" t="s">
        <v>212</v>
      </c>
      <c r="K1296" t="s">
        <v>800</v>
      </c>
      <c r="L1296" s="84">
        <v>41275</v>
      </c>
      <c r="M1296" t="s">
        <v>175</v>
      </c>
      <c r="N1296" t="s">
        <v>801</v>
      </c>
      <c r="O1296">
        <v>3</v>
      </c>
      <c r="P1296" t="s">
        <v>802</v>
      </c>
      <c r="Q1296" t="s">
        <v>803</v>
      </c>
      <c r="R1296" t="s">
        <v>804</v>
      </c>
      <c r="S1296" t="s">
        <v>2068</v>
      </c>
      <c r="T1296" t="s">
        <v>37</v>
      </c>
      <c r="U1296" t="s">
        <v>80</v>
      </c>
      <c r="V1296">
        <v>62</v>
      </c>
      <c r="W1296">
        <v>83</v>
      </c>
      <c r="X1296">
        <v>123</v>
      </c>
      <c r="Y1296">
        <v>100</v>
      </c>
      <c r="Z1296">
        <v>196</v>
      </c>
      <c r="AA1296">
        <v>166</v>
      </c>
      <c r="AB1296" t="s">
        <v>2711</v>
      </c>
      <c r="AC1296" t="s">
        <v>2712</v>
      </c>
      <c r="AD1296" t="s">
        <v>609</v>
      </c>
      <c r="AE1296" t="s">
        <v>183</v>
      </c>
      <c r="AF1296">
        <v>0</v>
      </c>
    </row>
    <row r="1297" spans="1:32">
      <c r="A1297">
        <v>407</v>
      </c>
      <c r="B1297">
        <v>1043</v>
      </c>
      <c r="C1297" t="s">
        <v>2020</v>
      </c>
      <c r="D1297" t="s">
        <v>1411</v>
      </c>
      <c r="E1297" t="s">
        <v>2165</v>
      </c>
      <c r="F1297" t="s">
        <v>37</v>
      </c>
      <c r="G1297" t="s">
        <v>1461</v>
      </c>
      <c r="H1297" t="s">
        <v>192</v>
      </c>
      <c r="I1297" t="s">
        <v>212</v>
      </c>
      <c r="J1297" t="s">
        <v>192</v>
      </c>
      <c r="K1297" t="s">
        <v>2021</v>
      </c>
      <c r="L1297" s="84">
        <v>42168</v>
      </c>
      <c r="M1297" t="s">
        <v>381</v>
      </c>
      <c r="N1297" t="s">
        <v>503</v>
      </c>
      <c r="O1297">
        <v>3</v>
      </c>
      <c r="P1297" t="s">
        <v>2022</v>
      </c>
      <c r="Q1297" t="s">
        <v>2023</v>
      </c>
      <c r="R1297" t="s">
        <v>2074</v>
      </c>
      <c r="S1297" t="s">
        <v>2075</v>
      </c>
      <c r="T1297" t="s">
        <v>37</v>
      </c>
      <c r="U1297" t="s">
        <v>80</v>
      </c>
      <c r="V1297">
        <v>52</v>
      </c>
      <c r="W1297">
        <v>83</v>
      </c>
      <c r="X1297">
        <v>123</v>
      </c>
      <c r="Y1297">
        <v>86</v>
      </c>
      <c r="Z1297">
        <v>196</v>
      </c>
      <c r="AA1297">
        <v>147</v>
      </c>
      <c r="AB1297" t="s">
        <v>644</v>
      </c>
      <c r="AC1297" t="s">
        <v>192</v>
      </c>
      <c r="AD1297" t="s">
        <v>182</v>
      </c>
      <c r="AE1297" t="s">
        <v>183</v>
      </c>
      <c r="AF1297">
        <v>0</v>
      </c>
    </row>
    <row r="1298" spans="1:32">
      <c r="A1298">
        <v>407</v>
      </c>
      <c r="B1298">
        <v>1043</v>
      </c>
      <c r="C1298" t="s">
        <v>2020</v>
      </c>
      <c r="D1298" t="s">
        <v>1411</v>
      </c>
      <c r="E1298" t="s">
        <v>2165</v>
      </c>
      <c r="F1298" t="s">
        <v>193</v>
      </c>
      <c r="G1298" t="s">
        <v>1460</v>
      </c>
      <c r="H1298" t="s">
        <v>192</v>
      </c>
      <c r="I1298" t="s">
        <v>212</v>
      </c>
      <c r="J1298" t="s">
        <v>192</v>
      </c>
      <c r="K1298" t="s">
        <v>2021</v>
      </c>
      <c r="L1298" s="84">
        <v>42168</v>
      </c>
      <c r="M1298" t="s">
        <v>381</v>
      </c>
      <c r="N1298" t="s">
        <v>503</v>
      </c>
      <c r="O1298">
        <v>3</v>
      </c>
      <c r="P1298" t="s">
        <v>2022</v>
      </c>
      <c r="Q1298" t="s">
        <v>2023</v>
      </c>
      <c r="R1298" t="s">
        <v>2074</v>
      </c>
      <c r="S1298" t="s">
        <v>2075</v>
      </c>
      <c r="T1298" t="s">
        <v>36</v>
      </c>
      <c r="U1298" t="s">
        <v>80</v>
      </c>
      <c r="V1298">
        <v>52</v>
      </c>
      <c r="W1298">
        <v>83</v>
      </c>
      <c r="X1298">
        <v>123</v>
      </c>
      <c r="Y1298">
        <v>86</v>
      </c>
      <c r="Z1298">
        <v>196</v>
      </c>
      <c r="AA1298">
        <v>147</v>
      </c>
      <c r="AB1298" t="s">
        <v>644</v>
      </c>
      <c r="AC1298" t="s">
        <v>192</v>
      </c>
      <c r="AD1298" t="s">
        <v>182</v>
      </c>
      <c r="AE1298" t="s">
        <v>183</v>
      </c>
      <c r="AF1298">
        <v>0</v>
      </c>
    </row>
    <row r="1299" spans="1:32">
      <c r="A1299">
        <v>407</v>
      </c>
      <c r="B1299">
        <v>1043</v>
      </c>
      <c r="C1299" t="s">
        <v>2020</v>
      </c>
      <c r="D1299" t="s">
        <v>1411</v>
      </c>
      <c r="E1299" t="s">
        <v>2165</v>
      </c>
      <c r="F1299" t="s">
        <v>197</v>
      </c>
      <c r="G1299" t="s">
        <v>1462</v>
      </c>
      <c r="H1299" t="s">
        <v>188</v>
      </c>
      <c r="I1299" t="s">
        <v>212</v>
      </c>
      <c r="J1299" t="s">
        <v>201</v>
      </c>
      <c r="K1299" t="s">
        <v>2021</v>
      </c>
      <c r="L1299" s="84">
        <v>42168</v>
      </c>
      <c r="M1299" t="s">
        <v>381</v>
      </c>
      <c r="N1299" t="s">
        <v>503</v>
      </c>
      <c r="O1299">
        <v>3</v>
      </c>
      <c r="P1299" t="s">
        <v>2022</v>
      </c>
      <c r="Q1299" t="s">
        <v>2023</v>
      </c>
      <c r="R1299" t="s">
        <v>2074</v>
      </c>
      <c r="S1299" t="s">
        <v>2075</v>
      </c>
      <c r="T1299" t="s">
        <v>38</v>
      </c>
      <c r="U1299" t="s">
        <v>80</v>
      </c>
      <c r="V1299">
        <v>52</v>
      </c>
      <c r="W1299">
        <v>83</v>
      </c>
      <c r="X1299">
        <v>123</v>
      </c>
      <c r="Y1299">
        <v>86</v>
      </c>
      <c r="Z1299">
        <v>196</v>
      </c>
      <c r="AA1299">
        <v>147</v>
      </c>
      <c r="AB1299" t="s">
        <v>644</v>
      </c>
      <c r="AC1299" t="s">
        <v>192</v>
      </c>
      <c r="AD1299" t="s">
        <v>182</v>
      </c>
      <c r="AE1299" t="s">
        <v>183</v>
      </c>
      <c r="AF1299">
        <v>0</v>
      </c>
    </row>
    <row r="1300" spans="1:32">
      <c r="A1300">
        <v>407</v>
      </c>
      <c r="B1300">
        <v>1043</v>
      </c>
      <c r="C1300" t="s">
        <v>2020</v>
      </c>
      <c r="D1300" t="s">
        <v>1411</v>
      </c>
      <c r="E1300" t="s">
        <v>2165</v>
      </c>
      <c r="F1300" t="s">
        <v>5</v>
      </c>
      <c r="G1300" t="s">
        <v>1459</v>
      </c>
      <c r="H1300" t="s">
        <v>223</v>
      </c>
      <c r="I1300" t="s">
        <v>223</v>
      </c>
      <c r="J1300" t="s">
        <v>188</v>
      </c>
      <c r="K1300" t="s">
        <v>2021</v>
      </c>
      <c r="L1300" s="84">
        <v>42168</v>
      </c>
      <c r="M1300" t="s">
        <v>381</v>
      </c>
      <c r="N1300" t="s">
        <v>503</v>
      </c>
      <c r="O1300">
        <v>3</v>
      </c>
      <c r="P1300" t="s">
        <v>2022</v>
      </c>
      <c r="Q1300" t="s">
        <v>2023</v>
      </c>
      <c r="R1300" t="s">
        <v>2074</v>
      </c>
      <c r="S1300" t="s">
        <v>2075</v>
      </c>
      <c r="T1300" t="s">
        <v>33</v>
      </c>
      <c r="U1300" t="s">
        <v>80</v>
      </c>
      <c r="V1300">
        <v>52</v>
      </c>
      <c r="W1300">
        <v>83</v>
      </c>
      <c r="X1300">
        <v>123</v>
      </c>
      <c r="Y1300">
        <v>86</v>
      </c>
      <c r="Z1300">
        <v>196</v>
      </c>
      <c r="AA1300">
        <v>147</v>
      </c>
      <c r="AB1300" t="s">
        <v>644</v>
      </c>
      <c r="AC1300" t="s">
        <v>192</v>
      </c>
      <c r="AD1300" t="s">
        <v>182</v>
      </c>
      <c r="AE1300" t="s">
        <v>183</v>
      </c>
      <c r="AF1300">
        <v>0</v>
      </c>
    </row>
    <row r="1301" spans="1:32">
      <c r="A1301">
        <v>407</v>
      </c>
      <c r="B1301">
        <v>1043</v>
      </c>
      <c r="C1301" t="s">
        <v>2020</v>
      </c>
      <c r="D1301" t="s">
        <v>1411</v>
      </c>
      <c r="E1301" t="s">
        <v>2165</v>
      </c>
      <c r="F1301" t="s">
        <v>8</v>
      </c>
      <c r="G1301" t="s">
        <v>1457</v>
      </c>
      <c r="H1301" t="s">
        <v>220</v>
      </c>
      <c r="I1301" t="s">
        <v>221</v>
      </c>
      <c r="J1301" t="s">
        <v>274</v>
      </c>
      <c r="K1301" t="s">
        <v>2021</v>
      </c>
      <c r="L1301" s="84">
        <v>42168</v>
      </c>
      <c r="M1301" t="s">
        <v>381</v>
      </c>
      <c r="N1301" t="s">
        <v>503</v>
      </c>
      <c r="O1301">
        <v>3</v>
      </c>
      <c r="P1301" t="s">
        <v>2022</v>
      </c>
      <c r="Q1301" t="s">
        <v>2023</v>
      </c>
      <c r="R1301" t="s">
        <v>2074</v>
      </c>
      <c r="S1301" t="s">
        <v>2075</v>
      </c>
      <c r="T1301" t="s">
        <v>31</v>
      </c>
      <c r="U1301" t="s">
        <v>80</v>
      </c>
      <c r="V1301">
        <v>52</v>
      </c>
      <c r="W1301">
        <v>83</v>
      </c>
      <c r="X1301">
        <v>123</v>
      </c>
      <c r="Y1301">
        <v>86</v>
      </c>
      <c r="Z1301">
        <v>196</v>
      </c>
      <c r="AA1301">
        <v>147</v>
      </c>
      <c r="AB1301" t="s">
        <v>644</v>
      </c>
      <c r="AC1301" t="s">
        <v>192</v>
      </c>
      <c r="AD1301" t="s">
        <v>182</v>
      </c>
      <c r="AE1301" t="s">
        <v>183</v>
      </c>
      <c r="AF1301">
        <v>0</v>
      </c>
    </row>
    <row r="1302" spans="1:32">
      <c r="A1302">
        <v>407</v>
      </c>
      <c r="B1302">
        <v>1043</v>
      </c>
      <c r="C1302" t="s">
        <v>2020</v>
      </c>
      <c r="D1302" t="s">
        <v>1411</v>
      </c>
      <c r="E1302" t="s">
        <v>2165</v>
      </c>
      <c r="F1302" t="s">
        <v>7</v>
      </c>
      <c r="G1302" t="s">
        <v>1456</v>
      </c>
      <c r="H1302" t="s">
        <v>274</v>
      </c>
      <c r="I1302" t="s">
        <v>243</v>
      </c>
      <c r="J1302" t="s">
        <v>436</v>
      </c>
      <c r="K1302" t="s">
        <v>2021</v>
      </c>
      <c r="L1302" s="84">
        <v>42168</v>
      </c>
      <c r="M1302" t="s">
        <v>381</v>
      </c>
      <c r="N1302" t="s">
        <v>503</v>
      </c>
      <c r="O1302">
        <v>3</v>
      </c>
      <c r="P1302" t="s">
        <v>2022</v>
      </c>
      <c r="Q1302" t="s">
        <v>2023</v>
      </c>
      <c r="R1302" t="s">
        <v>2074</v>
      </c>
      <c r="S1302" t="s">
        <v>2075</v>
      </c>
      <c r="T1302" t="s">
        <v>32</v>
      </c>
      <c r="U1302" t="s">
        <v>80</v>
      </c>
      <c r="V1302">
        <v>52</v>
      </c>
      <c r="W1302">
        <v>83</v>
      </c>
      <c r="X1302">
        <v>123</v>
      </c>
      <c r="Y1302">
        <v>86</v>
      </c>
      <c r="Z1302">
        <v>196</v>
      </c>
      <c r="AA1302">
        <v>147</v>
      </c>
      <c r="AB1302" t="s">
        <v>644</v>
      </c>
      <c r="AC1302" t="s">
        <v>192</v>
      </c>
      <c r="AD1302" t="s">
        <v>182</v>
      </c>
      <c r="AE1302" t="s">
        <v>183</v>
      </c>
      <c r="AF1302">
        <v>0</v>
      </c>
    </row>
    <row r="1303" spans="1:32">
      <c r="A1303">
        <v>407</v>
      </c>
      <c r="B1303">
        <v>1043</v>
      </c>
      <c r="C1303" t="s">
        <v>2020</v>
      </c>
      <c r="D1303" t="s">
        <v>1411</v>
      </c>
      <c r="E1303" t="s">
        <v>2165</v>
      </c>
      <c r="F1303" t="s">
        <v>6</v>
      </c>
      <c r="G1303" t="s">
        <v>1458</v>
      </c>
      <c r="H1303" t="s">
        <v>185</v>
      </c>
      <c r="I1303" t="s">
        <v>216</v>
      </c>
      <c r="J1303" t="s">
        <v>171</v>
      </c>
      <c r="K1303" t="s">
        <v>2021</v>
      </c>
      <c r="L1303" s="84">
        <v>42168</v>
      </c>
      <c r="M1303" t="s">
        <v>381</v>
      </c>
      <c r="N1303" t="s">
        <v>503</v>
      </c>
      <c r="O1303">
        <v>3</v>
      </c>
      <c r="P1303" t="s">
        <v>2022</v>
      </c>
      <c r="Q1303" t="s">
        <v>2023</v>
      </c>
      <c r="R1303" t="s">
        <v>2074</v>
      </c>
      <c r="S1303" t="s">
        <v>2075</v>
      </c>
      <c r="T1303" t="s">
        <v>34</v>
      </c>
      <c r="U1303" t="s">
        <v>80</v>
      </c>
      <c r="V1303">
        <v>52</v>
      </c>
      <c r="W1303">
        <v>83</v>
      </c>
      <c r="X1303">
        <v>123</v>
      </c>
      <c r="Y1303">
        <v>86</v>
      </c>
      <c r="Z1303">
        <v>196</v>
      </c>
      <c r="AA1303">
        <v>147</v>
      </c>
      <c r="AB1303" t="s">
        <v>644</v>
      </c>
      <c r="AC1303" t="s">
        <v>192</v>
      </c>
      <c r="AD1303" t="s">
        <v>182</v>
      </c>
      <c r="AE1303" t="s">
        <v>183</v>
      </c>
      <c r="AF1303">
        <v>0</v>
      </c>
    </row>
    <row r="1304" spans="1:32">
      <c r="A1304">
        <v>408</v>
      </c>
      <c r="B1304">
        <v>824</v>
      </c>
      <c r="C1304" t="s">
        <v>810</v>
      </c>
      <c r="D1304" t="s">
        <v>1411</v>
      </c>
      <c r="E1304" t="s">
        <v>2165</v>
      </c>
      <c r="F1304" t="s">
        <v>6</v>
      </c>
      <c r="G1304" t="s">
        <v>1467</v>
      </c>
      <c r="H1304" t="s">
        <v>172</v>
      </c>
      <c r="I1304" t="s">
        <v>243</v>
      </c>
      <c r="J1304" t="s">
        <v>173</v>
      </c>
      <c r="K1304" t="s">
        <v>812</v>
      </c>
      <c r="L1304" s="84">
        <v>41770</v>
      </c>
      <c r="M1304" t="s">
        <v>352</v>
      </c>
      <c r="N1304" t="s">
        <v>813</v>
      </c>
      <c r="O1304">
        <v>3</v>
      </c>
      <c r="P1304" t="s">
        <v>814</v>
      </c>
      <c r="Q1304" t="s">
        <v>815</v>
      </c>
      <c r="R1304" t="s">
        <v>816</v>
      </c>
      <c r="S1304" t="s">
        <v>817</v>
      </c>
      <c r="T1304" t="s">
        <v>34</v>
      </c>
      <c r="U1304" t="s">
        <v>80</v>
      </c>
      <c r="V1304">
        <v>54</v>
      </c>
      <c r="W1304">
        <v>83</v>
      </c>
      <c r="X1304">
        <v>123</v>
      </c>
      <c r="Y1304">
        <v>80</v>
      </c>
      <c r="Z1304">
        <v>196</v>
      </c>
      <c r="AA1304">
        <v>140</v>
      </c>
      <c r="AB1304" t="s">
        <v>1296</v>
      </c>
      <c r="AC1304" t="s">
        <v>237</v>
      </c>
      <c r="AD1304" t="s">
        <v>210</v>
      </c>
      <c r="AE1304" t="s">
        <v>183</v>
      </c>
      <c r="AF1304">
        <v>2</v>
      </c>
    </row>
    <row r="1305" spans="1:32">
      <c r="A1305">
        <v>408</v>
      </c>
      <c r="B1305">
        <v>824</v>
      </c>
      <c r="C1305" t="s">
        <v>810</v>
      </c>
      <c r="D1305" t="s">
        <v>1411</v>
      </c>
      <c r="E1305" t="s">
        <v>2165</v>
      </c>
      <c r="F1305" t="s">
        <v>7</v>
      </c>
      <c r="G1305" t="s">
        <v>1469</v>
      </c>
      <c r="H1305" t="s">
        <v>181</v>
      </c>
      <c r="I1305" t="s">
        <v>187</v>
      </c>
      <c r="J1305" t="s">
        <v>329</v>
      </c>
      <c r="K1305" t="s">
        <v>812</v>
      </c>
      <c r="L1305" s="84">
        <v>41770</v>
      </c>
      <c r="M1305" t="s">
        <v>352</v>
      </c>
      <c r="N1305" t="s">
        <v>813</v>
      </c>
      <c r="O1305">
        <v>3</v>
      </c>
      <c r="P1305" t="s">
        <v>814</v>
      </c>
      <c r="Q1305" t="s">
        <v>815</v>
      </c>
      <c r="R1305" t="s">
        <v>816</v>
      </c>
      <c r="S1305" t="s">
        <v>817</v>
      </c>
      <c r="T1305" t="s">
        <v>32</v>
      </c>
      <c r="U1305" t="s">
        <v>80</v>
      </c>
      <c r="V1305">
        <v>54</v>
      </c>
      <c r="W1305">
        <v>83</v>
      </c>
      <c r="X1305">
        <v>123</v>
      </c>
      <c r="Y1305">
        <v>80</v>
      </c>
      <c r="Z1305">
        <v>196</v>
      </c>
      <c r="AA1305">
        <v>140</v>
      </c>
      <c r="AB1305" t="s">
        <v>1296</v>
      </c>
      <c r="AC1305" t="s">
        <v>237</v>
      </c>
      <c r="AD1305" t="s">
        <v>210</v>
      </c>
      <c r="AE1305" t="s">
        <v>183</v>
      </c>
      <c r="AF1305">
        <v>2</v>
      </c>
    </row>
    <row r="1306" spans="1:32">
      <c r="A1306">
        <v>408</v>
      </c>
      <c r="B1306">
        <v>824</v>
      </c>
      <c r="C1306" t="s">
        <v>810</v>
      </c>
      <c r="D1306" t="s">
        <v>1411</v>
      </c>
      <c r="E1306" t="s">
        <v>2165</v>
      </c>
      <c r="F1306" t="s">
        <v>8</v>
      </c>
      <c r="G1306" t="s">
        <v>1468</v>
      </c>
      <c r="H1306" t="s">
        <v>436</v>
      </c>
      <c r="I1306" t="s">
        <v>192</v>
      </c>
      <c r="J1306" t="s">
        <v>436</v>
      </c>
      <c r="K1306" t="s">
        <v>812</v>
      </c>
      <c r="L1306" s="84">
        <v>41770</v>
      </c>
      <c r="M1306" t="s">
        <v>352</v>
      </c>
      <c r="N1306" t="s">
        <v>813</v>
      </c>
      <c r="O1306">
        <v>3</v>
      </c>
      <c r="P1306" t="s">
        <v>814</v>
      </c>
      <c r="Q1306" t="s">
        <v>815</v>
      </c>
      <c r="R1306" t="s">
        <v>816</v>
      </c>
      <c r="S1306" t="s">
        <v>817</v>
      </c>
      <c r="T1306" t="s">
        <v>31</v>
      </c>
      <c r="U1306" t="s">
        <v>80</v>
      </c>
      <c r="V1306">
        <v>54</v>
      </c>
      <c r="W1306">
        <v>83</v>
      </c>
      <c r="X1306">
        <v>123</v>
      </c>
      <c r="Y1306">
        <v>80</v>
      </c>
      <c r="Z1306">
        <v>196</v>
      </c>
      <c r="AA1306">
        <v>140</v>
      </c>
      <c r="AB1306" t="s">
        <v>1296</v>
      </c>
      <c r="AC1306" t="s">
        <v>237</v>
      </c>
      <c r="AD1306" t="s">
        <v>210</v>
      </c>
      <c r="AE1306" t="s">
        <v>183</v>
      </c>
      <c r="AF1306">
        <v>2</v>
      </c>
    </row>
    <row r="1307" spans="1:32">
      <c r="A1307">
        <v>408</v>
      </c>
      <c r="B1307">
        <v>824</v>
      </c>
      <c r="C1307" t="s">
        <v>810</v>
      </c>
      <c r="D1307" t="s">
        <v>1411</v>
      </c>
      <c r="E1307" t="s">
        <v>2165</v>
      </c>
      <c r="F1307" t="s">
        <v>5</v>
      </c>
      <c r="G1307" t="s">
        <v>1466</v>
      </c>
      <c r="H1307" t="s">
        <v>243</v>
      </c>
      <c r="I1307" t="s">
        <v>173</v>
      </c>
      <c r="J1307" t="s">
        <v>172</v>
      </c>
      <c r="K1307" t="s">
        <v>812</v>
      </c>
      <c r="L1307" s="84">
        <v>41770</v>
      </c>
      <c r="M1307" t="s">
        <v>352</v>
      </c>
      <c r="N1307" t="s">
        <v>813</v>
      </c>
      <c r="O1307">
        <v>3</v>
      </c>
      <c r="P1307" t="s">
        <v>814</v>
      </c>
      <c r="Q1307" t="s">
        <v>815</v>
      </c>
      <c r="R1307" t="s">
        <v>816</v>
      </c>
      <c r="S1307" t="s">
        <v>817</v>
      </c>
      <c r="T1307" t="s">
        <v>33</v>
      </c>
      <c r="U1307" t="s">
        <v>80</v>
      </c>
      <c r="V1307">
        <v>54</v>
      </c>
      <c r="W1307">
        <v>83</v>
      </c>
      <c r="X1307">
        <v>123</v>
      </c>
      <c r="Y1307">
        <v>80</v>
      </c>
      <c r="Z1307">
        <v>196</v>
      </c>
      <c r="AA1307">
        <v>140</v>
      </c>
      <c r="AB1307" t="s">
        <v>1296</v>
      </c>
      <c r="AC1307" t="s">
        <v>237</v>
      </c>
      <c r="AD1307" t="s">
        <v>210</v>
      </c>
      <c r="AE1307" t="s">
        <v>183</v>
      </c>
      <c r="AF1307">
        <v>2</v>
      </c>
    </row>
    <row r="1308" spans="1:32">
      <c r="A1308">
        <v>408</v>
      </c>
      <c r="B1308">
        <v>824</v>
      </c>
      <c r="C1308" t="s">
        <v>810</v>
      </c>
      <c r="D1308" t="s">
        <v>1411</v>
      </c>
      <c r="E1308" t="s">
        <v>2165</v>
      </c>
      <c r="F1308" t="s">
        <v>197</v>
      </c>
      <c r="G1308" t="s">
        <v>1463</v>
      </c>
      <c r="H1308" t="s">
        <v>188</v>
      </c>
      <c r="I1308" t="s">
        <v>212</v>
      </c>
      <c r="J1308" t="s">
        <v>245</v>
      </c>
      <c r="K1308" t="s">
        <v>812</v>
      </c>
      <c r="L1308" s="84">
        <v>41770</v>
      </c>
      <c r="M1308" t="s">
        <v>352</v>
      </c>
      <c r="N1308" t="s">
        <v>813</v>
      </c>
      <c r="O1308">
        <v>3</v>
      </c>
      <c r="P1308" t="s">
        <v>814</v>
      </c>
      <c r="Q1308" t="s">
        <v>815</v>
      </c>
      <c r="R1308" t="s">
        <v>816</v>
      </c>
      <c r="S1308" t="s">
        <v>817</v>
      </c>
      <c r="T1308" t="s">
        <v>38</v>
      </c>
      <c r="U1308" t="s">
        <v>80</v>
      </c>
      <c r="V1308">
        <v>54</v>
      </c>
      <c r="W1308">
        <v>83</v>
      </c>
      <c r="X1308">
        <v>123</v>
      </c>
      <c r="Y1308">
        <v>80</v>
      </c>
      <c r="Z1308">
        <v>196</v>
      </c>
      <c r="AA1308">
        <v>140</v>
      </c>
      <c r="AB1308" t="s">
        <v>1296</v>
      </c>
      <c r="AC1308" t="s">
        <v>237</v>
      </c>
      <c r="AD1308" t="s">
        <v>210</v>
      </c>
      <c r="AE1308" t="s">
        <v>183</v>
      </c>
      <c r="AF1308">
        <v>2</v>
      </c>
    </row>
    <row r="1309" spans="1:32">
      <c r="A1309">
        <v>408</v>
      </c>
      <c r="B1309">
        <v>824</v>
      </c>
      <c r="C1309" t="s">
        <v>810</v>
      </c>
      <c r="D1309" t="s">
        <v>1411</v>
      </c>
      <c r="E1309" t="s">
        <v>2165</v>
      </c>
      <c r="F1309" t="s">
        <v>193</v>
      </c>
      <c r="G1309" t="s">
        <v>1465</v>
      </c>
      <c r="H1309" t="s">
        <v>192</v>
      </c>
      <c r="I1309" t="s">
        <v>212</v>
      </c>
      <c r="J1309" t="s">
        <v>192</v>
      </c>
      <c r="K1309" t="s">
        <v>812</v>
      </c>
      <c r="L1309" s="84">
        <v>41770</v>
      </c>
      <c r="M1309" t="s">
        <v>352</v>
      </c>
      <c r="N1309" t="s">
        <v>813</v>
      </c>
      <c r="O1309">
        <v>3</v>
      </c>
      <c r="P1309" t="s">
        <v>814</v>
      </c>
      <c r="Q1309" t="s">
        <v>815</v>
      </c>
      <c r="R1309" t="s">
        <v>816</v>
      </c>
      <c r="S1309" t="s">
        <v>817</v>
      </c>
      <c r="T1309" t="s">
        <v>36</v>
      </c>
      <c r="U1309" t="s">
        <v>80</v>
      </c>
      <c r="V1309">
        <v>54</v>
      </c>
      <c r="W1309">
        <v>83</v>
      </c>
      <c r="X1309">
        <v>123</v>
      </c>
      <c r="Y1309">
        <v>80</v>
      </c>
      <c r="Z1309">
        <v>196</v>
      </c>
      <c r="AA1309">
        <v>140</v>
      </c>
      <c r="AB1309" t="s">
        <v>1296</v>
      </c>
      <c r="AC1309" t="s">
        <v>237</v>
      </c>
      <c r="AD1309" t="s">
        <v>210</v>
      </c>
      <c r="AE1309" t="s">
        <v>183</v>
      </c>
      <c r="AF1309">
        <v>2</v>
      </c>
    </row>
    <row r="1310" spans="1:32">
      <c r="A1310">
        <v>408</v>
      </c>
      <c r="B1310">
        <v>824</v>
      </c>
      <c r="C1310" t="s">
        <v>810</v>
      </c>
      <c r="D1310" t="s">
        <v>1411</v>
      </c>
      <c r="E1310" t="s">
        <v>2165</v>
      </c>
      <c r="F1310" t="s">
        <v>37</v>
      </c>
      <c r="G1310" t="s">
        <v>1464</v>
      </c>
      <c r="H1310" t="s">
        <v>192</v>
      </c>
      <c r="I1310" t="s">
        <v>212</v>
      </c>
      <c r="J1310" t="s">
        <v>192</v>
      </c>
      <c r="K1310" t="s">
        <v>812</v>
      </c>
      <c r="L1310" s="84">
        <v>41770</v>
      </c>
      <c r="M1310" t="s">
        <v>352</v>
      </c>
      <c r="N1310" t="s">
        <v>813</v>
      </c>
      <c r="O1310">
        <v>3</v>
      </c>
      <c r="P1310" t="s">
        <v>814</v>
      </c>
      <c r="Q1310" t="s">
        <v>815</v>
      </c>
      <c r="R1310" t="s">
        <v>816</v>
      </c>
      <c r="S1310" t="s">
        <v>817</v>
      </c>
      <c r="T1310" t="s">
        <v>37</v>
      </c>
      <c r="U1310" t="s">
        <v>80</v>
      </c>
      <c r="V1310">
        <v>54</v>
      </c>
      <c r="W1310">
        <v>83</v>
      </c>
      <c r="X1310">
        <v>123</v>
      </c>
      <c r="Y1310">
        <v>80</v>
      </c>
      <c r="Z1310">
        <v>196</v>
      </c>
      <c r="AA1310">
        <v>140</v>
      </c>
      <c r="AB1310" t="s">
        <v>1296</v>
      </c>
      <c r="AC1310" t="s">
        <v>237</v>
      </c>
      <c r="AD1310" t="s">
        <v>210</v>
      </c>
      <c r="AE1310" t="s">
        <v>183</v>
      </c>
      <c r="AF1310">
        <v>2</v>
      </c>
    </row>
    <row r="1311" spans="1:32">
      <c r="A1311">
        <v>409</v>
      </c>
      <c r="B1311">
        <v>693</v>
      </c>
      <c r="C1311" t="s">
        <v>821</v>
      </c>
      <c r="D1311" t="s">
        <v>1411</v>
      </c>
      <c r="E1311" t="s">
        <v>2165</v>
      </c>
      <c r="F1311" t="s">
        <v>37</v>
      </c>
      <c r="G1311" t="s">
        <v>1476</v>
      </c>
      <c r="H1311" t="s">
        <v>192</v>
      </c>
      <c r="I1311" t="s">
        <v>212</v>
      </c>
      <c r="J1311" t="s">
        <v>212</v>
      </c>
      <c r="K1311" t="s">
        <v>822</v>
      </c>
      <c r="L1311" s="84">
        <v>42044</v>
      </c>
      <c r="M1311" t="s">
        <v>352</v>
      </c>
      <c r="N1311" t="s">
        <v>604</v>
      </c>
      <c r="O1311">
        <v>3</v>
      </c>
      <c r="P1311" t="s">
        <v>823</v>
      </c>
      <c r="Q1311" t="s">
        <v>824</v>
      </c>
      <c r="R1311" t="s">
        <v>825</v>
      </c>
      <c r="S1311" t="s">
        <v>826</v>
      </c>
      <c r="T1311" t="s">
        <v>37</v>
      </c>
      <c r="U1311" t="s">
        <v>80</v>
      </c>
      <c r="V1311">
        <v>50</v>
      </c>
      <c r="W1311">
        <v>83</v>
      </c>
      <c r="X1311">
        <v>123</v>
      </c>
      <c r="Y1311">
        <v>80</v>
      </c>
      <c r="Z1311">
        <v>196</v>
      </c>
      <c r="AA1311">
        <v>146</v>
      </c>
      <c r="AB1311" t="s">
        <v>696</v>
      </c>
      <c r="AC1311" t="s">
        <v>171</v>
      </c>
      <c r="AD1311" t="s">
        <v>210</v>
      </c>
      <c r="AE1311" t="s">
        <v>183</v>
      </c>
      <c r="AF1311">
        <v>1</v>
      </c>
    </row>
    <row r="1312" spans="1:32">
      <c r="A1312">
        <v>409</v>
      </c>
      <c r="B1312">
        <v>693</v>
      </c>
      <c r="C1312" t="s">
        <v>821</v>
      </c>
      <c r="D1312" t="s">
        <v>1411</v>
      </c>
      <c r="E1312" t="s">
        <v>2165</v>
      </c>
      <c r="F1312" t="s">
        <v>193</v>
      </c>
      <c r="G1312" t="s">
        <v>1475</v>
      </c>
      <c r="H1312" t="s">
        <v>192</v>
      </c>
      <c r="I1312" t="s">
        <v>212</v>
      </c>
      <c r="J1312" t="s">
        <v>192</v>
      </c>
      <c r="K1312" t="s">
        <v>822</v>
      </c>
      <c r="L1312" s="84">
        <v>42044</v>
      </c>
      <c r="M1312" t="s">
        <v>352</v>
      </c>
      <c r="N1312" t="s">
        <v>604</v>
      </c>
      <c r="O1312">
        <v>3</v>
      </c>
      <c r="P1312" t="s">
        <v>823</v>
      </c>
      <c r="Q1312" t="s">
        <v>824</v>
      </c>
      <c r="R1312" t="s">
        <v>825</v>
      </c>
      <c r="S1312" t="s">
        <v>826</v>
      </c>
      <c r="T1312" t="s">
        <v>36</v>
      </c>
      <c r="U1312" t="s">
        <v>80</v>
      </c>
      <c r="V1312">
        <v>50</v>
      </c>
      <c r="W1312">
        <v>83</v>
      </c>
      <c r="X1312">
        <v>123</v>
      </c>
      <c r="Y1312">
        <v>80</v>
      </c>
      <c r="Z1312">
        <v>196</v>
      </c>
      <c r="AA1312">
        <v>146</v>
      </c>
      <c r="AB1312" t="s">
        <v>696</v>
      </c>
      <c r="AC1312" t="s">
        <v>171</v>
      </c>
      <c r="AD1312" t="s">
        <v>210</v>
      </c>
      <c r="AE1312" t="s">
        <v>183</v>
      </c>
      <c r="AF1312">
        <v>1</v>
      </c>
    </row>
    <row r="1313" spans="1:32">
      <c r="A1313">
        <v>409</v>
      </c>
      <c r="B1313">
        <v>693</v>
      </c>
      <c r="C1313" t="s">
        <v>821</v>
      </c>
      <c r="D1313" t="s">
        <v>1411</v>
      </c>
      <c r="E1313" t="s">
        <v>2165</v>
      </c>
      <c r="F1313" t="s">
        <v>197</v>
      </c>
      <c r="G1313" t="s">
        <v>1477</v>
      </c>
      <c r="H1313" t="s">
        <v>188</v>
      </c>
      <c r="I1313" t="s">
        <v>212</v>
      </c>
      <c r="J1313" t="s">
        <v>228</v>
      </c>
      <c r="K1313" t="s">
        <v>822</v>
      </c>
      <c r="L1313" s="84">
        <v>42044</v>
      </c>
      <c r="M1313" t="s">
        <v>352</v>
      </c>
      <c r="N1313" t="s">
        <v>604</v>
      </c>
      <c r="O1313">
        <v>3</v>
      </c>
      <c r="P1313" t="s">
        <v>823</v>
      </c>
      <c r="Q1313" t="s">
        <v>824</v>
      </c>
      <c r="R1313" t="s">
        <v>825</v>
      </c>
      <c r="S1313" t="s">
        <v>826</v>
      </c>
      <c r="T1313" t="s">
        <v>38</v>
      </c>
      <c r="U1313" t="s">
        <v>80</v>
      </c>
      <c r="V1313">
        <v>50</v>
      </c>
      <c r="W1313">
        <v>83</v>
      </c>
      <c r="X1313">
        <v>123</v>
      </c>
      <c r="Y1313">
        <v>80</v>
      </c>
      <c r="Z1313">
        <v>196</v>
      </c>
      <c r="AA1313">
        <v>146</v>
      </c>
      <c r="AB1313" t="s">
        <v>696</v>
      </c>
      <c r="AC1313" t="s">
        <v>171</v>
      </c>
      <c r="AD1313" t="s">
        <v>210</v>
      </c>
      <c r="AE1313" t="s">
        <v>183</v>
      </c>
      <c r="AF1313">
        <v>1</v>
      </c>
    </row>
    <row r="1314" spans="1:32">
      <c r="A1314">
        <v>409</v>
      </c>
      <c r="B1314">
        <v>693</v>
      </c>
      <c r="C1314" t="s">
        <v>821</v>
      </c>
      <c r="D1314" t="s">
        <v>1411</v>
      </c>
      <c r="E1314" t="s">
        <v>2165</v>
      </c>
      <c r="F1314" t="s">
        <v>5</v>
      </c>
      <c r="G1314" t="s">
        <v>1474</v>
      </c>
      <c r="H1314" t="s">
        <v>188</v>
      </c>
      <c r="I1314" t="s">
        <v>181</v>
      </c>
      <c r="J1314" t="s">
        <v>172</v>
      </c>
      <c r="K1314" t="s">
        <v>822</v>
      </c>
      <c r="L1314" s="84">
        <v>42044</v>
      </c>
      <c r="M1314" t="s">
        <v>352</v>
      </c>
      <c r="N1314" t="s">
        <v>604</v>
      </c>
      <c r="O1314">
        <v>3</v>
      </c>
      <c r="P1314" t="s">
        <v>823</v>
      </c>
      <c r="Q1314" t="s">
        <v>824</v>
      </c>
      <c r="R1314" t="s">
        <v>825</v>
      </c>
      <c r="S1314" t="s">
        <v>826</v>
      </c>
      <c r="T1314" t="s">
        <v>33</v>
      </c>
      <c r="U1314" t="s">
        <v>80</v>
      </c>
      <c r="V1314">
        <v>50</v>
      </c>
      <c r="W1314">
        <v>83</v>
      </c>
      <c r="X1314">
        <v>123</v>
      </c>
      <c r="Y1314">
        <v>80</v>
      </c>
      <c r="Z1314">
        <v>196</v>
      </c>
      <c r="AA1314">
        <v>146</v>
      </c>
      <c r="AB1314" t="s">
        <v>696</v>
      </c>
      <c r="AC1314" t="s">
        <v>171</v>
      </c>
      <c r="AD1314" t="s">
        <v>210</v>
      </c>
      <c r="AE1314" t="s">
        <v>183</v>
      </c>
      <c r="AF1314">
        <v>1</v>
      </c>
    </row>
    <row r="1315" spans="1:32">
      <c r="A1315">
        <v>409</v>
      </c>
      <c r="B1315">
        <v>693</v>
      </c>
      <c r="C1315" t="s">
        <v>821</v>
      </c>
      <c r="D1315" t="s">
        <v>1411</v>
      </c>
      <c r="E1315" t="s">
        <v>2165</v>
      </c>
      <c r="F1315" t="s">
        <v>8</v>
      </c>
      <c r="G1315" t="s">
        <v>1472</v>
      </c>
      <c r="H1315" t="s">
        <v>173</v>
      </c>
      <c r="I1315" t="s">
        <v>187</v>
      </c>
      <c r="J1315" t="s">
        <v>212</v>
      </c>
      <c r="K1315" t="s">
        <v>822</v>
      </c>
      <c r="L1315" s="84">
        <v>42044</v>
      </c>
      <c r="M1315" t="s">
        <v>352</v>
      </c>
      <c r="N1315" t="s">
        <v>604</v>
      </c>
      <c r="O1315">
        <v>3</v>
      </c>
      <c r="P1315" t="s">
        <v>823</v>
      </c>
      <c r="Q1315" t="s">
        <v>824</v>
      </c>
      <c r="R1315" t="s">
        <v>825</v>
      </c>
      <c r="S1315" t="s">
        <v>826</v>
      </c>
      <c r="T1315" t="s">
        <v>31</v>
      </c>
      <c r="U1315" t="s">
        <v>80</v>
      </c>
      <c r="V1315">
        <v>50</v>
      </c>
      <c r="W1315">
        <v>83</v>
      </c>
      <c r="X1315">
        <v>123</v>
      </c>
      <c r="Y1315">
        <v>80</v>
      </c>
      <c r="Z1315">
        <v>196</v>
      </c>
      <c r="AA1315">
        <v>146</v>
      </c>
      <c r="AB1315" t="s">
        <v>696</v>
      </c>
      <c r="AC1315" t="s">
        <v>171</v>
      </c>
      <c r="AD1315" t="s">
        <v>210</v>
      </c>
      <c r="AE1315" t="s">
        <v>183</v>
      </c>
      <c r="AF1315">
        <v>1</v>
      </c>
    </row>
    <row r="1316" spans="1:32">
      <c r="A1316">
        <v>409</v>
      </c>
      <c r="B1316">
        <v>693</v>
      </c>
      <c r="C1316" t="s">
        <v>821</v>
      </c>
      <c r="D1316" t="s">
        <v>1411</v>
      </c>
      <c r="E1316" t="s">
        <v>2165</v>
      </c>
      <c r="F1316" t="s">
        <v>7</v>
      </c>
      <c r="G1316" t="s">
        <v>1470</v>
      </c>
      <c r="H1316" t="s">
        <v>223</v>
      </c>
      <c r="I1316" t="s">
        <v>227</v>
      </c>
      <c r="J1316" t="s">
        <v>172</v>
      </c>
      <c r="K1316" t="s">
        <v>822</v>
      </c>
      <c r="L1316" s="84">
        <v>42044</v>
      </c>
      <c r="M1316" t="s">
        <v>352</v>
      </c>
      <c r="N1316" t="s">
        <v>604</v>
      </c>
      <c r="O1316">
        <v>3</v>
      </c>
      <c r="P1316" t="s">
        <v>823</v>
      </c>
      <c r="Q1316" t="s">
        <v>824</v>
      </c>
      <c r="R1316" t="s">
        <v>825</v>
      </c>
      <c r="S1316" t="s">
        <v>826</v>
      </c>
      <c r="T1316" t="s">
        <v>32</v>
      </c>
      <c r="U1316" t="s">
        <v>80</v>
      </c>
      <c r="V1316">
        <v>50</v>
      </c>
      <c r="W1316">
        <v>83</v>
      </c>
      <c r="X1316">
        <v>123</v>
      </c>
      <c r="Y1316">
        <v>80</v>
      </c>
      <c r="Z1316">
        <v>196</v>
      </c>
      <c r="AA1316">
        <v>146</v>
      </c>
      <c r="AB1316" t="s">
        <v>696</v>
      </c>
      <c r="AC1316" t="s">
        <v>171</v>
      </c>
      <c r="AD1316" t="s">
        <v>210</v>
      </c>
      <c r="AE1316" t="s">
        <v>183</v>
      </c>
      <c r="AF1316">
        <v>1</v>
      </c>
    </row>
    <row r="1317" spans="1:32">
      <c r="A1317">
        <v>409</v>
      </c>
      <c r="B1317">
        <v>693</v>
      </c>
      <c r="C1317" t="s">
        <v>821</v>
      </c>
      <c r="D1317" t="s">
        <v>1411</v>
      </c>
      <c r="E1317" t="s">
        <v>2165</v>
      </c>
      <c r="F1317" t="s">
        <v>6</v>
      </c>
      <c r="G1317" t="s">
        <v>1473</v>
      </c>
      <c r="H1317" t="s">
        <v>324</v>
      </c>
      <c r="I1317" t="s">
        <v>415</v>
      </c>
      <c r="J1317" t="s">
        <v>188</v>
      </c>
      <c r="K1317" t="s">
        <v>822</v>
      </c>
      <c r="L1317" s="84">
        <v>42044</v>
      </c>
      <c r="M1317" t="s">
        <v>352</v>
      </c>
      <c r="N1317" t="s">
        <v>604</v>
      </c>
      <c r="O1317">
        <v>3</v>
      </c>
      <c r="P1317" t="s">
        <v>823</v>
      </c>
      <c r="Q1317" t="s">
        <v>824</v>
      </c>
      <c r="R1317" t="s">
        <v>825</v>
      </c>
      <c r="S1317" t="s">
        <v>826</v>
      </c>
      <c r="T1317" t="s">
        <v>34</v>
      </c>
      <c r="U1317" t="s">
        <v>80</v>
      </c>
      <c r="V1317">
        <v>50</v>
      </c>
      <c r="W1317">
        <v>83</v>
      </c>
      <c r="X1317">
        <v>123</v>
      </c>
      <c r="Y1317">
        <v>80</v>
      </c>
      <c r="Z1317">
        <v>196</v>
      </c>
      <c r="AA1317">
        <v>146</v>
      </c>
      <c r="AB1317" t="s">
        <v>696</v>
      </c>
      <c r="AC1317" t="s">
        <v>171</v>
      </c>
      <c r="AD1317" t="s">
        <v>210</v>
      </c>
      <c r="AE1317" t="s">
        <v>183</v>
      </c>
      <c r="AF1317">
        <v>1</v>
      </c>
    </row>
    <row r="1318" spans="1:32">
      <c r="A1318">
        <v>410</v>
      </c>
      <c r="B1318">
        <v>1145</v>
      </c>
      <c r="C1318" t="s">
        <v>2713</v>
      </c>
      <c r="D1318" t="s">
        <v>1411</v>
      </c>
      <c r="E1318" t="s">
        <v>2165</v>
      </c>
      <c r="F1318" t="s">
        <v>6</v>
      </c>
      <c r="G1318" t="s">
        <v>1482</v>
      </c>
      <c r="H1318" t="s">
        <v>415</v>
      </c>
      <c r="I1318" t="s">
        <v>185</v>
      </c>
      <c r="J1318" t="s">
        <v>275</v>
      </c>
      <c r="K1318" t="s">
        <v>2714</v>
      </c>
      <c r="L1318" s="84">
        <v>42529</v>
      </c>
      <c r="M1318" t="s">
        <v>381</v>
      </c>
      <c r="N1318" t="s">
        <v>2253</v>
      </c>
      <c r="O1318">
        <v>2</v>
      </c>
      <c r="P1318" t="s">
        <v>2715</v>
      </c>
      <c r="Q1318" t="s">
        <v>2716</v>
      </c>
      <c r="R1318" t="s">
        <v>2717</v>
      </c>
      <c r="S1318" t="s">
        <v>2718</v>
      </c>
      <c r="T1318" t="s">
        <v>34</v>
      </c>
      <c r="U1318" t="s">
        <v>79</v>
      </c>
      <c r="V1318">
        <v>52</v>
      </c>
      <c r="W1318">
        <v>83</v>
      </c>
      <c r="X1318">
        <v>123</v>
      </c>
      <c r="Y1318">
        <v>84</v>
      </c>
      <c r="Z1318">
        <v>196</v>
      </c>
      <c r="AA1318">
        <v>120</v>
      </c>
      <c r="AB1318" t="s">
        <v>1069</v>
      </c>
      <c r="AC1318" t="s">
        <v>256</v>
      </c>
      <c r="AD1318" t="s">
        <v>210</v>
      </c>
      <c r="AE1318" t="s">
        <v>183</v>
      </c>
      <c r="AF1318">
        <v>2</v>
      </c>
    </row>
    <row r="1319" spans="1:32">
      <c r="A1319">
        <v>410</v>
      </c>
      <c r="B1319">
        <v>1145</v>
      </c>
      <c r="C1319" t="s">
        <v>2713</v>
      </c>
      <c r="D1319" t="s">
        <v>1411</v>
      </c>
      <c r="E1319" t="s">
        <v>2165</v>
      </c>
      <c r="F1319" t="s">
        <v>7</v>
      </c>
      <c r="G1319" t="s">
        <v>1484</v>
      </c>
      <c r="H1319" t="s">
        <v>212</v>
      </c>
      <c r="I1319" t="s">
        <v>181</v>
      </c>
      <c r="J1319" t="s">
        <v>228</v>
      </c>
      <c r="K1319" t="s">
        <v>2714</v>
      </c>
      <c r="L1319" s="84">
        <v>42529</v>
      </c>
      <c r="M1319" t="s">
        <v>381</v>
      </c>
      <c r="N1319" t="s">
        <v>2253</v>
      </c>
      <c r="O1319">
        <v>2</v>
      </c>
      <c r="P1319" t="s">
        <v>2715</v>
      </c>
      <c r="Q1319" t="s">
        <v>2716</v>
      </c>
      <c r="R1319" t="s">
        <v>2717</v>
      </c>
      <c r="S1319" t="s">
        <v>2718</v>
      </c>
      <c r="T1319" t="s">
        <v>32</v>
      </c>
      <c r="U1319" t="s">
        <v>79</v>
      </c>
      <c r="V1319">
        <v>52</v>
      </c>
      <c r="W1319">
        <v>83</v>
      </c>
      <c r="X1319">
        <v>123</v>
      </c>
      <c r="Y1319">
        <v>84</v>
      </c>
      <c r="Z1319">
        <v>196</v>
      </c>
      <c r="AA1319">
        <v>120</v>
      </c>
      <c r="AB1319" t="s">
        <v>1069</v>
      </c>
      <c r="AC1319" t="s">
        <v>256</v>
      </c>
      <c r="AD1319" t="s">
        <v>210</v>
      </c>
      <c r="AE1319" t="s">
        <v>183</v>
      </c>
      <c r="AF1319">
        <v>2</v>
      </c>
    </row>
    <row r="1320" spans="1:32">
      <c r="A1320">
        <v>410</v>
      </c>
      <c r="B1320">
        <v>1145</v>
      </c>
      <c r="C1320" t="s">
        <v>2713</v>
      </c>
      <c r="D1320" t="s">
        <v>1411</v>
      </c>
      <c r="E1320" t="s">
        <v>2165</v>
      </c>
      <c r="F1320" t="s">
        <v>8</v>
      </c>
      <c r="G1320" t="s">
        <v>1483</v>
      </c>
      <c r="H1320" t="s">
        <v>212</v>
      </c>
      <c r="I1320" t="s">
        <v>226</v>
      </c>
      <c r="J1320" t="s">
        <v>275</v>
      </c>
      <c r="K1320" t="s">
        <v>2714</v>
      </c>
      <c r="L1320" s="84">
        <v>42529</v>
      </c>
      <c r="M1320" t="s">
        <v>381</v>
      </c>
      <c r="N1320" t="s">
        <v>2253</v>
      </c>
      <c r="O1320">
        <v>2</v>
      </c>
      <c r="P1320" t="s">
        <v>2715</v>
      </c>
      <c r="Q1320" t="s">
        <v>2716</v>
      </c>
      <c r="R1320" t="s">
        <v>2717</v>
      </c>
      <c r="S1320" t="s">
        <v>2718</v>
      </c>
      <c r="T1320" t="s">
        <v>31</v>
      </c>
      <c r="U1320" t="s">
        <v>79</v>
      </c>
      <c r="V1320">
        <v>52</v>
      </c>
      <c r="W1320">
        <v>83</v>
      </c>
      <c r="X1320">
        <v>123</v>
      </c>
      <c r="Y1320">
        <v>84</v>
      </c>
      <c r="Z1320">
        <v>196</v>
      </c>
      <c r="AA1320">
        <v>120</v>
      </c>
      <c r="AB1320" t="s">
        <v>1069</v>
      </c>
      <c r="AC1320" t="s">
        <v>256</v>
      </c>
      <c r="AD1320" t="s">
        <v>210</v>
      </c>
      <c r="AE1320" t="s">
        <v>183</v>
      </c>
      <c r="AF1320">
        <v>2</v>
      </c>
    </row>
    <row r="1321" spans="1:32">
      <c r="A1321">
        <v>410</v>
      </c>
      <c r="B1321">
        <v>1145</v>
      </c>
      <c r="C1321" t="s">
        <v>2713</v>
      </c>
      <c r="D1321" t="s">
        <v>1411</v>
      </c>
      <c r="E1321" t="s">
        <v>2165</v>
      </c>
      <c r="F1321" t="s">
        <v>5</v>
      </c>
      <c r="G1321" t="s">
        <v>1481</v>
      </c>
      <c r="H1321" t="s">
        <v>324</v>
      </c>
      <c r="I1321" t="s">
        <v>243</v>
      </c>
      <c r="J1321" t="s">
        <v>173</v>
      </c>
      <c r="K1321" t="s">
        <v>2714</v>
      </c>
      <c r="L1321" s="84">
        <v>42529</v>
      </c>
      <c r="M1321" t="s">
        <v>381</v>
      </c>
      <c r="N1321" t="s">
        <v>2253</v>
      </c>
      <c r="O1321">
        <v>2</v>
      </c>
      <c r="P1321" t="s">
        <v>2715</v>
      </c>
      <c r="Q1321" t="s">
        <v>2716</v>
      </c>
      <c r="R1321" t="s">
        <v>2717</v>
      </c>
      <c r="S1321" t="s">
        <v>2718</v>
      </c>
      <c r="T1321" t="s">
        <v>33</v>
      </c>
      <c r="U1321" t="s">
        <v>79</v>
      </c>
      <c r="V1321">
        <v>52</v>
      </c>
      <c r="W1321">
        <v>83</v>
      </c>
      <c r="X1321">
        <v>123</v>
      </c>
      <c r="Y1321">
        <v>84</v>
      </c>
      <c r="Z1321">
        <v>196</v>
      </c>
      <c r="AA1321">
        <v>120</v>
      </c>
      <c r="AB1321" t="s">
        <v>1069</v>
      </c>
      <c r="AC1321" t="s">
        <v>256</v>
      </c>
      <c r="AD1321" t="s">
        <v>210</v>
      </c>
      <c r="AE1321" t="s">
        <v>183</v>
      </c>
      <c r="AF1321">
        <v>2</v>
      </c>
    </row>
    <row r="1322" spans="1:32">
      <c r="A1322">
        <v>410</v>
      </c>
      <c r="B1322">
        <v>1145</v>
      </c>
      <c r="C1322" t="s">
        <v>2713</v>
      </c>
      <c r="D1322" t="s">
        <v>1411</v>
      </c>
      <c r="E1322" t="s">
        <v>2165</v>
      </c>
      <c r="F1322" t="s">
        <v>197</v>
      </c>
      <c r="G1322" t="s">
        <v>1478</v>
      </c>
      <c r="H1322" t="s">
        <v>188</v>
      </c>
      <c r="I1322" t="s">
        <v>212</v>
      </c>
      <c r="J1322" t="s">
        <v>201</v>
      </c>
      <c r="K1322" t="s">
        <v>2714</v>
      </c>
      <c r="L1322" s="84">
        <v>42529</v>
      </c>
      <c r="M1322" t="s">
        <v>381</v>
      </c>
      <c r="N1322" t="s">
        <v>2253</v>
      </c>
      <c r="O1322">
        <v>2</v>
      </c>
      <c r="P1322" t="s">
        <v>2715</v>
      </c>
      <c r="Q1322" t="s">
        <v>2716</v>
      </c>
      <c r="R1322" t="s">
        <v>2717</v>
      </c>
      <c r="S1322" t="s">
        <v>2718</v>
      </c>
      <c r="T1322" t="s">
        <v>38</v>
      </c>
      <c r="U1322" t="s">
        <v>79</v>
      </c>
      <c r="V1322">
        <v>52</v>
      </c>
      <c r="W1322">
        <v>83</v>
      </c>
      <c r="X1322">
        <v>123</v>
      </c>
      <c r="Y1322">
        <v>84</v>
      </c>
      <c r="Z1322">
        <v>196</v>
      </c>
      <c r="AA1322">
        <v>120</v>
      </c>
      <c r="AB1322" t="s">
        <v>1069</v>
      </c>
      <c r="AC1322" t="s">
        <v>256</v>
      </c>
      <c r="AD1322" t="s">
        <v>210</v>
      </c>
      <c r="AE1322" t="s">
        <v>183</v>
      </c>
      <c r="AF1322">
        <v>2</v>
      </c>
    </row>
    <row r="1323" spans="1:32">
      <c r="A1323">
        <v>410</v>
      </c>
      <c r="B1323">
        <v>1145</v>
      </c>
      <c r="C1323" t="s">
        <v>2713</v>
      </c>
      <c r="D1323" t="s">
        <v>1411</v>
      </c>
      <c r="E1323" t="s">
        <v>2165</v>
      </c>
      <c r="F1323" t="s">
        <v>193</v>
      </c>
      <c r="G1323" t="s">
        <v>1480</v>
      </c>
      <c r="H1323" t="s">
        <v>192</v>
      </c>
      <c r="I1323" t="s">
        <v>212</v>
      </c>
      <c r="J1323" t="s">
        <v>192</v>
      </c>
      <c r="K1323" t="s">
        <v>2714</v>
      </c>
      <c r="L1323" s="84">
        <v>42529</v>
      </c>
      <c r="M1323" t="s">
        <v>381</v>
      </c>
      <c r="N1323" t="s">
        <v>2253</v>
      </c>
      <c r="O1323">
        <v>2</v>
      </c>
      <c r="P1323" t="s">
        <v>2715</v>
      </c>
      <c r="Q1323" t="s">
        <v>2716</v>
      </c>
      <c r="R1323" t="s">
        <v>2717</v>
      </c>
      <c r="S1323" t="s">
        <v>2718</v>
      </c>
      <c r="T1323" t="s">
        <v>36</v>
      </c>
      <c r="U1323" t="s">
        <v>79</v>
      </c>
      <c r="V1323">
        <v>52</v>
      </c>
      <c r="W1323">
        <v>83</v>
      </c>
      <c r="X1323">
        <v>123</v>
      </c>
      <c r="Y1323">
        <v>84</v>
      </c>
      <c r="Z1323">
        <v>196</v>
      </c>
      <c r="AA1323">
        <v>120</v>
      </c>
      <c r="AB1323" t="s">
        <v>1069</v>
      </c>
      <c r="AC1323" t="s">
        <v>256</v>
      </c>
      <c r="AD1323" t="s">
        <v>210</v>
      </c>
      <c r="AE1323" t="s">
        <v>183</v>
      </c>
      <c r="AF1323">
        <v>2</v>
      </c>
    </row>
    <row r="1324" spans="1:32">
      <c r="A1324">
        <v>410</v>
      </c>
      <c r="B1324">
        <v>1145</v>
      </c>
      <c r="C1324" t="s">
        <v>2713</v>
      </c>
      <c r="D1324" t="s">
        <v>1411</v>
      </c>
      <c r="E1324" t="s">
        <v>2165</v>
      </c>
      <c r="F1324" t="s">
        <v>37</v>
      </c>
      <c r="G1324" t="s">
        <v>1479</v>
      </c>
      <c r="H1324" t="s">
        <v>192</v>
      </c>
      <c r="I1324" t="s">
        <v>212</v>
      </c>
      <c r="J1324" t="s">
        <v>212</v>
      </c>
      <c r="K1324" t="s">
        <v>2714</v>
      </c>
      <c r="L1324" s="84">
        <v>42529</v>
      </c>
      <c r="M1324" t="s">
        <v>381</v>
      </c>
      <c r="N1324" t="s">
        <v>2253</v>
      </c>
      <c r="O1324">
        <v>2</v>
      </c>
      <c r="P1324" t="s">
        <v>2715</v>
      </c>
      <c r="Q1324" t="s">
        <v>2716</v>
      </c>
      <c r="R1324" t="s">
        <v>2717</v>
      </c>
      <c r="S1324" t="s">
        <v>2718</v>
      </c>
      <c r="T1324" t="s">
        <v>37</v>
      </c>
      <c r="U1324" t="s">
        <v>79</v>
      </c>
      <c r="V1324">
        <v>52</v>
      </c>
      <c r="W1324">
        <v>83</v>
      </c>
      <c r="X1324">
        <v>123</v>
      </c>
      <c r="Y1324">
        <v>84</v>
      </c>
      <c r="Z1324">
        <v>196</v>
      </c>
      <c r="AA1324">
        <v>120</v>
      </c>
      <c r="AB1324" t="s">
        <v>1069</v>
      </c>
      <c r="AC1324" t="s">
        <v>256</v>
      </c>
      <c r="AD1324" t="s">
        <v>210</v>
      </c>
      <c r="AE1324" t="s">
        <v>183</v>
      </c>
      <c r="AF1324">
        <v>2</v>
      </c>
    </row>
    <row r="1325" spans="1:32">
      <c r="A1325">
        <v>411</v>
      </c>
      <c r="B1325">
        <v>697</v>
      </c>
      <c r="C1325" t="s">
        <v>1076</v>
      </c>
      <c r="D1325" t="s">
        <v>1411</v>
      </c>
      <c r="E1325" t="s">
        <v>2165</v>
      </c>
      <c r="F1325" t="s">
        <v>37</v>
      </c>
      <c r="G1325" t="s">
        <v>1490</v>
      </c>
      <c r="H1325" t="s">
        <v>192</v>
      </c>
      <c r="I1325" t="s">
        <v>212</v>
      </c>
      <c r="J1325" t="s">
        <v>212</v>
      </c>
      <c r="K1325" t="s">
        <v>1078</v>
      </c>
      <c r="L1325" s="84">
        <v>41259</v>
      </c>
      <c r="M1325" t="s">
        <v>325</v>
      </c>
      <c r="N1325" t="s">
        <v>1079</v>
      </c>
      <c r="O1325">
        <v>3</v>
      </c>
      <c r="P1325" t="s">
        <v>1080</v>
      </c>
      <c r="Q1325" t="s">
        <v>1081</v>
      </c>
      <c r="R1325" t="s">
        <v>1082</v>
      </c>
      <c r="S1325" t="s">
        <v>1083</v>
      </c>
      <c r="T1325" t="s">
        <v>37</v>
      </c>
      <c r="U1325" t="s">
        <v>80</v>
      </c>
      <c r="V1325">
        <v>34</v>
      </c>
      <c r="W1325">
        <v>83</v>
      </c>
      <c r="X1325">
        <v>123</v>
      </c>
      <c r="Y1325">
        <v>58</v>
      </c>
      <c r="Z1325">
        <v>196</v>
      </c>
      <c r="AA1325">
        <v>95</v>
      </c>
      <c r="AB1325" t="s">
        <v>1084</v>
      </c>
      <c r="AC1325" t="s">
        <v>171</v>
      </c>
      <c r="AD1325" t="s">
        <v>210</v>
      </c>
      <c r="AE1325" t="s">
        <v>183</v>
      </c>
      <c r="AF1325">
        <v>4</v>
      </c>
    </row>
    <row r="1326" spans="1:32">
      <c r="A1326">
        <v>411</v>
      </c>
      <c r="B1326">
        <v>697</v>
      </c>
      <c r="C1326" t="s">
        <v>1076</v>
      </c>
      <c r="D1326" t="s">
        <v>1411</v>
      </c>
      <c r="E1326" t="s">
        <v>2165</v>
      </c>
      <c r="F1326" t="s">
        <v>193</v>
      </c>
      <c r="G1326" t="s">
        <v>1489</v>
      </c>
      <c r="H1326" t="s">
        <v>192</v>
      </c>
      <c r="I1326" t="s">
        <v>212</v>
      </c>
      <c r="J1326" t="s">
        <v>192</v>
      </c>
      <c r="K1326" t="s">
        <v>1078</v>
      </c>
      <c r="L1326" s="84">
        <v>41259</v>
      </c>
      <c r="M1326" t="s">
        <v>325</v>
      </c>
      <c r="N1326" t="s">
        <v>1079</v>
      </c>
      <c r="O1326">
        <v>3</v>
      </c>
      <c r="P1326" t="s">
        <v>1080</v>
      </c>
      <c r="Q1326" t="s">
        <v>1081</v>
      </c>
      <c r="R1326" t="s">
        <v>1082</v>
      </c>
      <c r="S1326" t="s">
        <v>1083</v>
      </c>
      <c r="T1326" t="s">
        <v>36</v>
      </c>
      <c r="U1326" t="s">
        <v>80</v>
      </c>
      <c r="V1326">
        <v>34</v>
      </c>
      <c r="W1326">
        <v>83</v>
      </c>
      <c r="X1326">
        <v>123</v>
      </c>
      <c r="Y1326">
        <v>58</v>
      </c>
      <c r="Z1326">
        <v>196</v>
      </c>
      <c r="AA1326">
        <v>95</v>
      </c>
      <c r="AB1326" t="s">
        <v>1084</v>
      </c>
      <c r="AC1326" t="s">
        <v>171</v>
      </c>
      <c r="AD1326" t="s">
        <v>210</v>
      </c>
      <c r="AE1326" t="s">
        <v>183</v>
      </c>
      <c r="AF1326">
        <v>4</v>
      </c>
    </row>
    <row r="1327" spans="1:32">
      <c r="A1327">
        <v>411</v>
      </c>
      <c r="B1327">
        <v>697</v>
      </c>
      <c r="C1327" t="s">
        <v>1076</v>
      </c>
      <c r="D1327" t="s">
        <v>1411</v>
      </c>
      <c r="E1327" t="s">
        <v>2165</v>
      </c>
      <c r="F1327" t="s">
        <v>197</v>
      </c>
      <c r="G1327" t="s">
        <v>1491</v>
      </c>
      <c r="H1327" t="s">
        <v>188</v>
      </c>
      <c r="I1327" t="s">
        <v>212</v>
      </c>
      <c r="J1327" t="s">
        <v>201</v>
      </c>
      <c r="K1327" t="s">
        <v>1078</v>
      </c>
      <c r="L1327" s="84">
        <v>41259</v>
      </c>
      <c r="M1327" t="s">
        <v>325</v>
      </c>
      <c r="N1327" t="s">
        <v>1079</v>
      </c>
      <c r="O1327">
        <v>3</v>
      </c>
      <c r="P1327" t="s">
        <v>1080</v>
      </c>
      <c r="Q1327" t="s">
        <v>1081</v>
      </c>
      <c r="R1327" t="s">
        <v>1082</v>
      </c>
      <c r="S1327" t="s">
        <v>1083</v>
      </c>
      <c r="T1327" t="s">
        <v>38</v>
      </c>
      <c r="U1327" t="s">
        <v>80</v>
      </c>
      <c r="V1327">
        <v>34</v>
      </c>
      <c r="W1327">
        <v>83</v>
      </c>
      <c r="X1327">
        <v>123</v>
      </c>
      <c r="Y1327">
        <v>58</v>
      </c>
      <c r="Z1327">
        <v>196</v>
      </c>
      <c r="AA1327">
        <v>95</v>
      </c>
      <c r="AB1327" t="s">
        <v>1084</v>
      </c>
      <c r="AC1327" t="s">
        <v>171</v>
      </c>
      <c r="AD1327" t="s">
        <v>210</v>
      </c>
      <c r="AE1327" t="s">
        <v>183</v>
      </c>
      <c r="AF1327">
        <v>4</v>
      </c>
    </row>
    <row r="1328" spans="1:32">
      <c r="A1328">
        <v>411</v>
      </c>
      <c r="B1328">
        <v>697</v>
      </c>
      <c r="C1328" t="s">
        <v>1076</v>
      </c>
      <c r="D1328" t="s">
        <v>1411</v>
      </c>
      <c r="E1328" t="s">
        <v>2165</v>
      </c>
      <c r="F1328" t="s">
        <v>5</v>
      </c>
      <c r="G1328" t="s">
        <v>1488</v>
      </c>
      <c r="H1328" t="s">
        <v>187</v>
      </c>
      <c r="I1328" t="s">
        <v>181</v>
      </c>
      <c r="J1328" t="s">
        <v>462</v>
      </c>
      <c r="K1328" t="s">
        <v>1078</v>
      </c>
      <c r="L1328" s="84">
        <v>41259</v>
      </c>
      <c r="M1328" t="s">
        <v>325</v>
      </c>
      <c r="N1328" t="s">
        <v>1079</v>
      </c>
      <c r="O1328">
        <v>3</v>
      </c>
      <c r="P1328" t="s">
        <v>1080</v>
      </c>
      <c r="Q1328" t="s">
        <v>1081</v>
      </c>
      <c r="R1328" t="s">
        <v>1082</v>
      </c>
      <c r="S1328" t="s">
        <v>1083</v>
      </c>
      <c r="T1328" t="s">
        <v>33</v>
      </c>
      <c r="U1328" t="s">
        <v>80</v>
      </c>
      <c r="V1328">
        <v>34</v>
      </c>
      <c r="W1328">
        <v>83</v>
      </c>
      <c r="X1328">
        <v>123</v>
      </c>
      <c r="Y1328">
        <v>58</v>
      </c>
      <c r="Z1328">
        <v>196</v>
      </c>
      <c r="AA1328">
        <v>95</v>
      </c>
      <c r="AB1328" t="s">
        <v>1084</v>
      </c>
      <c r="AC1328" t="s">
        <v>171</v>
      </c>
      <c r="AD1328" t="s">
        <v>210</v>
      </c>
      <c r="AE1328" t="s">
        <v>183</v>
      </c>
      <c r="AF1328">
        <v>4</v>
      </c>
    </row>
    <row r="1329" spans="1:32">
      <c r="A1329">
        <v>411</v>
      </c>
      <c r="B1329">
        <v>697</v>
      </c>
      <c r="C1329" t="s">
        <v>1076</v>
      </c>
      <c r="D1329" t="s">
        <v>1411</v>
      </c>
      <c r="E1329" t="s">
        <v>2165</v>
      </c>
      <c r="F1329" t="s">
        <v>8</v>
      </c>
      <c r="G1329" t="s">
        <v>1486</v>
      </c>
      <c r="H1329" t="s">
        <v>462</v>
      </c>
      <c r="I1329" t="s">
        <v>186</v>
      </c>
      <c r="J1329" t="s">
        <v>417</v>
      </c>
      <c r="K1329" t="s">
        <v>1078</v>
      </c>
      <c r="L1329" s="84">
        <v>41259</v>
      </c>
      <c r="M1329" t="s">
        <v>325</v>
      </c>
      <c r="N1329" t="s">
        <v>1079</v>
      </c>
      <c r="O1329">
        <v>3</v>
      </c>
      <c r="P1329" t="s">
        <v>1080</v>
      </c>
      <c r="Q1329" t="s">
        <v>1081</v>
      </c>
      <c r="R1329" t="s">
        <v>1082</v>
      </c>
      <c r="S1329" t="s">
        <v>1083</v>
      </c>
      <c r="T1329" t="s">
        <v>31</v>
      </c>
      <c r="U1329" t="s">
        <v>80</v>
      </c>
      <c r="V1329">
        <v>34</v>
      </c>
      <c r="W1329">
        <v>83</v>
      </c>
      <c r="X1329">
        <v>123</v>
      </c>
      <c r="Y1329">
        <v>58</v>
      </c>
      <c r="Z1329">
        <v>196</v>
      </c>
      <c r="AA1329">
        <v>95</v>
      </c>
      <c r="AB1329" t="s">
        <v>1084</v>
      </c>
      <c r="AC1329" t="s">
        <v>171</v>
      </c>
      <c r="AD1329" t="s">
        <v>210</v>
      </c>
      <c r="AE1329" t="s">
        <v>183</v>
      </c>
      <c r="AF1329">
        <v>4</v>
      </c>
    </row>
    <row r="1330" spans="1:32">
      <c r="A1330">
        <v>411</v>
      </c>
      <c r="B1330">
        <v>697</v>
      </c>
      <c r="C1330" t="s">
        <v>1076</v>
      </c>
      <c r="D1330" t="s">
        <v>1411</v>
      </c>
      <c r="E1330" t="s">
        <v>2165</v>
      </c>
      <c r="F1330" t="s">
        <v>7</v>
      </c>
      <c r="G1330" t="s">
        <v>1485</v>
      </c>
      <c r="H1330" t="s">
        <v>172</v>
      </c>
      <c r="I1330" t="s">
        <v>192</v>
      </c>
      <c r="J1330" t="s">
        <v>914</v>
      </c>
      <c r="K1330" t="s">
        <v>1078</v>
      </c>
      <c r="L1330" s="84">
        <v>41259</v>
      </c>
      <c r="M1330" t="s">
        <v>325</v>
      </c>
      <c r="N1330" t="s">
        <v>1079</v>
      </c>
      <c r="O1330">
        <v>3</v>
      </c>
      <c r="P1330" t="s">
        <v>1080</v>
      </c>
      <c r="Q1330" t="s">
        <v>1081</v>
      </c>
      <c r="R1330" t="s">
        <v>1082</v>
      </c>
      <c r="S1330" t="s">
        <v>1083</v>
      </c>
      <c r="T1330" t="s">
        <v>32</v>
      </c>
      <c r="U1330" t="s">
        <v>80</v>
      </c>
      <c r="V1330">
        <v>34</v>
      </c>
      <c r="W1330">
        <v>83</v>
      </c>
      <c r="X1330">
        <v>123</v>
      </c>
      <c r="Y1330">
        <v>58</v>
      </c>
      <c r="Z1330">
        <v>196</v>
      </c>
      <c r="AA1330">
        <v>95</v>
      </c>
      <c r="AB1330" t="s">
        <v>1084</v>
      </c>
      <c r="AC1330" t="s">
        <v>171</v>
      </c>
      <c r="AD1330" t="s">
        <v>210</v>
      </c>
      <c r="AE1330" t="s">
        <v>183</v>
      </c>
      <c r="AF1330">
        <v>4</v>
      </c>
    </row>
    <row r="1331" spans="1:32">
      <c r="A1331">
        <v>411</v>
      </c>
      <c r="B1331">
        <v>697</v>
      </c>
      <c r="C1331" t="s">
        <v>1076</v>
      </c>
      <c r="D1331" t="s">
        <v>1411</v>
      </c>
      <c r="E1331" t="s">
        <v>2165</v>
      </c>
      <c r="F1331" t="s">
        <v>6</v>
      </c>
      <c r="G1331" t="s">
        <v>1487</v>
      </c>
      <c r="H1331" t="s">
        <v>462</v>
      </c>
      <c r="I1331" t="s">
        <v>403</v>
      </c>
      <c r="J1331" t="s">
        <v>417</v>
      </c>
      <c r="K1331" t="s">
        <v>1078</v>
      </c>
      <c r="L1331" s="84">
        <v>41259</v>
      </c>
      <c r="M1331" t="s">
        <v>325</v>
      </c>
      <c r="N1331" t="s">
        <v>1079</v>
      </c>
      <c r="O1331">
        <v>3</v>
      </c>
      <c r="P1331" t="s">
        <v>1080</v>
      </c>
      <c r="Q1331" t="s">
        <v>1081</v>
      </c>
      <c r="R1331" t="s">
        <v>1082</v>
      </c>
      <c r="S1331" t="s">
        <v>1083</v>
      </c>
      <c r="T1331" t="s">
        <v>34</v>
      </c>
      <c r="U1331" t="s">
        <v>80</v>
      </c>
      <c r="V1331">
        <v>34</v>
      </c>
      <c r="W1331">
        <v>83</v>
      </c>
      <c r="X1331">
        <v>123</v>
      </c>
      <c r="Y1331">
        <v>58</v>
      </c>
      <c r="Z1331">
        <v>196</v>
      </c>
      <c r="AA1331">
        <v>95</v>
      </c>
      <c r="AB1331" t="s">
        <v>1084</v>
      </c>
      <c r="AC1331" t="s">
        <v>171</v>
      </c>
      <c r="AD1331" t="s">
        <v>210</v>
      </c>
      <c r="AE1331" t="s">
        <v>183</v>
      </c>
      <c r="AF1331">
        <v>4</v>
      </c>
    </row>
    <row r="1332" spans="1:32">
      <c r="A1332">
        <v>412</v>
      </c>
      <c r="B1332">
        <v>698</v>
      </c>
      <c r="C1332" t="s">
        <v>1091</v>
      </c>
      <c r="D1332" t="s">
        <v>1411</v>
      </c>
      <c r="E1332" t="s">
        <v>2165</v>
      </c>
      <c r="F1332" t="s">
        <v>6</v>
      </c>
      <c r="G1332" t="s">
        <v>1497</v>
      </c>
      <c r="H1332" t="s">
        <v>330</v>
      </c>
      <c r="I1332" t="s">
        <v>330</v>
      </c>
      <c r="J1332" t="s">
        <v>330</v>
      </c>
      <c r="K1332" t="s">
        <v>1093</v>
      </c>
      <c r="L1332" s="84">
        <v>41214</v>
      </c>
      <c r="M1332" t="s">
        <v>175</v>
      </c>
      <c r="N1332" t="s">
        <v>503</v>
      </c>
      <c r="O1332">
        <v>3</v>
      </c>
      <c r="P1332" t="s">
        <v>1094</v>
      </c>
      <c r="Q1332" t="s">
        <v>1095</v>
      </c>
      <c r="R1332" t="s">
        <v>1096</v>
      </c>
      <c r="S1332" t="s">
        <v>1097</v>
      </c>
      <c r="T1332" t="s">
        <v>34</v>
      </c>
      <c r="U1332" t="s">
        <v>80</v>
      </c>
      <c r="V1332">
        <v>1</v>
      </c>
      <c r="W1332">
        <v>83</v>
      </c>
      <c r="X1332">
        <v>123</v>
      </c>
      <c r="Y1332">
        <v>1</v>
      </c>
      <c r="Z1332">
        <v>196</v>
      </c>
      <c r="AA1332">
        <v>14</v>
      </c>
      <c r="AB1332" t="s">
        <v>1098</v>
      </c>
      <c r="AC1332" t="s">
        <v>185</v>
      </c>
      <c r="AD1332" t="s">
        <v>609</v>
      </c>
      <c r="AE1332" t="s">
        <v>183</v>
      </c>
      <c r="AF1332">
        <v>4</v>
      </c>
    </row>
    <row r="1333" spans="1:32">
      <c r="A1333">
        <v>412</v>
      </c>
      <c r="B1333">
        <v>698</v>
      </c>
      <c r="C1333" t="s">
        <v>1091</v>
      </c>
      <c r="D1333" t="s">
        <v>1411</v>
      </c>
      <c r="E1333" t="s">
        <v>2165</v>
      </c>
      <c r="F1333" t="s">
        <v>7</v>
      </c>
      <c r="G1333" t="s">
        <v>1499</v>
      </c>
      <c r="H1333" t="s">
        <v>330</v>
      </c>
      <c r="I1333" t="s">
        <v>330</v>
      </c>
      <c r="J1333" t="s">
        <v>417</v>
      </c>
      <c r="K1333" t="s">
        <v>1093</v>
      </c>
      <c r="L1333" s="84">
        <v>41214</v>
      </c>
      <c r="M1333" t="s">
        <v>175</v>
      </c>
      <c r="N1333" t="s">
        <v>503</v>
      </c>
      <c r="O1333">
        <v>3</v>
      </c>
      <c r="P1333" t="s">
        <v>1094</v>
      </c>
      <c r="Q1333" t="s">
        <v>1095</v>
      </c>
      <c r="R1333" t="s">
        <v>1096</v>
      </c>
      <c r="S1333" t="s">
        <v>1097</v>
      </c>
      <c r="T1333" t="s">
        <v>32</v>
      </c>
      <c r="U1333" t="s">
        <v>80</v>
      </c>
      <c r="V1333">
        <v>1</v>
      </c>
      <c r="W1333">
        <v>83</v>
      </c>
      <c r="X1333">
        <v>123</v>
      </c>
      <c r="Y1333">
        <v>1</v>
      </c>
      <c r="Z1333">
        <v>196</v>
      </c>
      <c r="AA1333">
        <v>14</v>
      </c>
      <c r="AB1333" t="s">
        <v>1098</v>
      </c>
      <c r="AC1333" t="s">
        <v>185</v>
      </c>
      <c r="AD1333" t="s">
        <v>609</v>
      </c>
      <c r="AE1333" t="s">
        <v>183</v>
      </c>
      <c r="AF1333">
        <v>4</v>
      </c>
    </row>
    <row r="1334" spans="1:32">
      <c r="A1334">
        <v>412</v>
      </c>
      <c r="B1334">
        <v>698</v>
      </c>
      <c r="C1334" t="s">
        <v>1091</v>
      </c>
      <c r="D1334" t="s">
        <v>1411</v>
      </c>
      <c r="E1334" t="s">
        <v>2165</v>
      </c>
      <c r="F1334" t="s">
        <v>8</v>
      </c>
      <c r="G1334" t="s">
        <v>1498</v>
      </c>
      <c r="H1334" t="s">
        <v>330</v>
      </c>
      <c r="I1334" t="s">
        <v>330</v>
      </c>
      <c r="J1334" t="s">
        <v>417</v>
      </c>
      <c r="K1334" t="s">
        <v>1093</v>
      </c>
      <c r="L1334" s="84">
        <v>41214</v>
      </c>
      <c r="M1334" t="s">
        <v>175</v>
      </c>
      <c r="N1334" t="s">
        <v>503</v>
      </c>
      <c r="O1334">
        <v>3</v>
      </c>
      <c r="P1334" t="s">
        <v>1094</v>
      </c>
      <c r="Q1334" t="s">
        <v>1095</v>
      </c>
      <c r="R1334" t="s">
        <v>1096</v>
      </c>
      <c r="S1334" t="s">
        <v>1097</v>
      </c>
      <c r="T1334" t="s">
        <v>31</v>
      </c>
      <c r="U1334" t="s">
        <v>80</v>
      </c>
      <c r="V1334">
        <v>1</v>
      </c>
      <c r="W1334">
        <v>83</v>
      </c>
      <c r="X1334">
        <v>123</v>
      </c>
      <c r="Y1334">
        <v>1</v>
      </c>
      <c r="Z1334">
        <v>196</v>
      </c>
      <c r="AA1334">
        <v>14</v>
      </c>
      <c r="AB1334" t="s">
        <v>1098</v>
      </c>
      <c r="AC1334" t="s">
        <v>185</v>
      </c>
      <c r="AD1334" t="s">
        <v>609</v>
      </c>
      <c r="AE1334" t="s">
        <v>183</v>
      </c>
      <c r="AF1334">
        <v>4</v>
      </c>
    </row>
    <row r="1335" spans="1:32">
      <c r="A1335">
        <v>412</v>
      </c>
      <c r="B1335">
        <v>698</v>
      </c>
      <c r="C1335" t="s">
        <v>1091</v>
      </c>
      <c r="D1335" t="s">
        <v>1411</v>
      </c>
      <c r="E1335" t="s">
        <v>2165</v>
      </c>
      <c r="F1335" t="s">
        <v>5</v>
      </c>
      <c r="G1335" t="s">
        <v>1496</v>
      </c>
      <c r="H1335" t="s">
        <v>330</v>
      </c>
      <c r="I1335" t="s">
        <v>330</v>
      </c>
      <c r="J1335" t="s">
        <v>417</v>
      </c>
      <c r="K1335" t="s">
        <v>1093</v>
      </c>
      <c r="L1335" s="84">
        <v>41214</v>
      </c>
      <c r="M1335" t="s">
        <v>175</v>
      </c>
      <c r="N1335" t="s">
        <v>503</v>
      </c>
      <c r="O1335">
        <v>3</v>
      </c>
      <c r="P1335" t="s">
        <v>1094</v>
      </c>
      <c r="Q1335" t="s">
        <v>1095</v>
      </c>
      <c r="R1335" t="s">
        <v>1096</v>
      </c>
      <c r="S1335" t="s">
        <v>1097</v>
      </c>
      <c r="T1335" t="s">
        <v>33</v>
      </c>
      <c r="U1335" t="s">
        <v>80</v>
      </c>
      <c r="V1335">
        <v>1</v>
      </c>
      <c r="W1335">
        <v>83</v>
      </c>
      <c r="X1335">
        <v>123</v>
      </c>
      <c r="Y1335">
        <v>1</v>
      </c>
      <c r="Z1335">
        <v>196</v>
      </c>
      <c r="AA1335">
        <v>14</v>
      </c>
      <c r="AB1335" t="s">
        <v>1098</v>
      </c>
      <c r="AC1335" t="s">
        <v>185</v>
      </c>
      <c r="AD1335" t="s">
        <v>609</v>
      </c>
      <c r="AE1335" t="s">
        <v>183</v>
      </c>
      <c r="AF1335">
        <v>4</v>
      </c>
    </row>
    <row r="1336" spans="1:32">
      <c r="A1336">
        <v>412</v>
      </c>
      <c r="B1336">
        <v>698</v>
      </c>
      <c r="C1336" t="s">
        <v>1091</v>
      </c>
      <c r="D1336" t="s">
        <v>1411</v>
      </c>
      <c r="E1336" t="s">
        <v>2165</v>
      </c>
      <c r="F1336" t="s">
        <v>197</v>
      </c>
      <c r="G1336" t="s">
        <v>1492</v>
      </c>
      <c r="H1336" t="s">
        <v>188</v>
      </c>
      <c r="I1336" t="s">
        <v>212</v>
      </c>
      <c r="J1336" t="s">
        <v>173</v>
      </c>
      <c r="K1336" t="s">
        <v>1093</v>
      </c>
      <c r="L1336" s="84">
        <v>41214</v>
      </c>
      <c r="M1336" t="s">
        <v>175</v>
      </c>
      <c r="N1336" t="s">
        <v>503</v>
      </c>
      <c r="O1336">
        <v>3</v>
      </c>
      <c r="P1336" t="s">
        <v>1094</v>
      </c>
      <c r="Q1336" t="s">
        <v>1095</v>
      </c>
      <c r="R1336" t="s">
        <v>1096</v>
      </c>
      <c r="S1336" t="s">
        <v>1097</v>
      </c>
      <c r="T1336" t="s">
        <v>38</v>
      </c>
      <c r="U1336" t="s">
        <v>80</v>
      </c>
      <c r="V1336">
        <v>1</v>
      </c>
      <c r="W1336">
        <v>83</v>
      </c>
      <c r="X1336">
        <v>123</v>
      </c>
      <c r="Y1336">
        <v>1</v>
      </c>
      <c r="Z1336">
        <v>196</v>
      </c>
      <c r="AA1336">
        <v>14</v>
      </c>
      <c r="AB1336" t="s">
        <v>1098</v>
      </c>
      <c r="AC1336" t="s">
        <v>185</v>
      </c>
      <c r="AD1336" t="s">
        <v>609</v>
      </c>
      <c r="AE1336" t="s">
        <v>183</v>
      </c>
      <c r="AF1336">
        <v>4</v>
      </c>
    </row>
    <row r="1337" spans="1:32">
      <c r="A1337">
        <v>412</v>
      </c>
      <c r="B1337">
        <v>698</v>
      </c>
      <c r="C1337" t="s">
        <v>1091</v>
      </c>
      <c r="D1337" t="s">
        <v>1411</v>
      </c>
      <c r="E1337" t="s">
        <v>2165</v>
      </c>
      <c r="F1337" t="s">
        <v>193</v>
      </c>
      <c r="G1337" t="s">
        <v>1495</v>
      </c>
      <c r="H1337" t="s">
        <v>192</v>
      </c>
      <c r="I1337" t="s">
        <v>212</v>
      </c>
      <c r="J1337" t="s">
        <v>192</v>
      </c>
      <c r="K1337" t="s">
        <v>1093</v>
      </c>
      <c r="L1337" s="84">
        <v>41214</v>
      </c>
      <c r="M1337" t="s">
        <v>175</v>
      </c>
      <c r="N1337" t="s">
        <v>503</v>
      </c>
      <c r="O1337">
        <v>3</v>
      </c>
      <c r="P1337" t="s">
        <v>1094</v>
      </c>
      <c r="Q1337" t="s">
        <v>1095</v>
      </c>
      <c r="R1337" t="s">
        <v>1096</v>
      </c>
      <c r="S1337" t="s">
        <v>1097</v>
      </c>
      <c r="T1337" t="s">
        <v>36</v>
      </c>
      <c r="U1337" t="s">
        <v>80</v>
      </c>
      <c r="V1337">
        <v>1</v>
      </c>
      <c r="W1337">
        <v>83</v>
      </c>
      <c r="X1337">
        <v>123</v>
      </c>
      <c r="Y1337">
        <v>1</v>
      </c>
      <c r="Z1337">
        <v>196</v>
      </c>
      <c r="AA1337">
        <v>14</v>
      </c>
      <c r="AB1337" t="s">
        <v>1098</v>
      </c>
      <c r="AC1337" t="s">
        <v>185</v>
      </c>
      <c r="AD1337" t="s">
        <v>609</v>
      </c>
      <c r="AE1337" t="s">
        <v>183</v>
      </c>
      <c r="AF1337">
        <v>4</v>
      </c>
    </row>
    <row r="1338" spans="1:32">
      <c r="A1338">
        <v>412</v>
      </c>
      <c r="B1338">
        <v>698</v>
      </c>
      <c r="C1338" t="s">
        <v>1091</v>
      </c>
      <c r="D1338" t="s">
        <v>1411</v>
      </c>
      <c r="E1338" t="s">
        <v>2165</v>
      </c>
      <c r="F1338" t="s">
        <v>37</v>
      </c>
      <c r="G1338" t="s">
        <v>1494</v>
      </c>
      <c r="H1338" t="s">
        <v>192</v>
      </c>
      <c r="I1338" t="s">
        <v>212</v>
      </c>
      <c r="J1338" t="s">
        <v>192</v>
      </c>
      <c r="K1338" t="s">
        <v>1093</v>
      </c>
      <c r="L1338" s="84">
        <v>41214</v>
      </c>
      <c r="M1338" t="s">
        <v>175</v>
      </c>
      <c r="N1338" t="s">
        <v>503</v>
      </c>
      <c r="O1338">
        <v>3</v>
      </c>
      <c r="P1338" t="s">
        <v>1094</v>
      </c>
      <c r="Q1338" t="s">
        <v>1095</v>
      </c>
      <c r="R1338" t="s">
        <v>1096</v>
      </c>
      <c r="S1338" t="s">
        <v>1097</v>
      </c>
      <c r="T1338" t="s">
        <v>37</v>
      </c>
      <c r="U1338" t="s">
        <v>80</v>
      </c>
      <c r="V1338">
        <v>1</v>
      </c>
      <c r="W1338">
        <v>83</v>
      </c>
      <c r="X1338">
        <v>123</v>
      </c>
      <c r="Y1338">
        <v>1</v>
      </c>
      <c r="Z1338">
        <v>196</v>
      </c>
      <c r="AA1338">
        <v>14</v>
      </c>
      <c r="AB1338" t="s">
        <v>1098</v>
      </c>
      <c r="AC1338" t="s">
        <v>185</v>
      </c>
      <c r="AD1338" t="s">
        <v>609</v>
      </c>
      <c r="AE1338" t="s">
        <v>183</v>
      </c>
      <c r="AF1338">
        <v>4</v>
      </c>
    </row>
    <row r="1339" spans="1:32">
      <c r="A1339">
        <v>413</v>
      </c>
      <c r="B1339">
        <v>1016</v>
      </c>
      <c r="C1339" t="s">
        <v>2013</v>
      </c>
      <c r="D1339" t="s">
        <v>1411</v>
      </c>
      <c r="E1339" t="s">
        <v>2165</v>
      </c>
      <c r="F1339" t="s">
        <v>37</v>
      </c>
      <c r="G1339" t="s">
        <v>1506</v>
      </c>
      <c r="H1339" t="s">
        <v>192</v>
      </c>
      <c r="I1339" t="s">
        <v>212</v>
      </c>
      <c r="J1339" t="s">
        <v>212</v>
      </c>
      <c r="K1339" t="s">
        <v>2014</v>
      </c>
      <c r="L1339" s="84">
        <v>42171</v>
      </c>
      <c r="M1339" t="s">
        <v>381</v>
      </c>
      <c r="N1339" t="s">
        <v>1493</v>
      </c>
      <c r="O1339">
        <v>2</v>
      </c>
      <c r="P1339" t="s">
        <v>2015</v>
      </c>
      <c r="Q1339" t="s">
        <v>2016</v>
      </c>
      <c r="R1339" t="s">
        <v>2070</v>
      </c>
      <c r="S1339" t="s">
        <v>2071</v>
      </c>
      <c r="T1339" t="s">
        <v>37</v>
      </c>
      <c r="U1339" t="s">
        <v>79</v>
      </c>
      <c r="V1339">
        <v>56</v>
      </c>
      <c r="W1339">
        <v>83</v>
      </c>
      <c r="X1339">
        <v>123</v>
      </c>
      <c r="Y1339">
        <v>85</v>
      </c>
      <c r="Z1339">
        <v>196</v>
      </c>
      <c r="AA1339">
        <v>140</v>
      </c>
      <c r="AB1339" t="s">
        <v>993</v>
      </c>
      <c r="AC1339" t="s">
        <v>191</v>
      </c>
      <c r="AD1339" t="s">
        <v>210</v>
      </c>
      <c r="AE1339" t="s">
        <v>183</v>
      </c>
      <c r="AF1339">
        <v>1</v>
      </c>
    </row>
    <row r="1340" spans="1:32">
      <c r="A1340">
        <v>413</v>
      </c>
      <c r="B1340">
        <v>1016</v>
      </c>
      <c r="C1340" t="s">
        <v>2013</v>
      </c>
      <c r="D1340" t="s">
        <v>1411</v>
      </c>
      <c r="E1340" t="s">
        <v>2165</v>
      </c>
      <c r="F1340" t="s">
        <v>193</v>
      </c>
      <c r="G1340" t="s">
        <v>1505</v>
      </c>
      <c r="H1340" t="s">
        <v>192</v>
      </c>
      <c r="I1340" t="s">
        <v>212</v>
      </c>
      <c r="J1340" t="s">
        <v>192</v>
      </c>
      <c r="K1340" t="s">
        <v>2014</v>
      </c>
      <c r="L1340" s="84">
        <v>42171</v>
      </c>
      <c r="M1340" t="s">
        <v>381</v>
      </c>
      <c r="N1340" t="s">
        <v>1493</v>
      </c>
      <c r="O1340">
        <v>2</v>
      </c>
      <c r="P1340" t="s">
        <v>2015</v>
      </c>
      <c r="Q1340" t="s">
        <v>2016</v>
      </c>
      <c r="R1340" t="s">
        <v>2070</v>
      </c>
      <c r="S1340" t="s">
        <v>2071</v>
      </c>
      <c r="T1340" t="s">
        <v>36</v>
      </c>
      <c r="U1340" t="s">
        <v>79</v>
      </c>
      <c r="V1340">
        <v>56</v>
      </c>
      <c r="W1340">
        <v>83</v>
      </c>
      <c r="X1340">
        <v>123</v>
      </c>
      <c r="Y1340">
        <v>85</v>
      </c>
      <c r="Z1340">
        <v>196</v>
      </c>
      <c r="AA1340">
        <v>140</v>
      </c>
      <c r="AB1340" t="s">
        <v>993</v>
      </c>
      <c r="AC1340" t="s">
        <v>191</v>
      </c>
      <c r="AD1340" t="s">
        <v>210</v>
      </c>
      <c r="AE1340" t="s">
        <v>183</v>
      </c>
      <c r="AF1340">
        <v>1</v>
      </c>
    </row>
    <row r="1341" spans="1:32">
      <c r="A1341">
        <v>413</v>
      </c>
      <c r="B1341">
        <v>1016</v>
      </c>
      <c r="C1341" t="s">
        <v>2013</v>
      </c>
      <c r="D1341" t="s">
        <v>1411</v>
      </c>
      <c r="E1341" t="s">
        <v>2165</v>
      </c>
      <c r="F1341" t="s">
        <v>197</v>
      </c>
      <c r="G1341" t="s">
        <v>1507</v>
      </c>
      <c r="H1341" t="s">
        <v>188</v>
      </c>
      <c r="I1341" t="s">
        <v>212</v>
      </c>
      <c r="J1341" t="s">
        <v>201</v>
      </c>
      <c r="K1341" t="s">
        <v>2014</v>
      </c>
      <c r="L1341" s="84">
        <v>42171</v>
      </c>
      <c r="M1341" t="s">
        <v>381</v>
      </c>
      <c r="N1341" t="s">
        <v>1493</v>
      </c>
      <c r="O1341">
        <v>2</v>
      </c>
      <c r="P1341" t="s">
        <v>2015</v>
      </c>
      <c r="Q1341" t="s">
        <v>2016</v>
      </c>
      <c r="R1341" t="s">
        <v>2070</v>
      </c>
      <c r="S1341" t="s">
        <v>2071</v>
      </c>
      <c r="T1341" t="s">
        <v>38</v>
      </c>
      <c r="U1341" t="s">
        <v>79</v>
      </c>
      <c r="V1341">
        <v>56</v>
      </c>
      <c r="W1341">
        <v>83</v>
      </c>
      <c r="X1341">
        <v>123</v>
      </c>
      <c r="Y1341">
        <v>85</v>
      </c>
      <c r="Z1341">
        <v>196</v>
      </c>
      <c r="AA1341">
        <v>140</v>
      </c>
      <c r="AB1341" t="s">
        <v>993</v>
      </c>
      <c r="AC1341" t="s">
        <v>191</v>
      </c>
      <c r="AD1341" t="s">
        <v>210</v>
      </c>
      <c r="AE1341" t="s">
        <v>183</v>
      </c>
      <c r="AF1341">
        <v>1</v>
      </c>
    </row>
    <row r="1342" spans="1:32">
      <c r="A1342">
        <v>413</v>
      </c>
      <c r="B1342">
        <v>1016</v>
      </c>
      <c r="C1342" t="s">
        <v>2013</v>
      </c>
      <c r="D1342" t="s">
        <v>1411</v>
      </c>
      <c r="E1342" t="s">
        <v>2165</v>
      </c>
      <c r="F1342" t="s">
        <v>5</v>
      </c>
      <c r="G1342" t="s">
        <v>1504</v>
      </c>
      <c r="H1342" t="s">
        <v>223</v>
      </c>
      <c r="I1342" t="s">
        <v>226</v>
      </c>
      <c r="J1342" t="s">
        <v>212</v>
      </c>
      <c r="K1342" t="s">
        <v>2014</v>
      </c>
      <c r="L1342" s="84">
        <v>42171</v>
      </c>
      <c r="M1342" t="s">
        <v>381</v>
      </c>
      <c r="N1342" t="s">
        <v>1493</v>
      </c>
      <c r="O1342">
        <v>2</v>
      </c>
      <c r="P1342" t="s">
        <v>2015</v>
      </c>
      <c r="Q1342" t="s">
        <v>2016</v>
      </c>
      <c r="R1342" t="s">
        <v>2070</v>
      </c>
      <c r="S1342" t="s">
        <v>2071</v>
      </c>
      <c r="T1342" t="s">
        <v>33</v>
      </c>
      <c r="U1342" t="s">
        <v>79</v>
      </c>
      <c r="V1342">
        <v>56</v>
      </c>
      <c r="W1342">
        <v>83</v>
      </c>
      <c r="X1342">
        <v>123</v>
      </c>
      <c r="Y1342">
        <v>85</v>
      </c>
      <c r="Z1342">
        <v>196</v>
      </c>
      <c r="AA1342">
        <v>140</v>
      </c>
      <c r="AB1342" t="s">
        <v>993</v>
      </c>
      <c r="AC1342" t="s">
        <v>191</v>
      </c>
      <c r="AD1342" t="s">
        <v>210</v>
      </c>
      <c r="AE1342" t="s">
        <v>183</v>
      </c>
      <c r="AF1342">
        <v>1</v>
      </c>
    </row>
    <row r="1343" spans="1:32">
      <c r="A1343">
        <v>413</v>
      </c>
      <c r="B1343">
        <v>1016</v>
      </c>
      <c r="C1343" t="s">
        <v>2013</v>
      </c>
      <c r="D1343" t="s">
        <v>1411</v>
      </c>
      <c r="E1343" t="s">
        <v>2165</v>
      </c>
      <c r="F1343" t="s">
        <v>8</v>
      </c>
      <c r="G1343" t="s">
        <v>1502</v>
      </c>
      <c r="H1343" t="s">
        <v>172</v>
      </c>
      <c r="I1343" t="s">
        <v>376</v>
      </c>
      <c r="J1343" t="s">
        <v>376</v>
      </c>
      <c r="K1343" t="s">
        <v>2014</v>
      </c>
      <c r="L1343" s="84">
        <v>42171</v>
      </c>
      <c r="M1343" t="s">
        <v>381</v>
      </c>
      <c r="N1343" t="s">
        <v>1493</v>
      </c>
      <c r="O1343">
        <v>2</v>
      </c>
      <c r="P1343" t="s">
        <v>2015</v>
      </c>
      <c r="Q1343" t="s">
        <v>2016</v>
      </c>
      <c r="R1343" t="s">
        <v>2070</v>
      </c>
      <c r="S1343" t="s">
        <v>2071</v>
      </c>
      <c r="T1343" t="s">
        <v>31</v>
      </c>
      <c r="U1343" t="s">
        <v>79</v>
      </c>
      <c r="V1343">
        <v>56</v>
      </c>
      <c r="W1343">
        <v>83</v>
      </c>
      <c r="X1343">
        <v>123</v>
      </c>
      <c r="Y1343">
        <v>85</v>
      </c>
      <c r="Z1343">
        <v>196</v>
      </c>
      <c r="AA1343">
        <v>140</v>
      </c>
      <c r="AB1343" t="s">
        <v>993</v>
      </c>
      <c r="AC1343" t="s">
        <v>191</v>
      </c>
      <c r="AD1343" t="s">
        <v>210</v>
      </c>
      <c r="AE1343" t="s">
        <v>183</v>
      </c>
      <c r="AF1343">
        <v>1</v>
      </c>
    </row>
    <row r="1344" spans="1:32">
      <c r="A1344">
        <v>413</v>
      </c>
      <c r="B1344">
        <v>1016</v>
      </c>
      <c r="C1344" t="s">
        <v>2013</v>
      </c>
      <c r="D1344" t="s">
        <v>1411</v>
      </c>
      <c r="E1344" t="s">
        <v>2165</v>
      </c>
      <c r="F1344" t="s">
        <v>7</v>
      </c>
      <c r="G1344" t="s">
        <v>1500</v>
      </c>
      <c r="H1344" t="s">
        <v>243</v>
      </c>
      <c r="I1344" t="s">
        <v>188</v>
      </c>
      <c r="J1344" t="s">
        <v>376</v>
      </c>
      <c r="K1344" t="s">
        <v>2014</v>
      </c>
      <c r="L1344" s="84">
        <v>42171</v>
      </c>
      <c r="M1344" t="s">
        <v>381</v>
      </c>
      <c r="N1344" t="s">
        <v>1493</v>
      </c>
      <c r="O1344">
        <v>2</v>
      </c>
      <c r="P1344" t="s">
        <v>2015</v>
      </c>
      <c r="Q1344" t="s">
        <v>2016</v>
      </c>
      <c r="R1344" t="s">
        <v>2070</v>
      </c>
      <c r="S1344" t="s">
        <v>2071</v>
      </c>
      <c r="T1344" t="s">
        <v>32</v>
      </c>
      <c r="U1344" t="s">
        <v>79</v>
      </c>
      <c r="V1344">
        <v>56</v>
      </c>
      <c r="W1344">
        <v>83</v>
      </c>
      <c r="X1344">
        <v>123</v>
      </c>
      <c r="Y1344">
        <v>85</v>
      </c>
      <c r="Z1344">
        <v>196</v>
      </c>
      <c r="AA1344">
        <v>140</v>
      </c>
      <c r="AB1344" t="s">
        <v>993</v>
      </c>
      <c r="AC1344" t="s">
        <v>191</v>
      </c>
      <c r="AD1344" t="s">
        <v>210</v>
      </c>
      <c r="AE1344" t="s">
        <v>183</v>
      </c>
      <c r="AF1344">
        <v>1</v>
      </c>
    </row>
    <row r="1345" spans="1:32">
      <c r="A1345">
        <v>413</v>
      </c>
      <c r="B1345">
        <v>1016</v>
      </c>
      <c r="C1345" t="s">
        <v>2013</v>
      </c>
      <c r="D1345" t="s">
        <v>1411</v>
      </c>
      <c r="E1345" t="s">
        <v>2165</v>
      </c>
      <c r="F1345" t="s">
        <v>6</v>
      </c>
      <c r="G1345" t="s">
        <v>1503</v>
      </c>
      <c r="H1345" t="s">
        <v>223</v>
      </c>
      <c r="I1345" t="s">
        <v>228</v>
      </c>
      <c r="J1345" t="s">
        <v>324</v>
      </c>
      <c r="K1345" t="s">
        <v>2014</v>
      </c>
      <c r="L1345" s="84">
        <v>42171</v>
      </c>
      <c r="M1345" t="s">
        <v>381</v>
      </c>
      <c r="N1345" t="s">
        <v>1493</v>
      </c>
      <c r="O1345">
        <v>2</v>
      </c>
      <c r="P1345" t="s">
        <v>2015</v>
      </c>
      <c r="Q1345" t="s">
        <v>2016</v>
      </c>
      <c r="R1345" t="s">
        <v>2070</v>
      </c>
      <c r="S1345" t="s">
        <v>2071</v>
      </c>
      <c r="T1345" t="s">
        <v>34</v>
      </c>
      <c r="U1345" t="s">
        <v>79</v>
      </c>
      <c r="V1345">
        <v>56</v>
      </c>
      <c r="W1345">
        <v>83</v>
      </c>
      <c r="X1345">
        <v>123</v>
      </c>
      <c r="Y1345">
        <v>85</v>
      </c>
      <c r="Z1345">
        <v>196</v>
      </c>
      <c r="AA1345">
        <v>140</v>
      </c>
      <c r="AB1345" t="s">
        <v>993</v>
      </c>
      <c r="AC1345" t="s">
        <v>191</v>
      </c>
      <c r="AD1345" t="s">
        <v>210</v>
      </c>
      <c r="AE1345" t="s">
        <v>183</v>
      </c>
      <c r="AF1345">
        <v>1</v>
      </c>
    </row>
    <row r="1346" spans="1:32">
      <c r="A1346">
        <v>414</v>
      </c>
      <c r="B1346">
        <v>815</v>
      </c>
      <c r="C1346" t="s">
        <v>831</v>
      </c>
      <c r="D1346" t="s">
        <v>1411</v>
      </c>
      <c r="E1346" t="s">
        <v>2165</v>
      </c>
      <c r="F1346" t="s">
        <v>6</v>
      </c>
      <c r="G1346" t="s">
        <v>1512</v>
      </c>
      <c r="H1346" t="s">
        <v>223</v>
      </c>
      <c r="I1346" t="s">
        <v>228</v>
      </c>
      <c r="J1346" t="s">
        <v>415</v>
      </c>
      <c r="K1346" t="s">
        <v>833</v>
      </c>
      <c r="L1346" s="84">
        <v>42488</v>
      </c>
      <c r="M1346" t="s">
        <v>203</v>
      </c>
      <c r="N1346" t="s">
        <v>834</v>
      </c>
      <c r="O1346">
        <v>3</v>
      </c>
      <c r="P1346" t="s">
        <v>835</v>
      </c>
      <c r="Q1346" t="s">
        <v>836</v>
      </c>
      <c r="R1346" t="s">
        <v>837</v>
      </c>
      <c r="S1346" t="s">
        <v>838</v>
      </c>
      <c r="T1346" t="s">
        <v>34</v>
      </c>
      <c r="U1346" t="s">
        <v>80</v>
      </c>
      <c r="V1346">
        <v>58</v>
      </c>
      <c r="W1346">
        <v>83</v>
      </c>
      <c r="X1346">
        <v>123</v>
      </c>
      <c r="Y1346">
        <v>84</v>
      </c>
      <c r="Z1346">
        <v>196</v>
      </c>
      <c r="AA1346">
        <v>136</v>
      </c>
      <c r="AB1346" t="s">
        <v>479</v>
      </c>
      <c r="AC1346" t="s">
        <v>192</v>
      </c>
      <c r="AD1346" t="s">
        <v>609</v>
      </c>
      <c r="AE1346" t="s">
        <v>183</v>
      </c>
      <c r="AF1346">
        <v>0</v>
      </c>
    </row>
    <row r="1347" spans="1:32">
      <c r="A1347">
        <v>414</v>
      </c>
      <c r="B1347">
        <v>815</v>
      </c>
      <c r="C1347" t="s">
        <v>831</v>
      </c>
      <c r="D1347" t="s">
        <v>1411</v>
      </c>
      <c r="E1347" t="s">
        <v>2165</v>
      </c>
      <c r="F1347" t="s">
        <v>7</v>
      </c>
      <c r="G1347" t="s">
        <v>1514</v>
      </c>
      <c r="H1347" t="s">
        <v>192</v>
      </c>
      <c r="I1347" t="s">
        <v>192</v>
      </c>
      <c r="J1347" t="s">
        <v>188</v>
      </c>
      <c r="K1347" t="s">
        <v>833</v>
      </c>
      <c r="L1347" s="84">
        <v>42488</v>
      </c>
      <c r="M1347" t="s">
        <v>203</v>
      </c>
      <c r="N1347" t="s">
        <v>834</v>
      </c>
      <c r="O1347">
        <v>3</v>
      </c>
      <c r="P1347" t="s">
        <v>835</v>
      </c>
      <c r="Q1347" t="s">
        <v>836</v>
      </c>
      <c r="R1347" t="s">
        <v>837</v>
      </c>
      <c r="S1347" t="s">
        <v>838</v>
      </c>
      <c r="T1347" t="s">
        <v>32</v>
      </c>
      <c r="U1347" t="s">
        <v>80</v>
      </c>
      <c r="V1347">
        <v>58</v>
      </c>
      <c r="W1347">
        <v>83</v>
      </c>
      <c r="X1347">
        <v>123</v>
      </c>
      <c r="Y1347">
        <v>84</v>
      </c>
      <c r="Z1347">
        <v>196</v>
      </c>
      <c r="AA1347">
        <v>136</v>
      </c>
      <c r="AB1347" t="s">
        <v>479</v>
      </c>
      <c r="AC1347" t="s">
        <v>192</v>
      </c>
      <c r="AD1347" t="s">
        <v>609</v>
      </c>
      <c r="AE1347" t="s">
        <v>183</v>
      </c>
      <c r="AF1347">
        <v>0</v>
      </c>
    </row>
    <row r="1348" spans="1:32">
      <c r="A1348">
        <v>414</v>
      </c>
      <c r="B1348">
        <v>815</v>
      </c>
      <c r="C1348" t="s">
        <v>831</v>
      </c>
      <c r="D1348" t="s">
        <v>1411</v>
      </c>
      <c r="E1348" t="s">
        <v>2165</v>
      </c>
      <c r="F1348" t="s">
        <v>8</v>
      </c>
      <c r="G1348" t="s">
        <v>1513</v>
      </c>
      <c r="H1348" t="s">
        <v>188</v>
      </c>
      <c r="I1348" t="s">
        <v>228</v>
      </c>
      <c r="J1348" t="s">
        <v>436</v>
      </c>
      <c r="K1348" t="s">
        <v>833</v>
      </c>
      <c r="L1348" s="84">
        <v>42488</v>
      </c>
      <c r="M1348" t="s">
        <v>203</v>
      </c>
      <c r="N1348" t="s">
        <v>834</v>
      </c>
      <c r="O1348">
        <v>3</v>
      </c>
      <c r="P1348" t="s">
        <v>835</v>
      </c>
      <c r="Q1348" t="s">
        <v>836</v>
      </c>
      <c r="R1348" t="s">
        <v>837</v>
      </c>
      <c r="S1348" t="s">
        <v>838</v>
      </c>
      <c r="T1348" t="s">
        <v>31</v>
      </c>
      <c r="U1348" t="s">
        <v>80</v>
      </c>
      <c r="V1348">
        <v>58</v>
      </c>
      <c r="W1348">
        <v>83</v>
      </c>
      <c r="X1348">
        <v>123</v>
      </c>
      <c r="Y1348">
        <v>84</v>
      </c>
      <c r="Z1348">
        <v>196</v>
      </c>
      <c r="AA1348">
        <v>136</v>
      </c>
      <c r="AB1348" t="s">
        <v>479</v>
      </c>
      <c r="AC1348" t="s">
        <v>192</v>
      </c>
      <c r="AD1348" t="s">
        <v>609</v>
      </c>
      <c r="AE1348" t="s">
        <v>183</v>
      </c>
      <c r="AF1348">
        <v>0</v>
      </c>
    </row>
    <row r="1349" spans="1:32">
      <c r="A1349">
        <v>414</v>
      </c>
      <c r="B1349">
        <v>815</v>
      </c>
      <c r="C1349" t="s">
        <v>831</v>
      </c>
      <c r="D1349" t="s">
        <v>1411</v>
      </c>
      <c r="E1349" t="s">
        <v>2165</v>
      </c>
      <c r="F1349" t="s">
        <v>5</v>
      </c>
      <c r="G1349" t="s">
        <v>1511</v>
      </c>
      <c r="H1349" t="s">
        <v>226</v>
      </c>
      <c r="I1349" t="s">
        <v>274</v>
      </c>
      <c r="J1349" t="s">
        <v>173</v>
      </c>
      <c r="K1349" t="s">
        <v>833</v>
      </c>
      <c r="L1349" s="84">
        <v>42488</v>
      </c>
      <c r="M1349" t="s">
        <v>203</v>
      </c>
      <c r="N1349" t="s">
        <v>834</v>
      </c>
      <c r="O1349">
        <v>3</v>
      </c>
      <c r="P1349" t="s">
        <v>835</v>
      </c>
      <c r="Q1349" t="s">
        <v>836</v>
      </c>
      <c r="R1349" t="s">
        <v>837</v>
      </c>
      <c r="S1349" t="s">
        <v>838</v>
      </c>
      <c r="T1349" t="s">
        <v>33</v>
      </c>
      <c r="U1349" t="s">
        <v>80</v>
      </c>
      <c r="V1349">
        <v>58</v>
      </c>
      <c r="W1349">
        <v>83</v>
      </c>
      <c r="X1349">
        <v>123</v>
      </c>
      <c r="Y1349">
        <v>84</v>
      </c>
      <c r="Z1349">
        <v>196</v>
      </c>
      <c r="AA1349">
        <v>136</v>
      </c>
      <c r="AB1349" t="s">
        <v>479</v>
      </c>
      <c r="AC1349" t="s">
        <v>192</v>
      </c>
      <c r="AD1349" t="s">
        <v>609</v>
      </c>
      <c r="AE1349" t="s">
        <v>183</v>
      </c>
      <c r="AF1349">
        <v>0</v>
      </c>
    </row>
    <row r="1350" spans="1:32">
      <c r="A1350">
        <v>414</v>
      </c>
      <c r="B1350">
        <v>815</v>
      </c>
      <c r="C1350" t="s">
        <v>831</v>
      </c>
      <c r="D1350" t="s">
        <v>1411</v>
      </c>
      <c r="E1350" t="s">
        <v>2165</v>
      </c>
      <c r="F1350" t="s">
        <v>197</v>
      </c>
      <c r="G1350" t="s">
        <v>1508</v>
      </c>
      <c r="H1350" t="s">
        <v>188</v>
      </c>
      <c r="I1350" t="s">
        <v>212</v>
      </c>
      <c r="J1350" t="s">
        <v>181</v>
      </c>
      <c r="K1350" t="s">
        <v>833</v>
      </c>
      <c r="L1350" s="84">
        <v>42488</v>
      </c>
      <c r="M1350" t="s">
        <v>203</v>
      </c>
      <c r="N1350" t="s">
        <v>834</v>
      </c>
      <c r="O1350">
        <v>3</v>
      </c>
      <c r="P1350" t="s">
        <v>835</v>
      </c>
      <c r="Q1350" t="s">
        <v>836</v>
      </c>
      <c r="R1350" t="s">
        <v>837</v>
      </c>
      <c r="S1350" t="s">
        <v>838</v>
      </c>
      <c r="T1350" t="s">
        <v>38</v>
      </c>
      <c r="U1350" t="s">
        <v>80</v>
      </c>
      <c r="V1350">
        <v>58</v>
      </c>
      <c r="W1350">
        <v>83</v>
      </c>
      <c r="X1350">
        <v>123</v>
      </c>
      <c r="Y1350">
        <v>84</v>
      </c>
      <c r="Z1350">
        <v>196</v>
      </c>
      <c r="AA1350">
        <v>136</v>
      </c>
      <c r="AB1350" t="s">
        <v>479</v>
      </c>
      <c r="AC1350" t="s">
        <v>192</v>
      </c>
      <c r="AD1350" t="s">
        <v>609</v>
      </c>
      <c r="AE1350" t="s">
        <v>183</v>
      </c>
      <c r="AF1350">
        <v>0</v>
      </c>
    </row>
    <row r="1351" spans="1:32">
      <c r="A1351">
        <v>414</v>
      </c>
      <c r="B1351">
        <v>815</v>
      </c>
      <c r="C1351" t="s">
        <v>831</v>
      </c>
      <c r="D1351" t="s">
        <v>1411</v>
      </c>
      <c r="E1351" t="s">
        <v>2165</v>
      </c>
      <c r="F1351" t="s">
        <v>193</v>
      </c>
      <c r="G1351" t="s">
        <v>1510</v>
      </c>
      <c r="H1351" t="s">
        <v>192</v>
      </c>
      <c r="I1351" t="s">
        <v>212</v>
      </c>
      <c r="J1351" t="s">
        <v>223</v>
      </c>
      <c r="K1351" t="s">
        <v>833</v>
      </c>
      <c r="L1351" s="84">
        <v>42488</v>
      </c>
      <c r="M1351" t="s">
        <v>203</v>
      </c>
      <c r="N1351" t="s">
        <v>834</v>
      </c>
      <c r="O1351">
        <v>3</v>
      </c>
      <c r="P1351" t="s">
        <v>835</v>
      </c>
      <c r="Q1351" t="s">
        <v>836</v>
      </c>
      <c r="R1351" t="s">
        <v>837</v>
      </c>
      <c r="S1351" t="s">
        <v>838</v>
      </c>
      <c r="T1351" t="s">
        <v>36</v>
      </c>
      <c r="U1351" t="s">
        <v>80</v>
      </c>
      <c r="V1351">
        <v>58</v>
      </c>
      <c r="W1351">
        <v>83</v>
      </c>
      <c r="X1351">
        <v>123</v>
      </c>
      <c r="Y1351">
        <v>84</v>
      </c>
      <c r="Z1351">
        <v>196</v>
      </c>
      <c r="AA1351">
        <v>136</v>
      </c>
      <c r="AB1351" t="s">
        <v>479</v>
      </c>
      <c r="AC1351" t="s">
        <v>192</v>
      </c>
      <c r="AD1351" t="s">
        <v>609</v>
      </c>
      <c r="AE1351" t="s">
        <v>183</v>
      </c>
      <c r="AF1351">
        <v>0</v>
      </c>
    </row>
    <row r="1352" spans="1:32">
      <c r="A1352">
        <v>414</v>
      </c>
      <c r="B1352">
        <v>815</v>
      </c>
      <c r="C1352" t="s">
        <v>831</v>
      </c>
      <c r="D1352" t="s">
        <v>1411</v>
      </c>
      <c r="E1352" t="s">
        <v>2165</v>
      </c>
      <c r="F1352" t="s">
        <v>37</v>
      </c>
      <c r="G1352" t="s">
        <v>1509</v>
      </c>
      <c r="H1352" t="s">
        <v>192</v>
      </c>
      <c r="I1352" t="s">
        <v>212</v>
      </c>
      <c r="J1352" t="s">
        <v>212</v>
      </c>
      <c r="K1352" t="s">
        <v>833</v>
      </c>
      <c r="L1352" s="84">
        <v>42488</v>
      </c>
      <c r="M1352" t="s">
        <v>203</v>
      </c>
      <c r="N1352" t="s">
        <v>834</v>
      </c>
      <c r="O1352">
        <v>3</v>
      </c>
      <c r="P1352" t="s">
        <v>835</v>
      </c>
      <c r="Q1352" t="s">
        <v>836</v>
      </c>
      <c r="R1352" t="s">
        <v>837</v>
      </c>
      <c r="S1352" t="s">
        <v>838</v>
      </c>
      <c r="T1352" t="s">
        <v>37</v>
      </c>
      <c r="U1352" t="s">
        <v>80</v>
      </c>
      <c r="V1352">
        <v>58</v>
      </c>
      <c r="W1352">
        <v>83</v>
      </c>
      <c r="X1352">
        <v>123</v>
      </c>
      <c r="Y1352">
        <v>84</v>
      </c>
      <c r="Z1352">
        <v>196</v>
      </c>
      <c r="AA1352">
        <v>136</v>
      </c>
      <c r="AB1352" t="s">
        <v>479</v>
      </c>
      <c r="AC1352" t="s">
        <v>192</v>
      </c>
      <c r="AD1352" t="s">
        <v>609</v>
      </c>
      <c r="AE1352" t="s">
        <v>183</v>
      </c>
      <c r="AF1352">
        <v>0</v>
      </c>
    </row>
    <row r="1353" spans="1:32">
      <c r="A1353">
        <v>415</v>
      </c>
      <c r="B1353">
        <v>1140</v>
      </c>
      <c r="C1353" t="s">
        <v>2719</v>
      </c>
      <c r="D1353" t="s">
        <v>1411</v>
      </c>
      <c r="E1353" t="s">
        <v>2165</v>
      </c>
      <c r="F1353" t="s">
        <v>37</v>
      </c>
      <c r="G1353" t="s">
        <v>1520</v>
      </c>
      <c r="H1353" t="s">
        <v>192</v>
      </c>
      <c r="I1353" t="s">
        <v>212</v>
      </c>
      <c r="J1353" t="s">
        <v>192</v>
      </c>
      <c r="K1353" t="s">
        <v>2720</v>
      </c>
      <c r="L1353" s="84">
        <v>42667</v>
      </c>
      <c r="M1353" t="s">
        <v>381</v>
      </c>
      <c r="N1353" t="s">
        <v>1699</v>
      </c>
      <c r="O1353">
        <v>2</v>
      </c>
      <c r="P1353" t="s">
        <v>2721</v>
      </c>
      <c r="Q1353" t="s">
        <v>2722</v>
      </c>
      <c r="R1353" t="s">
        <v>2723</v>
      </c>
      <c r="S1353" t="s">
        <v>2724</v>
      </c>
      <c r="T1353" t="s">
        <v>37</v>
      </c>
      <c r="U1353" t="s">
        <v>79</v>
      </c>
      <c r="V1353">
        <v>61</v>
      </c>
      <c r="W1353">
        <v>83</v>
      </c>
      <c r="X1353">
        <v>123</v>
      </c>
      <c r="Y1353">
        <v>98</v>
      </c>
      <c r="Z1353">
        <v>196</v>
      </c>
      <c r="AA1353">
        <v>165</v>
      </c>
      <c r="AB1353" t="s">
        <v>327</v>
      </c>
      <c r="AC1353" t="s">
        <v>243</v>
      </c>
      <c r="AD1353" t="s">
        <v>609</v>
      </c>
      <c r="AE1353" t="s">
        <v>183</v>
      </c>
      <c r="AF1353">
        <v>0</v>
      </c>
    </row>
    <row r="1354" spans="1:32">
      <c r="A1354">
        <v>415</v>
      </c>
      <c r="B1354">
        <v>1140</v>
      </c>
      <c r="C1354" t="s">
        <v>2719</v>
      </c>
      <c r="D1354" t="s">
        <v>1411</v>
      </c>
      <c r="E1354" t="s">
        <v>2165</v>
      </c>
      <c r="F1354" t="s">
        <v>193</v>
      </c>
      <c r="G1354" t="s">
        <v>1519</v>
      </c>
      <c r="H1354" t="s">
        <v>192</v>
      </c>
      <c r="I1354" t="s">
        <v>212</v>
      </c>
      <c r="J1354" t="s">
        <v>212</v>
      </c>
      <c r="K1354" t="s">
        <v>2720</v>
      </c>
      <c r="L1354" s="84">
        <v>42667</v>
      </c>
      <c r="M1354" t="s">
        <v>381</v>
      </c>
      <c r="N1354" t="s">
        <v>1699</v>
      </c>
      <c r="O1354">
        <v>2</v>
      </c>
      <c r="P1354" t="s">
        <v>2721</v>
      </c>
      <c r="Q1354" t="s">
        <v>2722</v>
      </c>
      <c r="R1354" t="s">
        <v>2723</v>
      </c>
      <c r="S1354" t="s">
        <v>2724</v>
      </c>
      <c r="T1354" t="s">
        <v>36</v>
      </c>
      <c r="U1354" t="s">
        <v>79</v>
      </c>
      <c r="V1354">
        <v>61</v>
      </c>
      <c r="W1354">
        <v>83</v>
      </c>
      <c r="X1354">
        <v>123</v>
      </c>
      <c r="Y1354">
        <v>98</v>
      </c>
      <c r="Z1354">
        <v>196</v>
      </c>
      <c r="AA1354">
        <v>165</v>
      </c>
      <c r="AB1354" t="s">
        <v>327</v>
      </c>
      <c r="AC1354" t="s">
        <v>243</v>
      </c>
      <c r="AD1354" t="s">
        <v>609</v>
      </c>
      <c r="AE1354" t="s">
        <v>183</v>
      </c>
      <c r="AF1354">
        <v>0</v>
      </c>
    </row>
    <row r="1355" spans="1:32">
      <c r="A1355">
        <v>415</v>
      </c>
      <c r="B1355">
        <v>1140</v>
      </c>
      <c r="C1355" t="s">
        <v>2719</v>
      </c>
      <c r="D1355" t="s">
        <v>1411</v>
      </c>
      <c r="E1355" t="s">
        <v>2165</v>
      </c>
      <c r="F1355" t="s">
        <v>197</v>
      </c>
      <c r="G1355" t="s">
        <v>1521</v>
      </c>
      <c r="H1355" t="s">
        <v>188</v>
      </c>
      <c r="I1355" t="s">
        <v>212</v>
      </c>
      <c r="J1355" t="s">
        <v>201</v>
      </c>
      <c r="K1355" t="s">
        <v>2720</v>
      </c>
      <c r="L1355" s="84">
        <v>42667</v>
      </c>
      <c r="M1355" t="s">
        <v>381</v>
      </c>
      <c r="N1355" t="s">
        <v>1699</v>
      </c>
      <c r="O1355">
        <v>2</v>
      </c>
      <c r="P1355" t="s">
        <v>2721</v>
      </c>
      <c r="Q1355" t="s">
        <v>2722</v>
      </c>
      <c r="R1355" t="s">
        <v>2723</v>
      </c>
      <c r="S1355" t="s">
        <v>2724</v>
      </c>
      <c r="T1355" t="s">
        <v>38</v>
      </c>
      <c r="U1355" t="s">
        <v>79</v>
      </c>
      <c r="V1355">
        <v>61</v>
      </c>
      <c r="W1355">
        <v>83</v>
      </c>
      <c r="X1355">
        <v>123</v>
      </c>
      <c r="Y1355">
        <v>98</v>
      </c>
      <c r="Z1355">
        <v>196</v>
      </c>
      <c r="AA1355">
        <v>165</v>
      </c>
      <c r="AB1355" t="s">
        <v>327</v>
      </c>
      <c r="AC1355" t="s">
        <v>243</v>
      </c>
      <c r="AD1355" t="s">
        <v>609</v>
      </c>
      <c r="AE1355" t="s">
        <v>183</v>
      </c>
      <c r="AF1355">
        <v>0</v>
      </c>
    </row>
    <row r="1356" spans="1:32">
      <c r="A1356">
        <v>415</v>
      </c>
      <c r="B1356">
        <v>1140</v>
      </c>
      <c r="C1356" t="s">
        <v>2719</v>
      </c>
      <c r="D1356" t="s">
        <v>1411</v>
      </c>
      <c r="E1356" t="s">
        <v>2165</v>
      </c>
      <c r="F1356" t="s">
        <v>5</v>
      </c>
      <c r="G1356" t="s">
        <v>1518</v>
      </c>
      <c r="H1356" t="s">
        <v>226</v>
      </c>
      <c r="I1356" t="s">
        <v>171</v>
      </c>
      <c r="J1356" t="s">
        <v>181</v>
      </c>
      <c r="K1356" t="s">
        <v>2720</v>
      </c>
      <c r="L1356" s="84">
        <v>42667</v>
      </c>
      <c r="M1356" t="s">
        <v>381</v>
      </c>
      <c r="N1356" t="s">
        <v>1699</v>
      </c>
      <c r="O1356">
        <v>2</v>
      </c>
      <c r="P1356" t="s">
        <v>2721</v>
      </c>
      <c r="Q1356" t="s">
        <v>2722</v>
      </c>
      <c r="R1356" t="s">
        <v>2723</v>
      </c>
      <c r="S1356" t="s">
        <v>2724</v>
      </c>
      <c r="T1356" t="s">
        <v>33</v>
      </c>
      <c r="U1356" t="s">
        <v>79</v>
      </c>
      <c r="V1356">
        <v>61</v>
      </c>
      <c r="W1356">
        <v>83</v>
      </c>
      <c r="X1356">
        <v>123</v>
      </c>
      <c r="Y1356">
        <v>98</v>
      </c>
      <c r="Z1356">
        <v>196</v>
      </c>
      <c r="AA1356">
        <v>165</v>
      </c>
      <c r="AB1356" t="s">
        <v>327</v>
      </c>
      <c r="AC1356" t="s">
        <v>243</v>
      </c>
      <c r="AD1356" t="s">
        <v>609</v>
      </c>
      <c r="AE1356" t="s">
        <v>183</v>
      </c>
      <c r="AF1356">
        <v>0</v>
      </c>
    </row>
    <row r="1357" spans="1:32">
      <c r="A1357">
        <v>415</v>
      </c>
      <c r="B1357">
        <v>1140</v>
      </c>
      <c r="C1357" t="s">
        <v>2719</v>
      </c>
      <c r="D1357" t="s">
        <v>1411</v>
      </c>
      <c r="E1357" t="s">
        <v>2165</v>
      </c>
      <c r="F1357" t="s">
        <v>8</v>
      </c>
      <c r="G1357" t="s">
        <v>1516</v>
      </c>
      <c r="H1357" t="s">
        <v>192</v>
      </c>
      <c r="I1357" t="s">
        <v>192</v>
      </c>
      <c r="J1357" t="s">
        <v>181</v>
      </c>
      <c r="K1357" t="s">
        <v>2720</v>
      </c>
      <c r="L1357" s="84">
        <v>42667</v>
      </c>
      <c r="M1357" t="s">
        <v>381</v>
      </c>
      <c r="N1357" t="s">
        <v>1699</v>
      </c>
      <c r="O1357">
        <v>2</v>
      </c>
      <c r="P1357" t="s">
        <v>2721</v>
      </c>
      <c r="Q1357" t="s">
        <v>2722</v>
      </c>
      <c r="R1357" t="s">
        <v>2723</v>
      </c>
      <c r="S1357" t="s">
        <v>2724</v>
      </c>
      <c r="T1357" t="s">
        <v>31</v>
      </c>
      <c r="U1357" t="s">
        <v>79</v>
      </c>
      <c r="V1357">
        <v>61</v>
      </c>
      <c r="W1357">
        <v>83</v>
      </c>
      <c r="X1357">
        <v>123</v>
      </c>
      <c r="Y1357">
        <v>98</v>
      </c>
      <c r="Z1357">
        <v>196</v>
      </c>
      <c r="AA1357">
        <v>165</v>
      </c>
      <c r="AB1357" t="s">
        <v>327</v>
      </c>
      <c r="AC1357" t="s">
        <v>243</v>
      </c>
      <c r="AD1357" t="s">
        <v>609</v>
      </c>
      <c r="AE1357" t="s">
        <v>183</v>
      </c>
      <c r="AF1357">
        <v>0</v>
      </c>
    </row>
    <row r="1358" spans="1:32">
      <c r="A1358">
        <v>415</v>
      </c>
      <c r="B1358">
        <v>1140</v>
      </c>
      <c r="C1358" t="s">
        <v>2719</v>
      </c>
      <c r="D1358" t="s">
        <v>1411</v>
      </c>
      <c r="E1358" t="s">
        <v>2165</v>
      </c>
      <c r="F1358" t="s">
        <v>7</v>
      </c>
      <c r="G1358" t="s">
        <v>1515</v>
      </c>
      <c r="H1358" t="s">
        <v>215</v>
      </c>
      <c r="I1358" t="s">
        <v>239</v>
      </c>
      <c r="J1358" t="s">
        <v>221</v>
      </c>
      <c r="K1358" t="s">
        <v>2720</v>
      </c>
      <c r="L1358" s="84">
        <v>42667</v>
      </c>
      <c r="M1358" t="s">
        <v>381</v>
      </c>
      <c r="N1358" t="s">
        <v>1699</v>
      </c>
      <c r="O1358">
        <v>2</v>
      </c>
      <c r="P1358" t="s">
        <v>2721</v>
      </c>
      <c r="Q1358" t="s">
        <v>2722</v>
      </c>
      <c r="R1358" t="s">
        <v>2723</v>
      </c>
      <c r="S1358" t="s">
        <v>2724</v>
      </c>
      <c r="T1358" t="s">
        <v>32</v>
      </c>
      <c r="U1358" t="s">
        <v>79</v>
      </c>
      <c r="V1358">
        <v>61</v>
      </c>
      <c r="W1358">
        <v>83</v>
      </c>
      <c r="X1358">
        <v>123</v>
      </c>
      <c r="Y1358">
        <v>98</v>
      </c>
      <c r="Z1358">
        <v>196</v>
      </c>
      <c r="AA1358">
        <v>165</v>
      </c>
      <c r="AB1358" t="s">
        <v>327</v>
      </c>
      <c r="AC1358" t="s">
        <v>243</v>
      </c>
      <c r="AD1358" t="s">
        <v>609</v>
      </c>
      <c r="AE1358" t="s">
        <v>183</v>
      </c>
      <c r="AF1358">
        <v>0</v>
      </c>
    </row>
    <row r="1359" spans="1:32">
      <c r="A1359">
        <v>415</v>
      </c>
      <c r="B1359">
        <v>1140</v>
      </c>
      <c r="C1359" t="s">
        <v>2719</v>
      </c>
      <c r="D1359" t="s">
        <v>1411</v>
      </c>
      <c r="E1359" t="s">
        <v>2165</v>
      </c>
      <c r="F1359" t="s">
        <v>6</v>
      </c>
      <c r="G1359" t="s">
        <v>1517</v>
      </c>
      <c r="H1359" t="s">
        <v>173</v>
      </c>
      <c r="I1359" t="s">
        <v>188</v>
      </c>
      <c r="J1359" t="s">
        <v>403</v>
      </c>
      <c r="K1359" t="s">
        <v>2720</v>
      </c>
      <c r="L1359" s="84">
        <v>42667</v>
      </c>
      <c r="M1359" t="s">
        <v>381</v>
      </c>
      <c r="N1359" t="s">
        <v>1699</v>
      </c>
      <c r="O1359">
        <v>2</v>
      </c>
      <c r="P1359" t="s">
        <v>2721</v>
      </c>
      <c r="Q1359" t="s">
        <v>2722</v>
      </c>
      <c r="R1359" t="s">
        <v>2723</v>
      </c>
      <c r="S1359" t="s">
        <v>2724</v>
      </c>
      <c r="T1359" t="s">
        <v>34</v>
      </c>
      <c r="U1359" t="s">
        <v>79</v>
      </c>
      <c r="V1359">
        <v>61</v>
      </c>
      <c r="W1359">
        <v>83</v>
      </c>
      <c r="X1359">
        <v>123</v>
      </c>
      <c r="Y1359">
        <v>98</v>
      </c>
      <c r="Z1359">
        <v>196</v>
      </c>
      <c r="AA1359">
        <v>165</v>
      </c>
      <c r="AB1359" t="s">
        <v>327</v>
      </c>
      <c r="AC1359" t="s">
        <v>243</v>
      </c>
      <c r="AD1359" t="s">
        <v>609</v>
      </c>
      <c r="AE1359" t="s">
        <v>183</v>
      </c>
      <c r="AF1359">
        <v>0</v>
      </c>
    </row>
    <row r="1360" spans="1:32">
      <c r="A1360">
        <v>416</v>
      </c>
      <c r="B1360">
        <v>920</v>
      </c>
      <c r="C1360" t="s">
        <v>842</v>
      </c>
      <c r="D1360" t="s">
        <v>1411</v>
      </c>
      <c r="E1360" t="s">
        <v>2165</v>
      </c>
      <c r="F1360" t="s">
        <v>6</v>
      </c>
      <c r="G1360" t="s">
        <v>1526</v>
      </c>
      <c r="H1360" t="s">
        <v>239</v>
      </c>
      <c r="I1360" t="s">
        <v>297</v>
      </c>
      <c r="J1360" t="s">
        <v>497</v>
      </c>
      <c r="K1360" t="s">
        <v>843</v>
      </c>
      <c r="L1360" s="84">
        <v>42528</v>
      </c>
      <c r="M1360" t="s">
        <v>175</v>
      </c>
      <c r="N1360" t="s">
        <v>844</v>
      </c>
      <c r="O1360">
        <v>9</v>
      </c>
      <c r="P1360" t="s">
        <v>845</v>
      </c>
      <c r="Q1360" t="s">
        <v>2163</v>
      </c>
      <c r="R1360" t="s">
        <v>846</v>
      </c>
      <c r="S1360" t="s">
        <v>847</v>
      </c>
      <c r="T1360" t="s">
        <v>34</v>
      </c>
      <c r="U1360" t="s">
        <v>85</v>
      </c>
      <c r="V1360">
        <v>78</v>
      </c>
      <c r="W1360">
        <v>83</v>
      </c>
      <c r="X1360">
        <v>123</v>
      </c>
      <c r="Y1360">
        <v>117</v>
      </c>
      <c r="Z1360">
        <v>196</v>
      </c>
      <c r="AA1360">
        <v>190</v>
      </c>
      <c r="AB1360" t="s">
        <v>696</v>
      </c>
      <c r="AC1360" t="s">
        <v>237</v>
      </c>
      <c r="AD1360" t="s">
        <v>182</v>
      </c>
      <c r="AE1360" t="s">
        <v>183</v>
      </c>
      <c r="AF1360">
        <v>0</v>
      </c>
    </row>
    <row r="1361" spans="1:32">
      <c r="A1361">
        <v>416</v>
      </c>
      <c r="B1361">
        <v>920</v>
      </c>
      <c r="C1361" t="s">
        <v>842</v>
      </c>
      <c r="D1361" t="s">
        <v>1411</v>
      </c>
      <c r="E1361" t="s">
        <v>2165</v>
      </c>
      <c r="F1361" t="s">
        <v>7</v>
      </c>
      <c r="G1361" t="s">
        <v>1528</v>
      </c>
      <c r="H1361" t="s">
        <v>275</v>
      </c>
      <c r="I1361" t="s">
        <v>260</v>
      </c>
      <c r="J1361" t="s">
        <v>185</v>
      </c>
      <c r="K1361" t="s">
        <v>843</v>
      </c>
      <c r="L1361" s="84">
        <v>42528</v>
      </c>
      <c r="M1361" t="s">
        <v>175</v>
      </c>
      <c r="N1361" t="s">
        <v>844</v>
      </c>
      <c r="O1361">
        <v>9</v>
      </c>
      <c r="P1361" t="s">
        <v>845</v>
      </c>
      <c r="Q1361" t="s">
        <v>2163</v>
      </c>
      <c r="R1361" t="s">
        <v>846</v>
      </c>
      <c r="S1361" t="s">
        <v>847</v>
      </c>
      <c r="T1361" t="s">
        <v>32</v>
      </c>
      <c r="U1361" t="s">
        <v>85</v>
      </c>
      <c r="V1361">
        <v>78</v>
      </c>
      <c r="W1361">
        <v>83</v>
      </c>
      <c r="X1361">
        <v>123</v>
      </c>
      <c r="Y1361">
        <v>117</v>
      </c>
      <c r="Z1361">
        <v>196</v>
      </c>
      <c r="AA1361">
        <v>190</v>
      </c>
      <c r="AB1361" t="s">
        <v>696</v>
      </c>
      <c r="AC1361" t="s">
        <v>237</v>
      </c>
      <c r="AD1361" t="s">
        <v>182</v>
      </c>
      <c r="AE1361" t="s">
        <v>183</v>
      </c>
      <c r="AF1361">
        <v>0</v>
      </c>
    </row>
    <row r="1362" spans="1:32">
      <c r="A1362">
        <v>416</v>
      </c>
      <c r="B1362">
        <v>920</v>
      </c>
      <c r="C1362" t="s">
        <v>842</v>
      </c>
      <c r="D1362" t="s">
        <v>1411</v>
      </c>
      <c r="E1362" t="s">
        <v>2165</v>
      </c>
      <c r="F1362" t="s">
        <v>8</v>
      </c>
      <c r="G1362" t="s">
        <v>1527</v>
      </c>
      <c r="H1362" t="s">
        <v>216</v>
      </c>
      <c r="I1362" t="s">
        <v>218</v>
      </c>
      <c r="J1362" t="s">
        <v>262</v>
      </c>
      <c r="K1362" t="s">
        <v>843</v>
      </c>
      <c r="L1362" s="84">
        <v>42528</v>
      </c>
      <c r="M1362" t="s">
        <v>175</v>
      </c>
      <c r="N1362" t="s">
        <v>844</v>
      </c>
      <c r="O1362">
        <v>9</v>
      </c>
      <c r="P1362" t="s">
        <v>845</v>
      </c>
      <c r="Q1362" t="s">
        <v>2163</v>
      </c>
      <c r="R1362" t="s">
        <v>846</v>
      </c>
      <c r="S1362" t="s">
        <v>847</v>
      </c>
      <c r="T1362" t="s">
        <v>31</v>
      </c>
      <c r="U1362" t="s">
        <v>85</v>
      </c>
      <c r="V1362">
        <v>78</v>
      </c>
      <c r="W1362">
        <v>83</v>
      </c>
      <c r="X1362">
        <v>123</v>
      </c>
      <c r="Y1362">
        <v>117</v>
      </c>
      <c r="Z1362">
        <v>196</v>
      </c>
      <c r="AA1362">
        <v>190</v>
      </c>
      <c r="AB1362" t="s">
        <v>696</v>
      </c>
      <c r="AC1362" t="s">
        <v>237</v>
      </c>
      <c r="AD1362" t="s">
        <v>182</v>
      </c>
      <c r="AE1362" t="s">
        <v>183</v>
      </c>
      <c r="AF1362">
        <v>0</v>
      </c>
    </row>
    <row r="1363" spans="1:32">
      <c r="A1363">
        <v>416</v>
      </c>
      <c r="B1363">
        <v>920</v>
      </c>
      <c r="C1363" t="s">
        <v>842</v>
      </c>
      <c r="D1363" t="s">
        <v>1411</v>
      </c>
      <c r="E1363" t="s">
        <v>2165</v>
      </c>
      <c r="F1363" t="s">
        <v>5</v>
      </c>
      <c r="G1363" t="s">
        <v>1525</v>
      </c>
      <c r="H1363" t="s">
        <v>297</v>
      </c>
      <c r="I1363" t="s">
        <v>215</v>
      </c>
      <c r="J1363" t="s">
        <v>238</v>
      </c>
      <c r="K1363" t="s">
        <v>843</v>
      </c>
      <c r="L1363" s="84">
        <v>42528</v>
      </c>
      <c r="M1363" t="s">
        <v>175</v>
      </c>
      <c r="N1363" t="s">
        <v>844</v>
      </c>
      <c r="O1363">
        <v>9</v>
      </c>
      <c r="P1363" t="s">
        <v>845</v>
      </c>
      <c r="Q1363" t="s">
        <v>2163</v>
      </c>
      <c r="R1363" t="s">
        <v>846</v>
      </c>
      <c r="S1363" t="s">
        <v>847</v>
      </c>
      <c r="T1363" t="s">
        <v>33</v>
      </c>
      <c r="U1363" t="s">
        <v>85</v>
      </c>
      <c r="V1363">
        <v>78</v>
      </c>
      <c r="W1363">
        <v>83</v>
      </c>
      <c r="X1363">
        <v>123</v>
      </c>
      <c r="Y1363">
        <v>117</v>
      </c>
      <c r="Z1363">
        <v>196</v>
      </c>
      <c r="AA1363">
        <v>190</v>
      </c>
      <c r="AB1363" t="s">
        <v>696</v>
      </c>
      <c r="AC1363" t="s">
        <v>237</v>
      </c>
      <c r="AD1363" t="s">
        <v>182</v>
      </c>
      <c r="AE1363" t="s">
        <v>183</v>
      </c>
      <c r="AF1363">
        <v>0</v>
      </c>
    </row>
    <row r="1364" spans="1:32">
      <c r="A1364">
        <v>416</v>
      </c>
      <c r="B1364">
        <v>920</v>
      </c>
      <c r="C1364" t="s">
        <v>842</v>
      </c>
      <c r="D1364" t="s">
        <v>1411</v>
      </c>
      <c r="E1364" t="s">
        <v>2165</v>
      </c>
      <c r="F1364" t="s">
        <v>197</v>
      </c>
      <c r="G1364" t="s">
        <v>1522</v>
      </c>
      <c r="H1364" t="s">
        <v>188</v>
      </c>
      <c r="I1364" t="s">
        <v>212</v>
      </c>
      <c r="J1364" t="s">
        <v>228</v>
      </c>
      <c r="K1364" t="s">
        <v>843</v>
      </c>
      <c r="L1364" s="84">
        <v>42528</v>
      </c>
      <c r="M1364" t="s">
        <v>175</v>
      </c>
      <c r="N1364" t="s">
        <v>844</v>
      </c>
      <c r="O1364">
        <v>9</v>
      </c>
      <c r="P1364" t="s">
        <v>845</v>
      </c>
      <c r="Q1364" t="s">
        <v>2163</v>
      </c>
      <c r="R1364" t="s">
        <v>846</v>
      </c>
      <c r="S1364" t="s">
        <v>847</v>
      </c>
      <c r="T1364" t="s">
        <v>38</v>
      </c>
      <c r="U1364" t="s">
        <v>85</v>
      </c>
      <c r="V1364">
        <v>78</v>
      </c>
      <c r="W1364">
        <v>83</v>
      </c>
      <c r="X1364">
        <v>123</v>
      </c>
      <c r="Y1364">
        <v>117</v>
      </c>
      <c r="Z1364">
        <v>196</v>
      </c>
      <c r="AA1364">
        <v>190</v>
      </c>
      <c r="AB1364" t="s">
        <v>696</v>
      </c>
      <c r="AC1364" t="s">
        <v>237</v>
      </c>
      <c r="AD1364" t="s">
        <v>182</v>
      </c>
      <c r="AE1364" t="s">
        <v>183</v>
      </c>
      <c r="AF1364">
        <v>0</v>
      </c>
    </row>
    <row r="1365" spans="1:32">
      <c r="A1365">
        <v>416</v>
      </c>
      <c r="B1365">
        <v>920</v>
      </c>
      <c r="C1365" t="s">
        <v>842</v>
      </c>
      <c r="D1365" t="s">
        <v>1411</v>
      </c>
      <c r="E1365" t="s">
        <v>2165</v>
      </c>
      <c r="F1365" t="s">
        <v>193</v>
      </c>
      <c r="G1365" t="s">
        <v>1524</v>
      </c>
      <c r="H1365" t="s">
        <v>192</v>
      </c>
      <c r="I1365" t="s">
        <v>212</v>
      </c>
      <c r="J1365" t="s">
        <v>212</v>
      </c>
      <c r="K1365" t="s">
        <v>843</v>
      </c>
      <c r="L1365" s="84">
        <v>42528</v>
      </c>
      <c r="M1365" t="s">
        <v>175</v>
      </c>
      <c r="N1365" t="s">
        <v>844</v>
      </c>
      <c r="O1365">
        <v>9</v>
      </c>
      <c r="P1365" t="s">
        <v>845</v>
      </c>
      <c r="Q1365" t="s">
        <v>2163</v>
      </c>
      <c r="R1365" t="s">
        <v>846</v>
      </c>
      <c r="S1365" t="s">
        <v>847</v>
      </c>
      <c r="T1365" t="s">
        <v>36</v>
      </c>
      <c r="U1365" t="s">
        <v>85</v>
      </c>
      <c r="V1365">
        <v>78</v>
      </c>
      <c r="W1365">
        <v>83</v>
      </c>
      <c r="X1365">
        <v>123</v>
      </c>
      <c r="Y1365">
        <v>117</v>
      </c>
      <c r="Z1365">
        <v>196</v>
      </c>
      <c r="AA1365">
        <v>190</v>
      </c>
      <c r="AB1365" t="s">
        <v>696</v>
      </c>
      <c r="AC1365" t="s">
        <v>237</v>
      </c>
      <c r="AD1365" t="s">
        <v>182</v>
      </c>
      <c r="AE1365" t="s">
        <v>183</v>
      </c>
      <c r="AF1365">
        <v>0</v>
      </c>
    </row>
    <row r="1366" spans="1:32">
      <c r="A1366">
        <v>416</v>
      </c>
      <c r="B1366">
        <v>920</v>
      </c>
      <c r="C1366" t="s">
        <v>842</v>
      </c>
      <c r="D1366" t="s">
        <v>1411</v>
      </c>
      <c r="E1366" t="s">
        <v>2165</v>
      </c>
      <c r="F1366" t="s">
        <v>37</v>
      </c>
      <c r="G1366" t="s">
        <v>1523</v>
      </c>
      <c r="H1366" t="s">
        <v>192</v>
      </c>
      <c r="I1366" t="s">
        <v>212</v>
      </c>
      <c r="J1366" t="s">
        <v>192</v>
      </c>
      <c r="K1366" t="s">
        <v>843</v>
      </c>
      <c r="L1366" s="84">
        <v>42528</v>
      </c>
      <c r="M1366" t="s">
        <v>175</v>
      </c>
      <c r="N1366" t="s">
        <v>844</v>
      </c>
      <c r="O1366">
        <v>9</v>
      </c>
      <c r="P1366" t="s">
        <v>845</v>
      </c>
      <c r="Q1366" t="s">
        <v>2163</v>
      </c>
      <c r="R1366" t="s">
        <v>846</v>
      </c>
      <c r="S1366" t="s">
        <v>847</v>
      </c>
      <c r="T1366" t="s">
        <v>37</v>
      </c>
      <c r="U1366" t="s">
        <v>85</v>
      </c>
      <c r="V1366">
        <v>78</v>
      </c>
      <c r="W1366">
        <v>83</v>
      </c>
      <c r="X1366">
        <v>123</v>
      </c>
      <c r="Y1366">
        <v>117</v>
      </c>
      <c r="Z1366">
        <v>196</v>
      </c>
      <c r="AA1366">
        <v>190</v>
      </c>
      <c r="AB1366" t="s">
        <v>696</v>
      </c>
      <c r="AC1366" t="s">
        <v>237</v>
      </c>
      <c r="AD1366" t="s">
        <v>182</v>
      </c>
      <c r="AE1366" t="s">
        <v>183</v>
      </c>
      <c r="AF1366">
        <v>0</v>
      </c>
    </row>
    <row r="1367" spans="1:32">
      <c r="A1367">
        <v>417</v>
      </c>
      <c r="B1367">
        <v>950</v>
      </c>
      <c r="C1367" t="s">
        <v>852</v>
      </c>
      <c r="D1367" t="s">
        <v>1411</v>
      </c>
      <c r="E1367" t="s">
        <v>2165</v>
      </c>
      <c r="F1367" t="s">
        <v>37</v>
      </c>
      <c r="G1367" t="s">
        <v>1534</v>
      </c>
      <c r="H1367" t="s">
        <v>192</v>
      </c>
      <c r="I1367" t="s">
        <v>212</v>
      </c>
      <c r="J1367" t="s">
        <v>192</v>
      </c>
      <c r="K1367" t="s">
        <v>854</v>
      </c>
      <c r="L1367" s="84">
        <v>42010</v>
      </c>
      <c r="M1367" t="s">
        <v>325</v>
      </c>
      <c r="N1367" t="s">
        <v>855</v>
      </c>
      <c r="O1367">
        <v>9</v>
      </c>
      <c r="P1367" t="s">
        <v>856</v>
      </c>
      <c r="Q1367" t="s">
        <v>857</v>
      </c>
      <c r="R1367" t="s">
        <v>858</v>
      </c>
      <c r="S1367" t="s">
        <v>859</v>
      </c>
      <c r="T1367" t="s">
        <v>37</v>
      </c>
      <c r="U1367" t="s">
        <v>85</v>
      </c>
      <c r="V1367">
        <v>77</v>
      </c>
      <c r="W1367">
        <v>83</v>
      </c>
      <c r="X1367">
        <v>123</v>
      </c>
      <c r="Y1367">
        <v>114</v>
      </c>
      <c r="Z1367">
        <v>196</v>
      </c>
      <c r="AA1367">
        <v>183</v>
      </c>
      <c r="AB1367" t="s">
        <v>1236</v>
      </c>
      <c r="AC1367" t="s">
        <v>237</v>
      </c>
      <c r="AD1367" t="s">
        <v>182</v>
      </c>
      <c r="AE1367" t="s">
        <v>183</v>
      </c>
      <c r="AF1367">
        <v>0</v>
      </c>
    </row>
    <row r="1368" spans="1:32">
      <c r="A1368">
        <v>417</v>
      </c>
      <c r="B1368">
        <v>950</v>
      </c>
      <c r="C1368" t="s">
        <v>852</v>
      </c>
      <c r="D1368" t="s">
        <v>1411</v>
      </c>
      <c r="E1368" t="s">
        <v>2165</v>
      </c>
      <c r="F1368" t="s">
        <v>193</v>
      </c>
      <c r="G1368" t="s">
        <v>1533</v>
      </c>
      <c r="H1368" t="s">
        <v>192</v>
      </c>
      <c r="I1368" t="s">
        <v>212</v>
      </c>
      <c r="J1368" t="s">
        <v>192</v>
      </c>
      <c r="K1368" t="s">
        <v>854</v>
      </c>
      <c r="L1368" s="84">
        <v>42010</v>
      </c>
      <c r="M1368" t="s">
        <v>325</v>
      </c>
      <c r="N1368" t="s">
        <v>855</v>
      </c>
      <c r="O1368">
        <v>9</v>
      </c>
      <c r="P1368" t="s">
        <v>856</v>
      </c>
      <c r="Q1368" t="s">
        <v>857</v>
      </c>
      <c r="R1368" t="s">
        <v>858</v>
      </c>
      <c r="S1368" t="s">
        <v>859</v>
      </c>
      <c r="T1368" t="s">
        <v>36</v>
      </c>
      <c r="U1368" t="s">
        <v>85</v>
      </c>
      <c r="V1368">
        <v>77</v>
      </c>
      <c r="W1368">
        <v>83</v>
      </c>
      <c r="X1368">
        <v>123</v>
      </c>
      <c r="Y1368">
        <v>114</v>
      </c>
      <c r="Z1368">
        <v>196</v>
      </c>
      <c r="AA1368">
        <v>183</v>
      </c>
      <c r="AB1368" t="s">
        <v>1236</v>
      </c>
      <c r="AC1368" t="s">
        <v>237</v>
      </c>
      <c r="AD1368" t="s">
        <v>182</v>
      </c>
      <c r="AE1368" t="s">
        <v>183</v>
      </c>
      <c r="AF1368">
        <v>0</v>
      </c>
    </row>
    <row r="1369" spans="1:32">
      <c r="A1369">
        <v>417</v>
      </c>
      <c r="B1369">
        <v>950</v>
      </c>
      <c r="C1369" t="s">
        <v>852</v>
      </c>
      <c r="D1369" t="s">
        <v>1411</v>
      </c>
      <c r="E1369" t="s">
        <v>2165</v>
      </c>
      <c r="F1369" t="s">
        <v>197</v>
      </c>
      <c r="G1369" t="s">
        <v>1535</v>
      </c>
      <c r="H1369" t="s">
        <v>188</v>
      </c>
      <c r="I1369" t="s">
        <v>212</v>
      </c>
      <c r="J1369" t="s">
        <v>223</v>
      </c>
      <c r="K1369" t="s">
        <v>854</v>
      </c>
      <c r="L1369" s="84">
        <v>42010</v>
      </c>
      <c r="M1369" t="s">
        <v>325</v>
      </c>
      <c r="N1369" t="s">
        <v>855</v>
      </c>
      <c r="O1369">
        <v>9</v>
      </c>
      <c r="P1369" t="s">
        <v>856</v>
      </c>
      <c r="Q1369" t="s">
        <v>857</v>
      </c>
      <c r="R1369" t="s">
        <v>858</v>
      </c>
      <c r="S1369" t="s">
        <v>859</v>
      </c>
      <c r="T1369" t="s">
        <v>38</v>
      </c>
      <c r="U1369" t="s">
        <v>85</v>
      </c>
      <c r="V1369">
        <v>77</v>
      </c>
      <c r="W1369">
        <v>83</v>
      </c>
      <c r="X1369">
        <v>123</v>
      </c>
      <c r="Y1369">
        <v>114</v>
      </c>
      <c r="Z1369">
        <v>196</v>
      </c>
      <c r="AA1369">
        <v>183</v>
      </c>
      <c r="AB1369" t="s">
        <v>1236</v>
      </c>
      <c r="AC1369" t="s">
        <v>237</v>
      </c>
      <c r="AD1369" t="s">
        <v>182</v>
      </c>
      <c r="AE1369" t="s">
        <v>183</v>
      </c>
      <c r="AF1369">
        <v>0</v>
      </c>
    </row>
    <row r="1370" spans="1:32">
      <c r="A1370">
        <v>417</v>
      </c>
      <c r="B1370">
        <v>950</v>
      </c>
      <c r="C1370" t="s">
        <v>852</v>
      </c>
      <c r="D1370" t="s">
        <v>1411</v>
      </c>
      <c r="E1370" t="s">
        <v>2165</v>
      </c>
      <c r="F1370" t="s">
        <v>5</v>
      </c>
      <c r="G1370" t="s">
        <v>1532</v>
      </c>
      <c r="H1370" t="s">
        <v>212</v>
      </c>
      <c r="I1370" t="s">
        <v>223</v>
      </c>
      <c r="J1370" t="s">
        <v>324</v>
      </c>
      <c r="K1370" t="s">
        <v>854</v>
      </c>
      <c r="L1370" s="84">
        <v>42010</v>
      </c>
      <c r="M1370" t="s">
        <v>325</v>
      </c>
      <c r="N1370" t="s">
        <v>855</v>
      </c>
      <c r="O1370">
        <v>9</v>
      </c>
      <c r="P1370" t="s">
        <v>856</v>
      </c>
      <c r="Q1370" t="s">
        <v>857</v>
      </c>
      <c r="R1370" t="s">
        <v>858</v>
      </c>
      <c r="S1370" t="s">
        <v>859</v>
      </c>
      <c r="T1370" t="s">
        <v>33</v>
      </c>
      <c r="U1370" t="s">
        <v>85</v>
      </c>
      <c r="V1370">
        <v>77</v>
      </c>
      <c r="W1370">
        <v>83</v>
      </c>
      <c r="X1370">
        <v>123</v>
      </c>
      <c r="Y1370">
        <v>114</v>
      </c>
      <c r="Z1370">
        <v>196</v>
      </c>
      <c r="AA1370">
        <v>183</v>
      </c>
      <c r="AB1370" t="s">
        <v>1236</v>
      </c>
      <c r="AC1370" t="s">
        <v>237</v>
      </c>
      <c r="AD1370" t="s">
        <v>182</v>
      </c>
      <c r="AE1370" t="s">
        <v>183</v>
      </c>
      <c r="AF1370">
        <v>0</v>
      </c>
    </row>
    <row r="1371" spans="1:32">
      <c r="A1371">
        <v>417</v>
      </c>
      <c r="B1371">
        <v>950</v>
      </c>
      <c r="C1371" t="s">
        <v>852</v>
      </c>
      <c r="D1371" t="s">
        <v>1411</v>
      </c>
      <c r="E1371" t="s">
        <v>2165</v>
      </c>
      <c r="F1371" t="s">
        <v>8</v>
      </c>
      <c r="G1371" t="s">
        <v>1530</v>
      </c>
      <c r="H1371" t="s">
        <v>223</v>
      </c>
      <c r="I1371" t="s">
        <v>171</v>
      </c>
      <c r="J1371" t="s">
        <v>223</v>
      </c>
      <c r="K1371" t="s">
        <v>854</v>
      </c>
      <c r="L1371" s="84">
        <v>42010</v>
      </c>
      <c r="M1371" t="s">
        <v>325</v>
      </c>
      <c r="N1371" t="s">
        <v>855</v>
      </c>
      <c r="O1371">
        <v>9</v>
      </c>
      <c r="P1371" t="s">
        <v>856</v>
      </c>
      <c r="Q1371" t="s">
        <v>857</v>
      </c>
      <c r="R1371" t="s">
        <v>858</v>
      </c>
      <c r="S1371" t="s">
        <v>859</v>
      </c>
      <c r="T1371" t="s">
        <v>31</v>
      </c>
      <c r="U1371" t="s">
        <v>85</v>
      </c>
      <c r="V1371">
        <v>77</v>
      </c>
      <c r="W1371">
        <v>83</v>
      </c>
      <c r="X1371">
        <v>123</v>
      </c>
      <c r="Y1371">
        <v>114</v>
      </c>
      <c r="Z1371">
        <v>196</v>
      </c>
      <c r="AA1371">
        <v>183</v>
      </c>
      <c r="AB1371" t="s">
        <v>1236</v>
      </c>
      <c r="AC1371" t="s">
        <v>237</v>
      </c>
      <c r="AD1371" t="s">
        <v>182</v>
      </c>
      <c r="AE1371" t="s">
        <v>183</v>
      </c>
      <c r="AF1371">
        <v>0</v>
      </c>
    </row>
    <row r="1372" spans="1:32">
      <c r="A1372">
        <v>417</v>
      </c>
      <c r="B1372">
        <v>950</v>
      </c>
      <c r="C1372" t="s">
        <v>852</v>
      </c>
      <c r="D1372" t="s">
        <v>1411</v>
      </c>
      <c r="E1372" t="s">
        <v>2165</v>
      </c>
      <c r="F1372" t="s">
        <v>7</v>
      </c>
      <c r="G1372" t="s">
        <v>1529</v>
      </c>
      <c r="H1372" t="s">
        <v>192</v>
      </c>
      <c r="I1372" t="s">
        <v>187</v>
      </c>
      <c r="J1372" t="s">
        <v>172</v>
      </c>
      <c r="K1372" t="s">
        <v>854</v>
      </c>
      <c r="L1372" s="84">
        <v>42010</v>
      </c>
      <c r="M1372" t="s">
        <v>325</v>
      </c>
      <c r="N1372" t="s">
        <v>855</v>
      </c>
      <c r="O1372">
        <v>9</v>
      </c>
      <c r="P1372" t="s">
        <v>856</v>
      </c>
      <c r="Q1372" t="s">
        <v>857</v>
      </c>
      <c r="R1372" t="s">
        <v>858</v>
      </c>
      <c r="S1372" t="s">
        <v>859</v>
      </c>
      <c r="T1372" t="s">
        <v>32</v>
      </c>
      <c r="U1372" t="s">
        <v>85</v>
      </c>
      <c r="V1372">
        <v>77</v>
      </c>
      <c r="W1372">
        <v>83</v>
      </c>
      <c r="X1372">
        <v>123</v>
      </c>
      <c r="Y1372">
        <v>114</v>
      </c>
      <c r="Z1372">
        <v>196</v>
      </c>
      <c r="AA1372">
        <v>183</v>
      </c>
      <c r="AB1372" t="s">
        <v>1236</v>
      </c>
      <c r="AC1372" t="s">
        <v>237</v>
      </c>
      <c r="AD1372" t="s">
        <v>182</v>
      </c>
      <c r="AE1372" t="s">
        <v>183</v>
      </c>
      <c r="AF1372">
        <v>0</v>
      </c>
    </row>
    <row r="1373" spans="1:32">
      <c r="A1373">
        <v>417</v>
      </c>
      <c r="B1373">
        <v>950</v>
      </c>
      <c r="C1373" t="s">
        <v>852</v>
      </c>
      <c r="D1373" t="s">
        <v>1411</v>
      </c>
      <c r="E1373" t="s">
        <v>2165</v>
      </c>
      <c r="F1373" t="s">
        <v>6</v>
      </c>
      <c r="G1373" t="s">
        <v>1531</v>
      </c>
      <c r="H1373" t="s">
        <v>237</v>
      </c>
      <c r="I1373" t="s">
        <v>212</v>
      </c>
      <c r="J1373" t="s">
        <v>329</v>
      </c>
      <c r="K1373" t="s">
        <v>854</v>
      </c>
      <c r="L1373" s="84">
        <v>42010</v>
      </c>
      <c r="M1373" t="s">
        <v>325</v>
      </c>
      <c r="N1373" t="s">
        <v>855</v>
      </c>
      <c r="O1373">
        <v>9</v>
      </c>
      <c r="P1373" t="s">
        <v>856</v>
      </c>
      <c r="Q1373" t="s">
        <v>857</v>
      </c>
      <c r="R1373" t="s">
        <v>858</v>
      </c>
      <c r="S1373" t="s">
        <v>859</v>
      </c>
      <c r="T1373" t="s">
        <v>34</v>
      </c>
      <c r="U1373" t="s">
        <v>85</v>
      </c>
      <c r="V1373">
        <v>77</v>
      </c>
      <c r="W1373">
        <v>83</v>
      </c>
      <c r="X1373">
        <v>123</v>
      </c>
      <c r="Y1373">
        <v>114</v>
      </c>
      <c r="Z1373">
        <v>196</v>
      </c>
      <c r="AA1373">
        <v>183</v>
      </c>
      <c r="AB1373" t="s">
        <v>1236</v>
      </c>
      <c r="AC1373" t="s">
        <v>237</v>
      </c>
      <c r="AD1373" t="s">
        <v>182</v>
      </c>
      <c r="AE1373" t="s">
        <v>183</v>
      </c>
      <c r="AF1373">
        <v>0</v>
      </c>
    </row>
    <row r="1374" spans="1:32">
      <c r="A1374">
        <v>418</v>
      </c>
      <c r="B1374">
        <v>921</v>
      </c>
      <c r="C1374" t="s">
        <v>863</v>
      </c>
      <c r="D1374" t="s">
        <v>1411</v>
      </c>
      <c r="E1374" t="s">
        <v>2165</v>
      </c>
      <c r="F1374" t="s">
        <v>6</v>
      </c>
      <c r="G1374" t="s">
        <v>1540</v>
      </c>
      <c r="H1374" t="s">
        <v>189</v>
      </c>
      <c r="I1374" t="s">
        <v>215</v>
      </c>
      <c r="J1374" t="s">
        <v>497</v>
      </c>
      <c r="K1374" t="s">
        <v>864</v>
      </c>
      <c r="L1374" s="84">
        <v>42133</v>
      </c>
      <c r="M1374" t="s">
        <v>325</v>
      </c>
      <c r="N1374" t="s">
        <v>865</v>
      </c>
      <c r="O1374">
        <v>9</v>
      </c>
      <c r="P1374" t="s">
        <v>866</v>
      </c>
      <c r="Q1374" t="s">
        <v>867</v>
      </c>
      <c r="R1374" t="s">
        <v>868</v>
      </c>
      <c r="S1374" t="s">
        <v>869</v>
      </c>
      <c r="T1374" t="s">
        <v>34</v>
      </c>
      <c r="U1374" t="s">
        <v>85</v>
      </c>
      <c r="V1374">
        <v>76</v>
      </c>
      <c r="W1374">
        <v>83</v>
      </c>
      <c r="X1374">
        <v>123</v>
      </c>
      <c r="Y1374">
        <v>113</v>
      </c>
      <c r="Z1374">
        <v>196</v>
      </c>
      <c r="AA1374">
        <v>184</v>
      </c>
      <c r="AB1374" t="s">
        <v>1069</v>
      </c>
      <c r="AC1374" t="s">
        <v>223</v>
      </c>
      <c r="AD1374" t="s">
        <v>609</v>
      </c>
      <c r="AE1374" t="s">
        <v>183</v>
      </c>
      <c r="AF1374">
        <v>0</v>
      </c>
    </row>
    <row r="1375" spans="1:32">
      <c r="A1375">
        <v>418</v>
      </c>
      <c r="B1375">
        <v>921</v>
      </c>
      <c r="C1375" t="s">
        <v>863</v>
      </c>
      <c r="D1375" t="s">
        <v>1411</v>
      </c>
      <c r="E1375" t="s">
        <v>2165</v>
      </c>
      <c r="F1375" t="s">
        <v>7</v>
      </c>
      <c r="G1375" t="s">
        <v>1542</v>
      </c>
      <c r="H1375" t="s">
        <v>217</v>
      </c>
      <c r="I1375" t="s">
        <v>217</v>
      </c>
      <c r="J1375" t="s">
        <v>257</v>
      </c>
      <c r="K1375" t="s">
        <v>864</v>
      </c>
      <c r="L1375" s="84">
        <v>42133</v>
      </c>
      <c r="M1375" t="s">
        <v>325</v>
      </c>
      <c r="N1375" t="s">
        <v>865</v>
      </c>
      <c r="O1375">
        <v>9</v>
      </c>
      <c r="P1375" t="s">
        <v>866</v>
      </c>
      <c r="Q1375" t="s">
        <v>867</v>
      </c>
      <c r="R1375" t="s">
        <v>868</v>
      </c>
      <c r="S1375" t="s">
        <v>869</v>
      </c>
      <c r="T1375" t="s">
        <v>32</v>
      </c>
      <c r="U1375" t="s">
        <v>85</v>
      </c>
      <c r="V1375">
        <v>76</v>
      </c>
      <c r="W1375">
        <v>83</v>
      </c>
      <c r="X1375">
        <v>123</v>
      </c>
      <c r="Y1375">
        <v>113</v>
      </c>
      <c r="Z1375">
        <v>196</v>
      </c>
      <c r="AA1375">
        <v>184</v>
      </c>
      <c r="AB1375" t="s">
        <v>1069</v>
      </c>
      <c r="AC1375" t="s">
        <v>223</v>
      </c>
      <c r="AD1375" t="s">
        <v>609</v>
      </c>
      <c r="AE1375" t="s">
        <v>183</v>
      </c>
      <c r="AF1375">
        <v>0</v>
      </c>
    </row>
    <row r="1376" spans="1:32">
      <c r="A1376">
        <v>418</v>
      </c>
      <c r="B1376">
        <v>921</v>
      </c>
      <c r="C1376" t="s">
        <v>863</v>
      </c>
      <c r="D1376" t="s">
        <v>1411</v>
      </c>
      <c r="E1376" t="s">
        <v>2165</v>
      </c>
      <c r="F1376" t="s">
        <v>8</v>
      </c>
      <c r="G1376" t="s">
        <v>1541</v>
      </c>
      <c r="H1376" t="s">
        <v>305</v>
      </c>
      <c r="I1376" t="s">
        <v>259</v>
      </c>
      <c r="J1376" t="s">
        <v>218</v>
      </c>
      <c r="K1376" t="s">
        <v>864</v>
      </c>
      <c r="L1376" s="84">
        <v>42133</v>
      </c>
      <c r="M1376" t="s">
        <v>325</v>
      </c>
      <c r="N1376" t="s">
        <v>865</v>
      </c>
      <c r="O1376">
        <v>9</v>
      </c>
      <c r="P1376" t="s">
        <v>866</v>
      </c>
      <c r="Q1376" t="s">
        <v>867</v>
      </c>
      <c r="R1376" t="s">
        <v>868</v>
      </c>
      <c r="S1376" t="s">
        <v>869</v>
      </c>
      <c r="T1376" t="s">
        <v>31</v>
      </c>
      <c r="U1376" t="s">
        <v>85</v>
      </c>
      <c r="V1376">
        <v>76</v>
      </c>
      <c r="W1376">
        <v>83</v>
      </c>
      <c r="X1376">
        <v>123</v>
      </c>
      <c r="Y1376">
        <v>113</v>
      </c>
      <c r="Z1376">
        <v>196</v>
      </c>
      <c r="AA1376">
        <v>184</v>
      </c>
      <c r="AB1376" t="s">
        <v>1069</v>
      </c>
      <c r="AC1376" t="s">
        <v>223</v>
      </c>
      <c r="AD1376" t="s">
        <v>609</v>
      </c>
      <c r="AE1376" t="s">
        <v>183</v>
      </c>
      <c r="AF1376">
        <v>0</v>
      </c>
    </row>
    <row r="1377" spans="1:32">
      <c r="A1377">
        <v>418</v>
      </c>
      <c r="B1377">
        <v>921</v>
      </c>
      <c r="C1377" t="s">
        <v>863</v>
      </c>
      <c r="D1377" t="s">
        <v>1411</v>
      </c>
      <c r="E1377" t="s">
        <v>2165</v>
      </c>
      <c r="F1377" t="s">
        <v>5</v>
      </c>
      <c r="G1377" t="s">
        <v>1539</v>
      </c>
      <c r="H1377" t="s">
        <v>217</v>
      </c>
      <c r="I1377" t="s">
        <v>259</v>
      </c>
      <c r="J1377" t="s">
        <v>215</v>
      </c>
      <c r="K1377" t="s">
        <v>864</v>
      </c>
      <c r="L1377" s="84">
        <v>42133</v>
      </c>
      <c r="M1377" t="s">
        <v>325</v>
      </c>
      <c r="N1377" t="s">
        <v>865</v>
      </c>
      <c r="O1377">
        <v>9</v>
      </c>
      <c r="P1377" t="s">
        <v>866</v>
      </c>
      <c r="Q1377" t="s">
        <v>867</v>
      </c>
      <c r="R1377" t="s">
        <v>868</v>
      </c>
      <c r="S1377" t="s">
        <v>869</v>
      </c>
      <c r="T1377" t="s">
        <v>33</v>
      </c>
      <c r="U1377" t="s">
        <v>85</v>
      </c>
      <c r="V1377">
        <v>76</v>
      </c>
      <c r="W1377">
        <v>83</v>
      </c>
      <c r="X1377">
        <v>123</v>
      </c>
      <c r="Y1377">
        <v>113</v>
      </c>
      <c r="Z1377">
        <v>196</v>
      </c>
      <c r="AA1377">
        <v>184</v>
      </c>
      <c r="AB1377" t="s">
        <v>1069</v>
      </c>
      <c r="AC1377" t="s">
        <v>223</v>
      </c>
      <c r="AD1377" t="s">
        <v>609</v>
      </c>
      <c r="AE1377" t="s">
        <v>183</v>
      </c>
      <c r="AF1377">
        <v>0</v>
      </c>
    </row>
    <row r="1378" spans="1:32">
      <c r="A1378">
        <v>418</v>
      </c>
      <c r="B1378">
        <v>921</v>
      </c>
      <c r="C1378" t="s">
        <v>863</v>
      </c>
      <c r="D1378" t="s">
        <v>1411</v>
      </c>
      <c r="E1378" t="s">
        <v>2165</v>
      </c>
      <c r="F1378" t="s">
        <v>197</v>
      </c>
      <c r="G1378" t="s">
        <v>1536</v>
      </c>
      <c r="H1378" t="s">
        <v>188</v>
      </c>
      <c r="I1378" t="s">
        <v>212</v>
      </c>
      <c r="J1378" t="s">
        <v>223</v>
      </c>
      <c r="K1378" t="s">
        <v>864</v>
      </c>
      <c r="L1378" s="84">
        <v>42133</v>
      </c>
      <c r="M1378" t="s">
        <v>325</v>
      </c>
      <c r="N1378" t="s">
        <v>865</v>
      </c>
      <c r="O1378">
        <v>9</v>
      </c>
      <c r="P1378" t="s">
        <v>866</v>
      </c>
      <c r="Q1378" t="s">
        <v>867</v>
      </c>
      <c r="R1378" t="s">
        <v>868</v>
      </c>
      <c r="S1378" t="s">
        <v>869</v>
      </c>
      <c r="T1378" t="s">
        <v>38</v>
      </c>
      <c r="U1378" t="s">
        <v>85</v>
      </c>
      <c r="V1378">
        <v>76</v>
      </c>
      <c r="W1378">
        <v>83</v>
      </c>
      <c r="X1378">
        <v>123</v>
      </c>
      <c r="Y1378">
        <v>113</v>
      </c>
      <c r="Z1378">
        <v>196</v>
      </c>
      <c r="AA1378">
        <v>184</v>
      </c>
      <c r="AB1378" t="s">
        <v>1069</v>
      </c>
      <c r="AC1378" t="s">
        <v>223</v>
      </c>
      <c r="AD1378" t="s">
        <v>609</v>
      </c>
      <c r="AE1378" t="s">
        <v>183</v>
      </c>
      <c r="AF1378">
        <v>0</v>
      </c>
    </row>
    <row r="1379" spans="1:32">
      <c r="A1379">
        <v>418</v>
      </c>
      <c r="B1379">
        <v>921</v>
      </c>
      <c r="C1379" t="s">
        <v>863</v>
      </c>
      <c r="D1379" t="s">
        <v>1411</v>
      </c>
      <c r="E1379" t="s">
        <v>2165</v>
      </c>
      <c r="F1379" t="s">
        <v>193</v>
      </c>
      <c r="G1379" t="s">
        <v>1538</v>
      </c>
      <c r="H1379" t="s">
        <v>192</v>
      </c>
      <c r="I1379" t="s">
        <v>212</v>
      </c>
      <c r="J1379" t="s">
        <v>212</v>
      </c>
      <c r="K1379" t="s">
        <v>864</v>
      </c>
      <c r="L1379" s="84">
        <v>42133</v>
      </c>
      <c r="M1379" t="s">
        <v>325</v>
      </c>
      <c r="N1379" t="s">
        <v>865</v>
      </c>
      <c r="O1379">
        <v>9</v>
      </c>
      <c r="P1379" t="s">
        <v>866</v>
      </c>
      <c r="Q1379" t="s">
        <v>867</v>
      </c>
      <c r="R1379" t="s">
        <v>868</v>
      </c>
      <c r="S1379" t="s">
        <v>869</v>
      </c>
      <c r="T1379" t="s">
        <v>36</v>
      </c>
      <c r="U1379" t="s">
        <v>85</v>
      </c>
      <c r="V1379">
        <v>76</v>
      </c>
      <c r="W1379">
        <v>83</v>
      </c>
      <c r="X1379">
        <v>123</v>
      </c>
      <c r="Y1379">
        <v>113</v>
      </c>
      <c r="Z1379">
        <v>196</v>
      </c>
      <c r="AA1379">
        <v>184</v>
      </c>
      <c r="AB1379" t="s">
        <v>1069</v>
      </c>
      <c r="AC1379" t="s">
        <v>223</v>
      </c>
      <c r="AD1379" t="s">
        <v>609</v>
      </c>
      <c r="AE1379" t="s">
        <v>183</v>
      </c>
      <c r="AF1379">
        <v>0</v>
      </c>
    </row>
    <row r="1380" spans="1:32">
      <c r="A1380">
        <v>418</v>
      </c>
      <c r="B1380">
        <v>921</v>
      </c>
      <c r="C1380" t="s">
        <v>863</v>
      </c>
      <c r="D1380" t="s">
        <v>1411</v>
      </c>
      <c r="E1380" t="s">
        <v>2165</v>
      </c>
      <c r="F1380" t="s">
        <v>37</v>
      </c>
      <c r="G1380" t="s">
        <v>1537</v>
      </c>
      <c r="H1380" t="s">
        <v>192</v>
      </c>
      <c r="I1380" t="s">
        <v>212</v>
      </c>
      <c r="J1380" t="s">
        <v>212</v>
      </c>
      <c r="K1380" t="s">
        <v>864</v>
      </c>
      <c r="L1380" s="84">
        <v>42133</v>
      </c>
      <c r="M1380" t="s">
        <v>325</v>
      </c>
      <c r="N1380" t="s">
        <v>865</v>
      </c>
      <c r="O1380">
        <v>9</v>
      </c>
      <c r="P1380" t="s">
        <v>866</v>
      </c>
      <c r="Q1380" t="s">
        <v>867</v>
      </c>
      <c r="R1380" t="s">
        <v>868</v>
      </c>
      <c r="S1380" t="s">
        <v>869</v>
      </c>
      <c r="T1380" t="s">
        <v>37</v>
      </c>
      <c r="U1380" t="s">
        <v>85</v>
      </c>
      <c r="V1380">
        <v>76</v>
      </c>
      <c r="W1380">
        <v>83</v>
      </c>
      <c r="X1380">
        <v>123</v>
      </c>
      <c r="Y1380">
        <v>113</v>
      </c>
      <c r="Z1380">
        <v>196</v>
      </c>
      <c r="AA1380">
        <v>184</v>
      </c>
      <c r="AB1380" t="s">
        <v>1069</v>
      </c>
      <c r="AC1380" t="s">
        <v>223</v>
      </c>
      <c r="AD1380" t="s">
        <v>609</v>
      </c>
      <c r="AE1380" t="s">
        <v>183</v>
      </c>
      <c r="AF1380">
        <v>0</v>
      </c>
    </row>
    <row r="1381" spans="1:32">
      <c r="A1381">
        <v>419</v>
      </c>
      <c r="B1381">
        <v>994</v>
      </c>
      <c r="C1381" t="s">
        <v>1164</v>
      </c>
      <c r="D1381" t="s">
        <v>1411</v>
      </c>
      <c r="E1381" t="s">
        <v>2165</v>
      </c>
      <c r="F1381" t="s">
        <v>37</v>
      </c>
      <c r="G1381" t="s">
        <v>1548</v>
      </c>
      <c r="H1381" t="s">
        <v>192</v>
      </c>
      <c r="I1381" t="s">
        <v>212</v>
      </c>
      <c r="J1381" t="s">
        <v>192</v>
      </c>
      <c r="K1381" t="s">
        <v>1166</v>
      </c>
      <c r="L1381" s="84">
        <v>41695</v>
      </c>
      <c r="M1381" t="s">
        <v>325</v>
      </c>
      <c r="N1381" t="s">
        <v>1167</v>
      </c>
      <c r="O1381">
        <v>3</v>
      </c>
      <c r="P1381" t="s">
        <v>1168</v>
      </c>
      <c r="Q1381" t="s">
        <v>1409</v>
      </c>
      <c r="R1381" t="s">
        <v>1169</v>
      </c>
      <c r="S1381" t="s">
        <v>1170</v>
      </c>
      <c r="T1381" t="s">
        <v>37</v>
      </c>
      <c r="U1381" t="s">
        <v>80</v>
      </c>
      <c r="V1381">
        <v>76</v>
      </c>
      <c r="W1381">
        <v>83</v>
      </c>
      <c r="X1381">
        <v>123</v>
      </c>
      <c r="Y1381">
        <v>112</v>
      </c>
      <c r="Z1381">
        <v>196</v>
      </c>
      <c r="AA1381">
        <v>182</v>
      </c>
      <c r="AB1381" t="s">
        <v>696</v>
      </c>
      <c r="AC1381" t="s">
        <v>191</v>
      </c>
      <c r="AD1381" t="s">
        <v>210</v>
      </c>
      <c r="AE1381" t="s">
        <v>183</v>
      </c>
      <c r="AF1381">
        <v>0</v>
      </c>
    </row>
    <row r="1382" spans="1:32">
      <c r="A1382">
        <v>419</v>
      </c>
      <c r="B1382">
        <v>994</v>
      </c>
      <c r="C1382" t="s">
        <v>1164</v>
      </c>
      <c r="D1382" t="s">
        <v>1411</v>
      </c>
      <c r="E1382" t="s">
        <v>2165</v>
      </c>
      <c r="F1382" t="s">
        <v>193</v>
      </c>
      <c r="G1382" t="s">
        <v>1547</v>
      </c>
      <c r="H1382" t="s">
        <v>192</v>
      </c>
      <c r="I1382" t="s">
        <v>212</v>
      </c>
      <c r="J1382" t="s">
        <v>192</v>
      </c>
      <c r="K1382" t="s">
        <v>1166</v>
      </c>
      <c r="L1382" s="84">
        <v>41695</v>
      </c>
      <c r="M1382" t="s">
        <v>325</v>
      </c>
      <c r="N1382" t="s">
        <v>1167</v>
      </c>
      <c r="O1382">
        <v>3</v>
      </c>
      <c r="P1382" t="s">
        <v>1168</v>
      </c>
      <c r="Q1382" t="s">
        <v>1409</v>
      </c>
      <c r="R1382" t="s">
        <v>1169</v>
      </c>
      <c r="S1382" t="s">
        <v>1170</v>
      </c>
      <c r="T1382" t="s">
        <v>36</v>
      </c>
      <c r="U1382" t="s">
        <v>80</v>
      </c>
      <c r="V1382">
        <v>76</v>
      </c>
      <c r="W1382">
        <v>83</v>
      </c>
      <c r="X1382">
        <v>123</v>
      </c>
      <c r="Y1382">
        <v>112</v>
      </c>
      <c r="Z1382">
        <v>196</v>
      </c>
      <c r="AA1382">
        <v>182</v>
      </c>
      <c r="AB1382" t="s">
        <v>696</v>
      </c>
      <c r="AC1382" t="s">
        <v>191</v>
      </c>
      <c r="AD1382" t="s">
        <v>210</v>
      </c>
      <c r="AE1382" t="s">
        <v>183</v>
      </c>
      <c r="AF1382">
        <v>0</v>
      </c>
    </row>
    <row r="1383" spans="1:32">
      <c r="A1383">
        <v>419</v>
      </c>
      <c r="B1383">
        <v>994</v>
      </c>
      <c r="C1383" t="s">
        <v>1164</v>
      </c>
      <c r="D1383" t="s">
        <v>1411</v>
      </c>
      <c r="E1383" t="s">
        <v>2165</v>
      </c>
      <c r="F1383" t="s">
        <v>197</v>
      </c>
      <c r="G1383" t="s">
        <v>1549</v>
      </c>
      <c r="H1383" t="s">
        <v>188</v>
      </c>
      <c r="I1383" t="s">
        <v>212</v>
      </c>
      <c r="J1383" t="s">
        <v>196</v>
      </c>
      <c r="K1383" t="s">
        <v>1166</v>
      </c>
      <c r="L1383" s="84">
        <v>41695</v>
      </c>
      <c r="M1383" t="s">
        <v>325</v>
      </c>
      <c r="N1383" t="s">
        <v>1167</v>
      </c>
      <c r="O1383">
        <v>3</v>
      </c>
      <c r="P1383" t="s">
        <v>1168</v>
      </c>
      <c r="Q1383" t="s">
        <v>1409</v>
      </c>
      <c r="R1383" t="s">
        <v>1169</v>
      </c>
      <c r="S1383" t="s">
        <v>1170</v>
      </c>
      <c r="T1383" t="s">
        <v>38</v>
      </c>
      <c r="U1383" t="s">
        <v>80</v>
      </c>
      <c r="V1383">
        <v>76</v>
      </c>
      <c r="W1383">
        <v>83</v>
      </c>
      <c r="X1383">
        <v>123</v>
      </c>
      <c r="Y1383">
        <v>112</v>
      </c>
      <c r="Z1383">
        <v>196</v>
      </c>
      <c r="AA1383">
        <v>182</v>
      </c>
      <c r="AB1383" t="s">
        <v>696</v>
      </c>
      <c r="AC1383" t="s">
        <v>191</v>
      </c>
      <c r="AD1383" t="s">
        <v>210</v>
      </c>
      <c r="AE1383" t="s">
        <v>183</v>
      </c>
      <c r="AF1383">
        <v>0</v>
      </c>
    </row>
    <row r="1384" spans="1:32">
      <c r="A1384">
        <v>419</v>
      </c>
      <c r="B1384">
        <v>994</v>
      </c>
      <c r="C1384" t="s">
        <v>1164</v>
      </c>
      <c r="D1384" t="s">
        <v>1411</v>
      </c>
      <c r="E1384" t="s">
        <v>2165</v>
      </c>
      <c r="F1384" t="s">
        <v>5</v>
      </c>
      <c r="G1384" t="s">
        <v>1546</v>
      </c>
      <c r="H1384" t="s">
        <v>223</v>
      </c>
      <c r="I1384" t="s">
        <v>223</v>
      </c>
      <c r="J1384" t="s">
        <v>228</v>
      </c>
      <c r="K1384" t="s">
        <v>1166</v>
      </c>
      <c r="L1384" s="84">
        <v>41695</v>
      </c>
      <c r="M1384" t="s">
        <v>325</v>
      </c>
      <c r="N1384" t="s">
        <v>1167</v>
      </c>
      <c r="O1384">
        <v>3</v>
      </c>
      <c r="P1384" t="s">
        <v>1168</v>
      </c>
      <c r="Q1384" t="s">
        <v>1409</v>
      </c>
      <c r="R1384" t="s">
        <v>1169</v>
      </c>
      <c r="S1384" t="s">
        <v>1170</v>
      </c>
      <c r="T1384" t="s">
        <v>33</v>
      </c>
      <c r="U1384" t="s">
        <v>80</v>
      </c>
      <c r="V1384">
        <v>76</v>
      </c>
      <c r="W1384">
        <v>83</v>
      </c>
      <c r="X1384">
        <v>123</v>
      </c>
      <c r="Y1384">
        <v>112</v>
      </c>
      <c r="Z1384">
        <v>196</v>
      </c>
      <c r="AA1384">
        <v>182</v>
      </c>
      <c r="AB1384" t="s">
        <v>696</v>
      </c>
      <c r="AC1384" t="s">
        <v>191</v>
      </c>
      <c r="AD1384" t="s">
        <v>210</v>
      </c>
      <c r="AE1384" t="s">
        <v>183</v>
      </c>
      <c r="AF1384">
        <v>0</v>
      </c>
    </row>
    <row r="1385" spans="1:32">
      <c r="A1385">
        <v>419</v>
      </c>
      <c r="B1385">
        <v>994</v>
      </c>
      <c r="C1385" t="s">
        <v>1164</v>
      </c>
      <c r="D1385" t="s">
        <v>1411</v>
      </c>
      <c r="E1385" t="s">
        <v>2165</v>
      </c>
      <c r="F1385" t="s">
        <v>8</v>
      </c>
      <c r="G1385" t="s">
        <v>1544</v>
      </c>
      <c r="H1385" t="s">
        <v>171</v>
      </c>
      <c r="I1385" t="s">
        <v>171</v>
      </c>
      <c r="J1385" t="s">
        <v>275</v>
      </c>
      <c r="K1385" t="s">
        <v>1166</v>
      </c>
      <c r="L1385" s="84">
        <v>41695</v>
      </c>
      <c r="M1385" t="s">
        <v>325</v>
      </c>
      <c r="N1385" t="s">
        <v>1167</v>
      </c>
      <c r="O1385">
        <v>3</v>
      </c>
      <c r="P1385" t="s">
        <v>1168</v>
      </c>
      <c r="Q1385" t="s">
        <v>1409</v>
      </c>
      <c r="R1385" t="s">
        <v>1169</v>
      </c>
      <c r="S1385" t="s">
        <v>1170</v>
      </c>
      <c r="T1385" t="s">
        <v>31</v>
      </c>
      <c r="U1385" t="s">
        <v>80</v>
      </c>
      <c r="V1385">
        <v>76</v>
      </c>
      <c r="W1385">
        <v>83</v>
      </c>
      <c r="X1385">
        <v>123</v>
      </c>
      <c r="Y1385">
        <v>112</v>
      </c>
      <c r="Z1385">
        <v>196</v>
      </c>
      <c r="AA1385">
        <v>182</v>
      </c>
      <c r="AB1385" t="s">
        <v>696</v>
      </c>
      <c r="AC1385" t="s">
        <v>191</v>
      </c>
      <c r="AD1385" t="s">
        <v>210</v>
      </c>
      <c r="AE1385" t="s">
        <v>183</v>
      </c>
      <c r="AF1385">
        <v>0</v>
      </c>
    </row>
    <row r="1386" spans="1:32">
      <c r="A1386">
        <v>419</v>
      </c>
      <c r="B1386">
        <v>994</v>
      </c>
      <c r="C1386" t="s">
        <v>1164</v>
      </c>
      <c r="D1386" t="s">
        <v>1411</v>
      </c>
      <c r="E1386" t="s">
        <v>2165</v>
      </c>
      <c r="F1386" t="s">
        <v>7</v>
      </c>
      <c r="G1386" t="s">
        <v>1543</v>
      </c>
      <c r="H1386" t="s">
        <v>221</v>
      </c>
      <c r="I1386" t="s">
        <v>228</v>
      </c>
      <c r="J1386" t="s">
        <v>173</v>
      </c>
      <c r="K1386" t="s">
        <v>1166</v>
      </c>
      <c r="L1386" s="84">
        <v>41695</v>
      </c>
      <c r="M1386" t="s">
        <v>325</v>
      </c>
      <c r="N1386" t="s">
        <v>1167</v>
      </c>
      <c r="O1386">
        <v>3</v>
      </c>
      <c r="P1386" t="s">
        <v>1168</v>
      </c>
      <c r="Q1386" t="s">
        <v>1409</v>
      </c>
      <c r="R1386" t="s">
        <v>1169</v>
      </c>
      <c r="S1386" t="s">
        <v>1170</v>
      </c>
      <c r="T1386" t="s">
        <v>32</v>
      </c>
      <c r="U1386" t="s">
        <v>80</v>
      </c>
      <c r="V1386">
        <v>76</v>
      </c>
      <c r="W1386">
        <v>83</v>
      </c>
      <c r="X1386">
        <v>123</v>
      </c>
      <c r="Y1386">
        <v>112</v>
      </c>
      <c r="Z1386">
        <v>196</v>
      </c>
      <c r="AA1386">
        <v>182</v>
      </c>
      <c r="AB1386" t="s">
        <v>696</v>
      </c>
      <c r="AC1386" t="s">
        <v>191</v>
      </c>
      <c r="AD1386" t="s">
        <v>210</v>
      </c>
      <c r="AE1386" t="s">
        <v>183</v>
      </c>
      <c r="AF1386">
        <v>0</v>
      </c>
    </row>
    <row r="1387" spans="1:32">
      <c r="A1387">
        <v>419</v>
      </c>
      <c r="B1387">
        <v>994</v>
      </c>
      <c r="C1387" t="s">
        <v>1164</v>
      </c>
      <c r="D1387" t="s">
        <v>1411</v>
      </c>
      <c r="E1387" t="s">
        <v>2165</v>
      </c>
      <c r="F1387" t="s">
        <v>6</v>
      </c>
      <c r="G1387" t="s">
        <v>1545</v>
      </c>
      <c r="H1387" t="s">
        <v>243</v>
      </c>
      <c r="I1387" t="s">
        <v>171</v>
      </c>
      <c r="J1387" t="s">
        <v>221</v>
      </c>
      <c r="K1387" t="s">
        <v>1166</v>
      </c>
      <c r="L1387" s="84">
        <v>41695</v>
      </c>
      <c r="M1387" t="s">
        <v>325</v>
      </c>
      <c r="N1387" t="s">
        <v>1167</v>
      </c>
      <c r="O1387">
        <v>3</v>
      </c>
      <c r="P1387" t="s">
        <v>1168</v>
      </c>
      <c r="Q1387" t="s">
        <v>1409</v>
      </c>
      <c r="R1387" t="s">
        <v>1169</v>
      </c>
      <c r="S1387" t="s">
        <v>1170</v>
      </c>
      <c r="T1387" t="s">
        <v>34</v>
      </c>
      <c r="U1387" t="s">
        <v>80</v>
      </c>
      <c r="V1387">
        <v>76</v>
      </c>
      <c r="W1387">
        <v>83</v>
      </c>
      <c r="X1387">
        <v>123</v>
      </c>
      <c r="Y1387">
        <v>112</v>
      </c>
      <c r="Z1387">
        <v>196</v>
      </c>
      <c r="AA1387">
        <v>182</v>
      </c>
      <c r="AB1387" t="s">
        <v>696</v>
      </c>
      <c r="AC1387" t="s">
        <v>191</v>
      </c>
      <c r="AD1387" t="s">
        <v>210</v>
      </c>
      <c r="AE1387" t="s">
        <v>183</v>
      </c>
      <c r="AF1387">
        <v>0</v>
      </c>
    </row>
    <row r="1388" spans="1:32">
      <c r="A1388">
        <v>420</v>
      </c>
      <c r="B1388">
        <v>840</v>
      </c>
      <c r="C1388" t="s">
        <v>886</v>
      </c>
      <c r="D1388" t="s">
        <v>1411</v>
      </c>
      <c r="E1388" t="s">
        <v>2165</v>
      </c>
      <c r="F1388" t="s">
        <v>6</v>
      </c>
      <c r="G1388" t="s">
        <v>1554</v>
      </c>
      <c r="H1388" t="s">
        <v>188</v>
      </c>
      <c r="I1388" t="s">
        <v>192</v>
      </c>
      <c r="J1388" t="s">
        <v>173</v>
      </c>
      <c r="K1388" t="s">
        <v>887</v>
      </c>
      <c r="L1388" s="84">
        <v>42391</v>
      </c>
      <c r="M1388" t="s">
        <v>175</v>
      </c>
      <c r="N1388" t="s">
        <v>888</v>
      </c>
      <c r="O1388">
        <v>3</v>
      </c>
      <c r="P1388" t="s">
        <v>889</v>
      </c>
      <c r="Q1388" t="s">
        <v>890</v>
      </c>
      <c r="R1388" t="s">
        <v>891</v>
      </c>
      <c r="S1388" t="s">
        <v>892</v>
      </c>
      <c r="T1388" t="s">
        <v>34</v>
      </c>
      <c r="U1388" t="s">
        <v>80</v>
      </c>
      <c r="V1388">
        <v>80</v>
      </c>
      <c r="W1388">
        <v>83</v>
      </c>
      <c r="X1388">
        <v>123</v>
      </c>
      <c r="Y1388">
        <v>120</v>
      </c>
      <c r="Z1388">
        <v>196</v>
      </c>
      <c r="AA1388">
        <v>193</v>
      </c>
      <c r="AB1388" t="s">
        <v>696</v>
      </c>
      <c r="AC1388" t="s">
        <v>226</v>
      </c>
      <c r="AD1388" t="s">
        <v>210</v>
      </c>
      <c r="AE1388" t="s">
        <v>183</v>
      </c>
      <c r="AF1388">
        <v>0</v>
      </c>
    </row>
    <row r="1389" spans="1:32">
      <c r="A1389">
        <v>420</v>
      </c>
      <c r="B1389">
        <v>840</v>
      </c>
      <c r="C1389" t="s">
        <v>886</v>
      </c>
      <c r="D1389" t="s">
        <v>1411</v>
      </c>
      <c r="E1389" t="s">
        <v>2165</v>
      </c>
      <c r="F1389" t="s">
        <v>7</v>
      </c>
      <c r="G1389" t="s">
        <v>1556</v>
      </c>
      <c r="H1389" t="s">
        <v>223</v>
      </c>
      <c r="I1389" t="s">
        <v>173</v>
      </c>
      <c r="J1389" t="s">
        <v>188</v>
      </c>
      <c r="K1389" t="s">
        <v>887</v>
      </c>
      <c r="L1389" s="84">
        <v>42391</v>
      </c>
      <c r="M1389" t="s">
        <v>175</v>
      </c>
      <c r="N1389" t="s">
        <v>888</v>
      </c>
      <c r="O1389">
        <v>3</v>
      </c>
      <c r="P1389" t="s">
        <v>889</v>
      </c>
      <c r="Q1389" t="s">
        <v>890</v>
      </c>
      <c r="R1389" t="s">
        <v>891</v>
      </c>
      <c r="S1389" t="s">
        <v>892</v>
      </c>
      <c r="T1389" t="s">
        <v>32</v>
      </c>
      <c r="U1389" t="s">
        <v>80</v>
      </c>
      <c r="V1389">
        <v>80</v>
      </c>
      <c r="W1389">
        <v>83</v>
      </c>
      <c r="X1389">
        <v>123</v>
      </c>
      <c r="Y1389">
        <v>120</v>
      </c>
      <c r="Z1389">
        <v>196</v>
      </c>
      <c r="AA1389">
        <v>193</v>
      </c>
      <c r="AB1389" t="s">
        <v>696</v>
      </c>
      <c r="AC1389" t="s">
        <v>226</v>
      </c>
      <c r="AD1389" t="s">
        <v>210</v>
      </c>
      <c r="AE1389" t="s">
        <v>183</v>
      </c>
      <c r="AF1389">
        <v>0</v>
      </c>
    </row>
    <row r="1390" spans="1:32">
      <c r="A1390">
        <v>420</v>
      </c>
      <c r="B1390">
        <v>840</v>
      </c>
      <c r="C1390" t="s">
        <v>886</v>
      </c>
      <c r="D1390" t="s">
        <v>1411</v>
      </c>
      <c r="E1390" t="s">
        <v>2165</v>
      </c>
      <c r="F1390" t="s">
        <v>8</v>
      </c>
      <c r="G1390" t="s">
        <v>1555</v>
      </c>
      <c r="H1390" t="s">
        <v>173</v>
      </c>
      <c r="I1390" t="s">
        <v>223</v>
      </c>
      <c r="J1390" t="s">
        <v>297</v>
      </c>
      <c r="K1390" t="s">
        <v>887</v>
      </c>
      <c r="L1390" s="84">
        <v>42391</v>
      </c>
      <c r="M1390" t="s">
        <v>175</v>
      </c>
      <c r="N1390" t="s">
        <v>888</v>
      </c>
      <c r="O1390">
        <v>3</v>
      </c>
      <c r="P1390" t="s">
        <v>889</v>
      </c>
      <c r="Q1390" t="s">
        <v>890</v>
      </c>
      <c r="R1390" t="s">
        <v>891</v>
      </c>
      <c r="S1390" t="s">
        <v>892</v>
      </c>
      <c r="T1390" t="s">
        <v>31</v>
      </c>
      <c r="U1390" t="s">
        <v>80</v>
      </c>
      <c r="V1390">
        <v>80</v>
      </c>
      <c r="W1390">
        <v>83</v>
      </c>
      <c r="X1390">
        <v>123</v>
      </c>
      <c r="Y1390">
        <v>120</v>
      </c>
      <c r="Z1390">
        <v>196</v>
      </c>
      <c r="AA1390">
        <v>193</v>
      </c>
      <c r="AB1390" t="s">
        <v>696</v>
      </c>
      <c r="AC1390" t="s">
        <v>226</v>
      </c>
      <c r="AD1390" t="s">
        <v>210</v>
      </c>
      <c r="AE1390" t="s">
        <v>183</v>
      </c>
      <c r="AF1390">
        <v>0</v>
      </c>
    </row>
    <row r="1391" spans="1:32">
      <c r="A1391">
        <v>420</v>
      </c>
      <c r="B1391">
        <v>840</v>
      </c>
      <c r="C1391" t="s">
        <v>886</v>
      </c>
      <c r="D1391" t="s">
        <v>1411</v>
      </c>
      <c r="E1391" t="s">
        <v>2165</v>
      </c>
      <c r="F1391" t="s">
        <v>5</v>
      </c>
      <c r="G1391" t="s">
        <v>1553</v>
      </c>
      <c r="H1391" t="s">
        <v>212</v>
      </c>
      <c r="I1391" t="s">
        <v>192</v>
      </c>
      <c r="J1391" t="s">
        <v>188</v>
      </c>
      <c r="K1391" t="s">
        <v>887</v>
      </c>
      <c r="L1391" s="84">
        <v>42391</v>
      </c>
      <c r="M1391" t="s">
        <v>175</v>
      </c>
      <c r="N1391" t="s">
        <v>888</v>
      </c>
      <c r="O1391">
        <v>3</v>
      </c>
      <c r="P1391" t="s">
        <v>889</v>
      </c>
      <c r="Q1391" t="s">
        <v>890</v>
      </c>
      <c r="R1391" t="s">
        <v>891</v>
      </c>
      <c r="S1391" t="s">
        <v>892</v>
      </c>
      <c r="T1391" t="s">
        <v>33</v>
      </c>
      <c r="U1391" t="s">
        <v>80</v>
      </c>
      <c r="V1391">
        <v>80</v>
      </c>
      <c r="W1391">
        <v>83</v>
      </c>
      <c r="X1391">
        <v>123</v>
      </c>
      <c r="Y1391">
        <v>120</v>
      </c>
      <c r="Z1391">
        <v>196</v>
      </c>
      <c r="AA1391">
        <v>193</v>
      </c>
      <c r="AB1391" t="s">
        <v>696</v>
      </c>
      <c r="AC1391" t="s">
        <v>226</v>
      </c>
      <c r="AD1391" t="s">
        <v>210</v>
      </c>
      <c r="AE1391" t="s">
        <v>183</v>
      </c>
      <c r="AF1391">
        <v>0</v>
      </c>
    </row>
    <row r="1392" spans="1:32">
      <c r="A1392">
        <v>420</v>
      </c>
      <c r="B1392">
        <v>840</v>
      </c>
      <c r="C1392" t="s">
        <v>886</v>
      </c>
      <c r="D1392" t="s">
        <v>1411</v>
      </c>
      <c r="E1392" t="s">
        <v>2165</v>
      </c>
      <c r="F1392" t="s">
        <v>197</v>
      </c>
      <c r="G1392" t="s">
        <v>1550</v>
      </c>
      <c r="H1392" t="s">
        <v>188</v>
      </c>
      <c r="I1392" t="s">
        <v>212</v>
      </c>
      <c r="J1392" t="s">
        <v>2725</v>
      </c>
      <c r="K1392" t="s">
        <v>887</v>
      </c>
      <c r="L1392" s="84">
        <v>42391</v>
      </c>
      <c r="M1392" t="s">
        <v>175</v>
      </c>
      <c r="N1392" t="s">
        <v>888</v>
      </c>
      <c r="O1392">
        <v>3</v>
      </c>
      <c r="P1392" t="s">
        <v>889</v>
      </c>
      <c r="Q1392" t="s">
        <v>890</v>
      </c>
      <c r="R1392" t="s">
        <v>891</v>
      </c>
      <c r="S1392" t="s">
        <v>892</v>
      </c>
      <c r="T1392" t="s">
        <v>38</v>
      </c>
      <c r="U1392" t="s">
        <v>80</v>
      </c>
      <c r="V1392">
        <v>80</v>
      </c>
      <c r="W1392">
        <v>83</v>
      </c>
      <c r="X1392">
        <v>123</v>
      </c>
      <c r="Y1392">
        <v>120</v>
      </c>
      <c r="Z1392">
        <v>196</v>
      </c>
      <c r="AA1392">
        <v>193</v>
      </c>
      <c r="AB1392" t="s">
        <v>696</v>
      </c>
      <c r="AC1392" t="s">
        <v>226</v>
      </c>
      <c r="AD1392" t="s">
        <v>210</v>
      </c>
      <c r="AE1392" t="s">
        <v>183</v>
      </c>
      <c r="AF1392">
        <v>0</v>
      </c>
    </row>
    <row r="1393" spans="1:32">
      <c r="A1393">
        <v>420</v>
      </c>
      <c r="B1393">
        <v>840</v>
      </c>
      <c r="C1393" t="s">
        <v>886</v>
      </c>
      <c r="D1393" t="s">
        <v>1411</v>
      </c>
      <c r="E1393" t="s">
        <v>2165</v>
      </c>
      <c r="F1393" t="s">
        <v>193</v>
      </c>
      <c r="G1393" t="s">
        <v>1552</v>
      </c>
      <c r="H1393" t="s">
        <v>192</v>
      </c>
      <c r="I1393" t="s">
        <v>212</v>
      </c>
      <c r="J1393" t="s">
        <v>212</v>
      </c>
      <c r="K1393" t="s">
        <v>887</v>
      </c>
      <c r="L1393" s="84">
        <v>42391</v>
      </c>
      <c r="M1393" t="s">
        <v>175</v>
      </c>
      <c r="N1393" t="s">
        <v>888</v>
      </c>
      <c r="O1393">
        <v>3</v>
      </c>
      <c r="P1393" t="s">
        <v>889</v>
      </c>
      <c r="Q1393" t="s">
        <v>890</v>
      </c>
      <c r="R1393" t="s">
        <v>891</v>
      </c>
      <c r="S1393" t="s">
        <v>892</v>
      </c>
      <c r="T1393" t="s">
        <v>36</v>
      </c>
      <c r="U1393" t="s">
        <v>80</v>
      </c>
      <c r="V1393">
        <v>80</v>
      </c>
      <c r="W1393">
        <v>83</v>
      </c>
      <c r="X1393">
        <v>123</v>
      </c>
      <c r="Y1393">
        <v>120</v>
      </c>
      <c r="Z1393">
        <v>196</v>
      </c>
      <c r="AA1393">
        <v>193</v>
      </c>
      <c r="AB1393" t="s">
        <v>696</v>
      </c>
      <c r="AC1393" t="s">
        <v>226</v>
      </c>
      <c r="AD1393" t="s">
        <v>210</v>
      </c>
      <c r="AE1393" t="s">
        <v>183</v>
      </c>
      <c r="AF1393">
        <v>0</v>
      </c>
    </row>
    <row r="1394" spans="1:32">
      <c r="A1394">
        <v>420</v>
      </c>
      <c r="B1394">
        <v>840</v>
      </c>
      <c r="C1394" t="s">
        <v>886</v>
      </c>
      <c r="D1394" t="s">
        <v>1411</v>
      </c>
      <c r="E1394" t="s">
        <v>2165</v>
      </c>
      <c r="F1394" t="s">
        <v>37</v>
      </c>
      <c r="G1394" t="s">
        <v>1551</v>
      </c>
      <c r="H1394" t="s">
        <v>192</v>
      </c>
      <c r="I1394" t="s">
        <v>212</v>
      </c>
      <c r="J1394" t="s">
        <v>212</v>
      </c>
      <c r="K1394" t="s">
        <v>887</v>
      </c>
      <c r="L1394" s="84">
        <v>42391</v>
      </c>
      <c r="M1394" t="s">
        <v>175</v>
      </c>
      <c r="N1394" t="s">
        <v>888</v>
      </c>
      <c r="O1394">
        <v>3</v>
      </c>
      <c r="P1394" t="s">
        <v>889</v>
      </c>
      <c r="Q1394" t="s">
        <v>890</v>
      </c>
      <c r="R1394" t="s">
        <v>891</v>
      </c>
      <c r="S1394" t="s">
        <v>892</v>
      </c>
      <c r="T1394" t="s">
        <v>37</v>
      </c>
      <c r="U1394" t="s">
        <v>80</v>
      </c>
      <c r="V1394">
        <v>80</v>
      </c>
      <c r="W1394">
        <v>83</v>
      </c>
      <c r="X1394">
        <v>123</v>
      </c>
      <c r="Y1394">
        <v>120</v>
      </c>
      <c r="Z1394">
        <v>196</v>
      </c>
      <c r="AA1394">
        <v>193</v>
      </c>
      <c r="AB1394" t="s">
        <v>696</v>
      </c>
      <c r="AC1394" t="s">
        <v>226</v>
      </c>
      <c r="AD1394" t="s">
        <v>210</v>
      </c>
      <c r="AE1394" t="s">
        <v>183</v>
      </c>
      <c r="AF1394">
        <v>0</v>
      </c>
    </row>
    <row r="1395" spans="1:32">
      <c r="A1395">
        <v>421</v>
      </c>
      <c r="B1395">
        <v>1212</v>
      </c>
      <c r="C1395" t="s">
        <v>2726</v>
      </c>
      <c r="D1395" t="s">
        <v>1411</v>
      </c>
      <c r="E1395" t="s">
        <v>2165</v>
      </c>
      <c r="F1395" t="s">
        <v>37</v>
      </c>
      <c r="G1395" t="s">
        <v>1562</v>
      </c>
      <c r="H1395" t="s">
        <v>192</v>
      </c>
      <c r="I1395" t="s">
        <v>212</v>
      </c>
      <c r="J1395" t="s">
        <v>192</v>
      </c>
      <c r="K1395" t="s">
        <v>2727</v>
      </c>
      <c r="L1395" s="84">
        <v>42661</v>
      </c>
      <c r="M1395" t="s">
        <v>381</v>
      </c>
      <c r="N1395" t="s">
        <v>2728</v>
      </c>
      <c r="O1395">
        <v>9</v>
      </c>
      <c r="P1395" t="s">
        <v>2729</v>
      </c>
      <c r="Q1395" t="s">
        <v>2730</v>
      </c>
      <c r="R1395" t="s">
        <v>2731</v>
      </c>
      <c r="S1395" t="s">
        <v>2732</v>
      </c>
      <c r="T1395" t="s">
        <v>37</v>
      </c>
      <c r="U1395" t="s">
        <v>85</v>
      </c>
      <c r="V1395">
        <v>58</v>
      </c>
      <c r="W1395">
        <v>83</v>
      </c>
      <c r="X1395">
        <v>123</v>
      </c>
      <c r="Y1395">
        <v>91</v>
      </c>
      <c r="Z1395">
        <v>196</v>
      </c>
      <c r="AA1395">
        <v>156</v>
      </c>
      <c r="AB1395" t="s">
        <v>1296</v>
      </c>
      <c r="AC1395" t="s">
        <v>171</v>
      </c>
      <c r="AD1395" t="s">
        <v>609</v>
      </c>
      <c r="AE1395" t="s">
        <v>183</v>
      </c>
      <c r="AF1395">
        <v>0</v>
      </c>
    </row>
    <row r="1396" spans="1:32">
      <c r="A1396">
        <v>421</v>
      </c>
      <c r="B1396">
        <v>1212</v>
      </c>
      <c r="C1396" t="s">
        <v>2726</v>
      </c>
      <c r="D1396" t="s">
        <v>1411</v>
      </c>
      <c r="E1396" t="s">
        <v>2165</v>
      </c>
      <c r="F1396" t="s">
        <v>193</v>
      </c>
      <c r="G1396" t="s">
        <v>1561</v>
      </c>
      <c r="H1396" t="s">
        <v>192</v>
      </c>
      <c r="I1396" t="s">
        <v>212</v>
      </c>
      <c r="J1396" t="s">
        <v>212</v>
      </c>
      <c r="K1396" t="s">
        <v>2727</v>
      </c>
      <c r="L1396" s="84">
        <v>42661</v>
      </c>
      <c r="M1396" t="s">
        <v>381</v>
      </c>
      <c r="N1396" t="s">
        <v>2728</v>
      </c>
      <c r="O1396">
        <v>9</v>
      </c>
      <c r="P1396" t="s">
        <v>2729</v>
      </c>
      <c r="Q1396" t="s">
        <v>2730</v>
      </c>
      <c r="R1396" t="s">
        <v>2731</v>
      </c>
      <c r="S1396" t="s">
        <v>2732</v>
      </c>
      <c r="T1396" t="s">
        <v>36</v>
      </c>
      <c r="U1396" t="s">
        <v>85</v>
      </c>
      <c r="V1396">
        <v>58</v>
      </c>
      <c r="W1396">
        <v>83</v>
      </c>
      <c r="X1396">
        <v>123</v>
      </c>
      <c r="Y1396">
        <v>91</v>
      </c>
      <c r="Z1396">
        <v>196</v>
      </c>
      <c r="AA1396">
        <v>156</v>
      </c>
      <c r="AB1396" t="s">
        <v>1296</v>
      </c>
      <c r="AC1396" t="s">
        <v>171</v>
      </c>
      <c r="AD1396" t="s">
        <v>609</v>
      </c>
      <c r="AE1396" t="s">
        <v>183</v>
      </c>
      <c r="AF1396">
        <v>0</v>
      </c>
    </row>
    <row r="1397" spans="1:32">
      <c r="A1397">
        <v>421</v>
      </c>
      <c r="B1397">
        <v>1212</v>
      </c>
      <c r="C1397" t="s">
        <v>2726</v>
      </c>
      <c r="D1397" t="s">
        <v>1411</v>
      </c>
      <c r="E1397" t="s">
        <v>2165</v>
      </c>
      <c r="F1397" t="s">
        <v>197</v>
      </c>
      <c r="G1397" t="s">
        <v>1563</v>
      </c>
      <c r="H1397" t="s">
        <v>188</v>
      </c>
      <c r="I1397" t="s">
        <v>212</v>
      </c>
      <c r="J1397" t="s">
        <v>2144</v>
      </c>
      <c r="K1397" t="s">
        <v>2727</v>
      </c>
      <c r="L1397" s="84">
        <v>42661</v>
      </c>
      <c r="M1397" t="s">
        <v>381</v>
      </c>
      <c r="N1397" t="s">
        <v>2728</v>
      </c>
      <c r="O1397">
        <v>9</v>
      </c>
      <c r="P1397" t="s">
        <v>2729</v>
      </c>
      <c r="Q1397" t="s">
        <v>2730</v>
      </c>
      <c r="R1397" t="s">
        <v>2731</v>
      </c>
      <c r="S1397" t="s">
        <v>2732</v>
      </c>
      <c r="T1397" t="s">
        <v>38</v>
      </c>
      <c r="U1397" t="s">
        <v>85</v>
      </c>
      <c r="V1397">
        <v>58</v>
      </c>
      <c r="W1397">
        <v>83</v>
      </c>
      <c r="X1397">
        <v>123</v>
      </c>
      <c r="Y1397">
        <v>91</v>
      </c>
      <c r="Z1397">
        <v>196</v>
      </c>
      <c r="AA1397">
        <v>156</v>
      </c>
      <c r="AB1397" t="s">
        <v>1296</v>
      </c>
      <c r="AC1397" t="s">
        <v>171</v>
      </c>
      <c r="AD1397" t="s">
        <v>609</v>
      </c>
      <c r="AE1397" t="s">
        <v>183</v>
      </c>
      <c r="AF1397">
        <v>0</v>
      </c>
    </row>
    <row r="1398" spans="1:32">
      <c r="A1398">
        <v>421</v>
      </c>
      <c r="B1398">
        <v>1212</v>
      </c>
      <c r="C1398" t="s">
        <v>2726</v>
      </c>
      <c r="D1398" t="s">
        <v>1411</v>
      </c>
      <c r="E1398" t="s">
        <v>2165</v>
      </c>
      <c r="F1398" t="s">
        <v>5</v>
      </c>
      <c r="G1398" t="s">
        <v>1560</v>
      </c>
      <c r="H1398" t="s">
        <v>173</v>
      </c>
      <c r="I1398" t="s">
        <v>324</v>
      </c>
      <c r="J1398" t="s">
        <v>415</v>
      </c>
      <c r="K1398" t="s">
        <v>2727</v>
      </c>
      <c r="L1398" s="84">
        <v>42661</v>
      </c>
      <c r="M1398" t="s">
        <v>381</v>
      </c>
      <c r="N1398" t="s">
        <v>2728</v>
      </c>
      <c r="O1398">
        <v>9</v>
      </c>
      <c r="P1398" t="s">
        <v>2729</v>
      </c>
      <c r="Q1398" t="s">
        <v>2730</v>
      </c>
      <c r="R1398" t="s">
        <v>2731</v>
      </c>
      <c r="S1398" t="s">
        <v>2732</v>
      </c>
      <c r="T1398" t="s">
        <v>33</v>
      </c>
      <c r="U1398" t="s">
        <v>85</v>
      </c>
      <c r="V1398">
        <v>58</v>
      </c>
      <c r="W1398">
        <v>83</v>
      </c>
      <c r="X1398">
        <v>123</v>
      </c>
      <c r="Y1398">
        <v>91</v>
      </c>
      <c r="Z1398">
        <v>196</v>
      </c>
      <c r="AA1398">
        <v>156</v>
      </c>
      <c r="AB1398" t="s">
        <v>1296</v>
      </c>
      <c r="AC1398" t="s">
        <v>171</v>
      </c>
      <c r="AD1398" t="s">
        <v>609</v>
      </c>
      <c r="AE1398" t="s">
        <v>183</v>
      </c>
      <c r="AF1398">
        <v>0</v>
      </c>
    </row>
    <row r="1399" spans="1:32">
      <c r="A1399">
        <v>421</v>
      </c>
      <c r="B1399">
        <v>1212</v>
      </c>
      <c r="C1399" t="s">
        <v>2726</v>
      </c>
      <c r="D1399" t="s">
        <v>1411</v>
      </c>
      <c r="E1399" t="s">
        <v>2165</v>
      </c>
      <c r="F1399" t="s">
        <v>8</v>
      </c>
      <c r="G1399" t="s">
        <v>1558</v>
      </c>
      <c r="H1399" t="s">
        <v>237</v>
      </c>
      <c r="I1399" t="s">
        <v>192</v>
      </c>
      <c r="J1399" t="s">
        <v>237</v>
      </c>
      <c r="K1399" t="s">
        <v>2727</v>
      </c>
      <c r="L1399" s="84">
        <v>42661</v>
      </c>
      <c r="M1399" t="s">
        <v>381</v>
      </c>
      <c r="N1399" t="s">
        <v>2728</v>
      </c>
      <c r="O1399">
        <v>9</v>
      </c>
      <c r="P1399" t="s">
        <v>2729</v>
      </c>
      <c r="Q1399" t="s">
        <v>2730</v>
      </c>
      <c r="R1399" t="s">
        <v>2731</v>
      </c>
      <c r="S1399" t="s">
        <v>2732</v>
      </c>
      <c r="T1399" t="s">
        <v>31</v>
      </c>
      <c r="U1399" t="s">
        <v>85</v>
      </c>
      <c r="V1399">
        <v>58</v>
      </c>
      <c r="W1399">
        <v>83</v>
      </c>
      <c r="X1399">
        <v>123</v>
      </c>
      <c r="Y1399">
        <v>91</v>
      </c>
      <c r="Z1399">
        <v>196</v>
      </c>
      <c r="AA1399">
        <v>156</v>
      </c>
      <c r="AB1399" t="s">
        <v>1296</v>
      </c>
      <c r="AC1399" t="s">
        <v>171</v>
      </c>
      <c r="AD1399" t="s">
        <v>609</v>
      </c>
      <c r="AE1399" t="s">
        <v>183</v>
      </c>
      <c r="AF1399">
        <v>0</v>
      </c>
    </row>
    <row r="1400" spans="1:32">
      <c r="A1400">
        <v>421</v>
      </c>
      <c r="B1400">
        <v>1212</v>
      </c>
      <c r="C1400" t="s">
        <v>2726</v>
      </c>
      <c r="D1400" t="s">
        <v>1411</v>
      </c>
      <c r="E1400" t="s">
        <v>2165</v>
      </c>
      <c r="F1400" t="s">
        <v>7</v>
      </c>
      <c r="G1400" t="s">
        <v>1557</v>
      </c>
      <c r="H1400" t="s">
        <v>237</v>
      </c>
      <c r="I1400" t="s">
        <v>181</v>
      </c>
      <c r="J1400" t="s">
        <v>415</v>
      </c>
      <c r="K1400" t="s">
        <v>2727</v>
      </c>
      <c r="L1400" s="84">
        <v>42661</v>
      </c>
      <c r="M1400" t="s">
        <v>381</v>
      </c>
      <c r="N1400" t="s">
        <v>2728</v>
      </c>
      <c r="O1400">
        <v>9</v>
      </c>
      <c r="P1400" t="s">
        <v>2729</v>
      </c>
      <c r="Q1400" t="s">
        <v>2730</v>
      </c>
      <c r="R1400" t="s">
        <v>2731</v>
      </c>
      <c r="S1400" t="s">
        <v>2732</v>
      </c>
      <c r="T1400" t="s">
        <v>32</v>
      </c>
      <c r="U1400" t="s">
        <v>85</v>
      </c>
      <c r="V1400">
        <v>58</v>
      </c>
      <c r="W1400">
        <v>83</v>
      </c>
      <c r="X1400">
        <v>123</v>
      </c>
      <c r="Y1400">
        <v>91</v>
      </c>
      <c r="Z1400">
        <v>196</v>
      </c>
      <c r="AA1400">
        <v>156</v>
      </c>
      <c r="AB1400" t="s">
        <v>1296</v>
      </c>
      <c r="AC1400" t="s">
        <v>171</v>
      </c>
      <c r="AD1400" t="s">
        <v>609</v>
      </c>
      <c r="AE1400" t="s">
        <v>183</v>
      </c>
      <c r="AF1400">
        <v>0</v>
      </c>
    </row>
    <row r="1401" spans="1:32">
      <c r="A1401">
        <v>421</v>
      </c>
      <c r="B1401">
        <v>1212</v>
      </c>
      <c r="C1401" t="s">
        <v>2726</v>
      </c>
      <c r="D1401" t="s">
        <v>1411</v>
      </c>
      <c r="E1401" t="s">
        <v>2165</v>
      </c>
      <c r="F1401" t="s">
        <v>6</v>
      </c>
      <c r="G1401" t="s">
        <v>1559</v>
      </c>
      <c r="H1401" t="s">
        <v>226</v>
      </c>
      <c r="I1401" t="s">
        <v>212</v>
      </c>
      <c r="J1401" t="s">
        <v>173</v>
      </c>
      <c r="K1401" t="s">
        <v>2727</v>
      </c>
      <c r="L1401" s="84">
        <v>42661</v>
      </c>
      <c r="M1401" t="s">
        <v>381</v>
      </c>
      <c r="N1401" t="s">
        <v>2728</v>
      </c>
      <c r="O1401">
        <v>9</v>
      </c>
      <c r="P1401" t="s">
        <v>2729</v>
      </c>
      <c r="Q1401" t="s">
        <v>2730</v>
      </c>
      <c r="R1401" t="s">
        <v>2731</v>
      </c>
      <c r="S1401" t="s">
        <v>2732</v>
      </c>
      <c r="T1401" t="s">
        <v>34</v>
      </c>
      <c r="U1401" t="s">
        <v>85</v>
      </c>
      <c r="V1401">
        <v>58</v>
      </c>
      <c r="W1401">
        <v>83</v>
      </c>
      <c r="X1401">
        <v>123</v>
      </c>
      <c r="Y1401">
        <v>91</v>
      </c>
      <c r="Z1401">
        <v>196</v>
      </c>
      <c r="AA1401">
        <v>156</v>
      </c>
      <c r="AB1401" t="s">
        <v>1296</v>
      </c>
      <c r="AC1401" t="s">
        <v>171</v>
      </c>
      <c r="AD1401" t="s">
        <v>609</v>
      </c>
      <c r="AE1401" t="s">
        <v>183</v>
      </c>
      <c r="AF1401">
        <v>0</v>
      </c>
    </row>
    <row r="1402" spans="1:32">
      <c r="A1402">
        <v>422</v>
      </c>
      <c r="B1402">
        <v>1216</v>
      </c>
      <c r="C1402" t="s">
        <v>2733</v>
      </c>
      <c r="D1402" t="s">
        <v>1411</v>
      </c>
      <c r="E1402" t="s">
        <v>2165</v>
      </c>
      <c r="F1402" t="s">
        <v>6</v>
      </c>
      <c r="G1402" t="s">
        <v>1568</v>
      </c>
      <c r="H1402" t="s">
        <v>324</v>
      </c>
      <c r="I1402" t="s">
        <v>462</v>
      </c>
      <c r="J1402" t="s">
        <v>914</v>
      </c>
      <c r="K1402" t="s">
        <v>2734</v>
      </c>
      <c r="L1402" s="84">
        <v>42289</v>
      </c>
      <c r="M1402" t="s">
        <v>381</v>
      </c>
      <c r="N1402" t="s">
        <v>2735</v>
      </c>
      <c r="O1402">
        <v>3</v>
      </c>
      <c r="P1402" t="s">
        <v>2736</v>
      </c>
      <c r="Q1402" t="s">
        <v>2737</v>
      </c>
      <c r="R1402" t="s">
        <v>2738</v>
      </c>
      <c r="S1402" t="s">
        <v>2739</v>
      </c>
      <c r="T1402" t="s">
        <v>34</v>
      </c>
      <c r="U1402" t="s">
        <v>80</v>
      </c>
      <c r="V1402">
        <v>54</v>
      </c>
      <c r="W1402">
        <v>83</v>
      </c>
      <c r="X1402">
        <v>123</v>
      </c>
      <c r="Y1402">
        <v>89</v>
      </c>
      <c r="Z1402">
        <v>196</v>
      </c>
      <c r="AA1402">
        <v>154</v>
      </c>
      <c r="AB1402" t="s">
        <v>1084</v>
      </c>
      <c r="AC1402" t="s">
        <v>256</v>
      </c>
      <c r="AD1402" t="s">
        <v>210</v>
      </c>
      <c r="AE1402" t="s">
        <v>183</v>
      </c>
      <c r="AF1402">
        <v>3</v>
      </c>
    </row>
    <row r="1403" spans="1:32">
      <c r="A1403">
        <v>422</v>
      </c>
      <c r="B1403">
        <v>1216</v>
      </c>
      <c r="C1403" t="s">
        <v>2733</v>
      </c>
      <c r="D1403" t="s">
        <v>1411</v>
      </c>
      <c r="E1403" t="s">
        <v>2165</v>
      </c>
      <c r="F1403" t="s">
        <v>7</v>
      </c>
      <c r="G1403" t="s">
        <v>1570</v>
      </c>
      <c r="H1403" t="s">
        <v>212</v>
      </c>
      <c r="I1403" t="s">
        <v>376</v>
      </c>
      <c r="J1403" t="s">
        <v>227</v>
      </c>
      <c r="K1403" t="s">
        <v>2734</v>
      </c>
      <c r="L1403" s="84">
        <v>42289</v>
      </c>
      <c r="M1403" t="s">
        <v>381</v>
      </c>
      <c r="N1403" t="s">
        <v>2735</v>
      </c>
      <c r="O1403">
        <v>3</v>
      </c>
      <c r="P1403" t="s">
        <v>2736</v>
      </c>
      <c r="Q1403" t="s">
        <v>2737</v>
      </c>
      <c r="R1403" t="s">
        <v>2738</v>
      </c>
      <c r="S1403" t="s">
        <v>2739</v>
      </c>
      <c r="T1403" t="s">
        <v>32</v>
      </c>
      <c r="U1403" t="s">
        <v>80</v>
      </c>
      <c r="V1403">
        <v>54</v>
      </c>
      <c r="W1403">
        <v>83</v>
      </c>
      <c r="X1403">
        <v>123</v>
      </c>
      <c r="Y1403">
        <v>89</v>
      </c>
      <c r="Z1403">
        <v>196</v>
      </c>
      <c r="AA1403">
        <v>154</v>
      </c>
      <c r="AB1403" t="s">
        <v>1084</v>
      </c>
      <c r="AC1403" t="s">
        <v>256</v>
      </c>
      <c r="AD1403" t="s">
        <v>210</v>
      </c>
      <c r="AE1403" t="s">
        <v>183</v>
      </c>
      <c r="AF1403">
        <v>3</v>
      </c>
    </row>
    <row r="1404" spans="1:32">
      <c r="A1404">
        <v>422</v>
      </c>
      <c r="B1404">
        <v>1216</v>
      </c>
      <c r="C1404" t="s">
        <v>2733</v>
      </c>
      <c r="D1404" t="s">
        <v>1411</v>
      </c>
      <c r="E1404" t="s">
        <v>2165</v>
      </c>
      <c r="F1404" t="s">
        <v>8</v>
      </c>
      <c r="G1404" t="s">
        <v>1569</v>
      </c>
      <c r="H1404" t="s">
        <v>407</v>
      </c>
      <c r="I1404" t="s">
        <v>186</v>
      </c>
      <c r="J1404" t="s">
        <v>172</v>
      </c>
      <c r="K1404" t="s">
        <v>2734</v>
      </c>
      <c r="L1404" s="84">
        <v>42289</v>
      </c>
      <c r="M1404" t="s">
        <v>381</v>
      </c>
      <c r="N1404" t="s">
        <v>2735</v>
      </c>
      <c r="O1404">
        <v>3</v>
      </c>
      <c r="P1404" t="s">
        <v>2736</v>
      </c>
      <c r="Q1404" t="s">
        <v>2737</v>
      </c>
      <c r="R1404" t="s">
        <v>2738</v>
      </c>
      <c r="S1404" t="s">
        <v>2739</v>
      </c>
      <c r="T1404" t="s">
        <v>31</v>
      </c>
      <c r="U1404" t="s">
        <v>80</v>
      </c>
      <c r="V1404">
        <v>54</v>
      </c>
      <c r="W1404">
        <v>83</v>
      </c>
      <c r="X1404">
        <v>123</v>
      </c>
      <c r="Y1404">
        <v>89</v>
      </c>
      <c r="Z1404">
        <v>196</v>
      </c>
      <c r="AA1404">
        <v>154</v>
      </c>
      <c r="AB1404" t="s">
        <v>1084</v>
      </c>
      <c r="AC1404" t="s">
        <v>256</v>
      </c>
      <c r="AD1404" t="s">
        <v>210</v>
      </c>
      <c r="AE1404" t="s">
        <v>183</v>
      </c>
      <c r="AF1404">
        <v>3</v>
      </c>
    </row>
    <row r="1405" spans="1:32">
      <c r="A1405">
        <v>422</v>
      </c>
      <c r="B1405">
        <v>1216</v>
      </c>
      <c r="C1405" t="s">
        <v>2733</v>
      </c>
      <c r="D1405" t="s">
        <v>1411</v>
      </c>
      <c r="E1405" t="s">
        <v>2165</v>
      </c>
      <c r="F1405" t="s">
        <v>5</v>
      </c>
      <c r="G1405" t="s">
        <v>1567</v>
      </c>
      <c r="H1405" t="s">
        <v>324</v>
      </c>
      <c r="I1405" t="s">
        <v>173</v>
      </c>
      <c r="J1405" t="s">
        <v>914</v>
      </c>
      <c r="K1405" t="s">
        <v>2734</v>
      </c>
      <c r="L1405" s="84">
        <v>42289</v>
      </c>
      <c r="M1405" t="s">
        <v>381</v>
      </c>
      <c r="N1405" t="s">
        <v>2735</v>
      </c>
      <c r="O1405">
        <v>3</v>
      </c>
      <c r="P1405" t="s">
        <v>2736</v>
      </c>
      <c r="Q1405" t="s">
        <v>2737</v>
      </c>
      <c r="R1405" t="s">
        <v>2738</v>
      </c>
      <c r="S1405" t="s">
        <v>2739</v>
      </c>
      <c r="T1405" t="s">
        <v>33</v>
      </c>
      <c r="U1405" t="s">
        <v>80</v>
      </c>
      <c r="V1405">
        <v>54</v>
      </c>
      <c r="W1405">
        <v>83</v>
      </c>
      <c r="X1405">
        <v>123</v>
      </c>
      <c r="Y1405">
        <v>89</v>
      </c>
      <c r="Z1405">
        <v>196</v>
      </c>
      <c r="AA1405">
        <v>154</v>
      </c>
      <c r="AB1405" t="s">
        <v>1084</v>
      </c>
      <c r="AC1405" t="s">
        <v>256</v>
      </c>
      <c r="AD1405" t="s">
        <v>210</v>
      </c>
      <c r="AE1405" t="s">
        <v>183</v>
      </c>
      <c r="AF1405">
        <v>3</v>
      </c>
    </row>
    <row r="1406" spans="1:32">
      <c r="A1406">
        <v>422</v>
      </c>
      <c r="B1406">
        <v>1216</v>
      </c>
      <c r="C1406" t="s">
        <v>2733</v>
      </c>
      <c r="D1406" t="s">
        <v>1411</v>
      </c>
      <c r="E1406" t="s">
        <v>2165</v>
      </c>
      <c r="F1406" t="s">
        <v>197</v>
      </c>
      <c r="G1406" t="s">
        <v>1564</v>
      </c>
      <c r="H1406" t="s">
        <v>188</v>
      </c>
      <c r="I1406" t="s">
        <v>212</v>
      </c>
      <c r="J1406" t="s">
        <v>245</v>
      </c>
      <c r="K1406" t="s">
        <v>2734</v>
      </c>
      <c r="L1406" s="84">
        <v>42289</v>
      </c>
      <c r="M1406" t="s">
        <v>381</v>
      </c>
      <c r="N1406" t="s">
        <v>2735</v>
      </c>
      <c r="O1406">
        <v>3</v>
      </c>
      <c r="P1406" t="s">
        <v>2736</v>
      </c>
      <c r="Q1406" t="s">
        <v>2737</v>
      </c>
      <c r="R1406" t="s">
        <v>2738</v>
      </c>
      <c r="S1406" t="s">
        <v>2739</v>
      </c>
      <c r="T1406" t="s">
        <v>38</v>
      </c>
      <c r="U1406" t="s">
        <v>80</v>
      </c>
      <c r="V1406">
        <v>54</v>
      </c>
      <c r="W1406">
        <v>83</v>
      </c>
      <c r="X1406">
        <v>123</v>
      </c>
      <c r="Y1406">
        <v>89</v>
      </c>
      <c r="Z1406">
        <v>196</v>
      </c>
      <c r="AA1406">
        <v>154</v>
      </c>
      <c r="AB1406" t="s">
        <v>1084</v>
      </c>
      <c r="AC1406" t="s">
        <v>256</v>
      </c>
      <c r="AD1406" t="s">
        <v>210</v>
      </c>
      <c r="AE1406" t="s">
        <v>183</v>
      </c>
      <c r="AF1406">
        <v>3</v>
      </c>
    </row>
    <row r="1407" spans="1:32">
      <c r="A1407">
        <v>422</v>
      </c>
      <c r="B1407">
        <v>1216</v>
      </c>
      <c r="C1407" t="s">
        <v>2733</v>
      </c>
      <c r="D1407" t="s">
        <v>1411</v>
      </c>
      <c r="E1407" t="s">
        <v>2165</v>
      </c>
      <c r="F1407" t="s">
        <v>193</v>
      </c>
      <c r="G1407" t="s">
        <v>1566</v>
      </c>
      <c r="H1407" t="s">
        <v>192</v>
      </c>
      <c r="I1407" t="s">
        <v>212</v>
      </c>
      <c r="J1407" t="s">
        <v>212</v>
      </c>
      <c r="K1407" t="s">
        <v>2734</v>
      </c>
      <c r="L1407" s="84">
        <v>42289</v>
      </c>
      <c r="M1407" t="s">
        <v>381</v>
      </c>
      <c r="N1407" t="s">
        <v>2735</v>
      </c>
      <c r="O1407">
        <v>3</v>
      </c>
      <c r="P1407" t="s">
        <v>2736</v>
      </c>
      <c r="Q1407" t="s">
        <v>2737</v>
      </c>
      <c r="R1407" t="s">
        <v>2738</v>
      </c>
      <c r="S1407" t="s">
        <v>2739</v>
      </c>
      <c r="T1407" t="s">
        <v>36</v>
      </c>
      <c r="U1407" t="s">
        <v>80</v>
      </c>
      <c r="V1407">
        <v>54</v>
      </c>
      <c r="W1407">
        <v>83</v>
      </c>
      <c r="X1407">
        <v>123</v>
      </c>
      <c r="Y1407">
        <v>89</v>
      </c>
      <c r="Z1407">
        <v>196</v>
      </c>
      <c r="AA1407">
        <v>154</v>
      </c>
      <c r="AB1407" t="s">
        <v>1084</v>
      </c>
      <c r="AC1407" t="s">
        <v>256</v>
      </c>
      <c r="AD1407" t="s">
        <v>210</v>
      </c>
      <c r="AE1407" t="s">
        <v>183</v>
      </c>
      <c r="AF1407">
        <v>3</v>
      </c>
    </row>
    <row r="1408" spans="1:32">
      <c r="A1408">
        <v>422</v>
      </c>
      <c r="B1408">
        <v>1216</v>
      </c>
      <c r="C1408" t="s">
        <v>2733</v>
      </c>
      <c r="D1408" t="s">
        <v>1411</v>
      </c>
      <c r="E1408" t="s">
        <v>2165</v>
      </c>
      <c r="F1408" t="s">
        <v>37</v>
      </c>
      <c r="G1408" t="s">
        <v>1565</v>
      </c>
      <c r="H1408" t="s">
        <v>192</v>
      </c>
      <c r="I1408" t="s">
        <v>212</v>
      </c>
      <c r="J1408" t="s">
        <v>212</v>
      </c>
      <c r="K1408" t="s">
        <v>2734</v>
      </c>
      <c r="L1408" s="84">
        <v>42289</v>
      </c>
      <c r="M1408" t="s">
        <v>381</v>
      </c>
      <c r="N1408" t="s">
        <v>2735</v>
      </c>
      <c r="O1408">
        <v>3</v>
      </c>
      <c r="P1408" t="s">
        <v>2736</v>
      </c>
      <c r="Q1408" t="s">
        <v>2737</v>
      </c>
      <c r="R1408" t="s">
        <v>2738</v>
      </c>
      <c r="S1408" t="s">
        <v>2739</v>
      </c>
      <c r="T1408" t="s">
        <v>37</v>
      </c>
      <c r="U1408" t="s">
        <v>80</v>
      </c>
      <c r="V1408">
        <v>54</v>
      </c>
      <c r="W1408">
        <v>83</v>
      </c>
      <c r="X1408">
        <v>123</v>
      </c>
      <c r="Y1408">
        <v>89</v>
      </c>
      <c r="Z1408">
        <v>196</v>
      </c>
      <c r="AA1408">
        <v>154</v>
      </c>
      <c r="AB1408" t="s">
        <v>1084</v>
      </c>
      <c r="AC1408" t="s">
        <v>256</v>
      </c>
      <c r="AD1408" t="s">
        <v>210</v>
      </c>
      <c r="AE1408" t="s">
        <v>183</v>
      </c>
      <c r="AF1408">
        <v>3</v>
      </c>
    </row>
    <row r="1409" spans="1:32">
      <c r="A1409">
        <v>423</v>
      </c>
      <c r="B1409">
        <v>818</v>
      </c>
      <c r="C1409" t="s">
        <v>897</v>
      </c>
      <c r="D1409" t="s">
        <v>1411</v>
      </c>
      <c r="E1409" t="s">
        <v>2165</v>
      </c>
      <c r="F1409" t="s">
        <v>37</v>
      </c>
      <c r="G1409" t="s">
        <v>1576</v>
      </c>
      <c r="H1409" t="s">
        <v>192</v>
      </c>
      <c r="I1409" t="s">
        <v>212</v>
      </c>
      <c r="J1409" t="s">
        <v>212</v>
      </c>
      <c r="K1409" t="s">
        <v>899</v>
      </c>
      <c r="L1409" s="84">
        <v>42304</v>
      </c>
      <c r="M1409" t="s">
        <v>381</v>
      </c>
      <c r="N1409" t="s">
        <v>900</v>
      </c>
      <c r="O1409">
        <v>3</v>
      </c>
      <c r="P1409" t="s">
        <v>901</v>
      </c>
      <c r="Q1409" t="s">
        <v>902</v>
      </c>
      <c r="R1409" t="s">
        <v>903</v>
      </c>
      <c r="S1409" t="s">
        <v>904</v>
      </c>
      <c r="T1409" t="s">
        <v>37</v>
      </c>
      <c r="U1409" t="s">
        <v>80</v>
      </c>
      <c r="V1409">
        <v>67</v>
      </c>
      <c r="W1409">
        <v>83</v>
      </c>
      <c r="X1409">
        <v>123</v>
      </c>
      <c r="Y1409">
        <v>94</v>
      </c>
      <c r="Z1409">
        <v>196</v>
      </c>
      <c r="AA1409">
        <v>157</v>
      </c>
      <c r="AB1409" t="s">
        <v>1069</v>
      </c>
      <c r="AC1409" t="s">
        <v>171</v>
      </c>
      <c r="AD1409" t="s">
        <v>210</v>
      </c>
      <c r="AE1409" t="s">
        <v>183</v>
      </c>
      <c r="AF1409">
        <v>4</v>
      </c>
    </row>
    <row r="1410" spans="1:32">
      <c r="A1410">
        <v>423</v>
      </c>
      <c r="B1410">
        <v>818</v>
      </c>
      <c r="C1410" t="s">
        <v>897</v>
      </c>
      <c r="D1410" t="s">
        <v>1411</v>
      </c>
      <c r="E1410" t="s">
        <v>2165</v>
      </c>
      <c r="F1410" t="s">
        <v>193</v>
      </c>
      <c r="G1410" t="s">
        <v>1575</v>
      </c>
      <c r="H1410" t="s">
        <v>192</v>
      </c>
      <c r="I1410" t="s">
        <v>212</v>
      </c>
      <c r="J1410" t="s">
        <v>212</v>
      </c>
      <c r="K1410" t="s">
        <v>899</v>
      </c>
      <c r="L1410" s="84">
        <v>42304</v>
      </c>
      <c r="M1410" t="s">
        <v>381</v>
      </c>
      <c r="N1410" t="s">
        <v>900</v>
      </c>
      <c r="O1410">
        <v>3</v>
      </c>
      <c r="P1410" t="s">
        <v>901</v>
      </c>
      <c r="Q1410" t="s">
        <v>902</v>
      </c>
      <c r="R1410" t="s">
        <v>903</v>
      </c>
      <c r="S1410" t="s">
        <v>904</v>
      </c>
      <c r="T1410" t="s">
        <v>36</v>
      </c>
      <c r="U1410" t="s">
        <v>80</v>
      </c>
      <c r="V1410">
        <v>67</v>
      </c>
      <c r="W1410">
        <v>83</v>
      </c>
      <c r="X1410">
        <v>123</v>
      </c>
      <c r="Y1410">
        <v>94</v>
      </c>
      <c r="Z1410">
        <v>196</v>
      </c>
      <c r="AA1410">
        <v>157</v>
      </c>
      <c r="AB1410" t="s">
        <v>1069</v>
      </c>
      <c r="AC1410" t="s">
        <v>171</v>
      </c>
      <c r="AD1410" t="s">
        <v>210</v>
      </c>
      <c r="AE1410" t="s">
        <v>183</v>
      </c>
      <c r="AF1410">
        <v>4</v>
      </c>
    </row>
    <row r="1411" spans="1:32">
      <c r="A1411">
        <v>423</v>
      </c>
      <c r="B1411">
        <v>818</v>
      </c>
      <c r="C1411" t="s">
        <v>897</v>
      </c>
      <c r="D1411" t="s">
        <v>1411</v>
      </c>
      <c r="E1411" t="s">
        <v>2165</v>
      </c>
      <c r="F1411" t="s">
        <v>197</v>
      </c>
      <c r="G1411" t="s">
        <v>1577</v>
      </c>
      <c r="H1411" t="s">
        <v>188</v>
      </c>
      <c r="I1411" t="s">
        <v>212</v>
      </c>
      <c r="J1411" t="s">
        <v>2144</v>
      </c>
      <c r="K1411" t="s">
        <v>899</v>
      </c>
      <c r="L1411" s="84">
        <v>42304</v>
      </c>
      <c r="M1411" t="s">
        <v>381</v>
      </c>
      <c r="N1411" t="s">
        <v>900</v>
      </c>
      <c r="O1411">
        <v>3</v>
      </c>
      <c r="P1411" t="s">
        <v>901</v>
      </c>
      <c r="Q1411" t="s">
        <v>902</v>
      </c>
      <c r="R1411" t="s">
        <v>903</v>
      </c>
      <c r="S1411" t="s">
        <v>904</v>
      </c>
      <c r="T1411" t="s">
        <v>38</v>
      </c>
      <c r="U1411" t="s">
        <v>80</v>
      </c>
      <c r="V1411">
        <v>67</v>
      </c>
      <c r="W1411">
        <v>83</v>
      </c>
      <c r="X1411">
        <v>123</v>
      </c>
      <c r="Y1411">
        <v>94</v>
      </c>
      <c r="Z1411">
        <v>196</v>
      </c>
      <c r="AA1411">
        <v>157</v>
      </c>
      <c r="AB1411" t="s">
        <v>1069</v>
      </c>
      <c r="AC1411" t="s">
        <v>171</v>
      </c>
      <c r="AD1411" t="s">
        <v>210</v>
      </c>
      <c r="AE1411" t="s">
        <v>183</v>
      </c>
      <c r="AF1411">
        <v>4</v>
      </c>
    </row>
    <row r="1412" spans="1:32">
      <c r="A1412">
        <v>423</v>
      </c>
      <c r="B1412">
        <v>818</v>
      </c>
      <c r="C1412" t="s">
        <v>897</v>
      </c>
      <c r="D1412" t="s">
        <v>1411</v>
      </c>
      <c r="E1412" t="s">
        <v>2165</v>
      </c>
      <c r="F1412" t="s">
        <v>5</v>
      </c>
      <c r="G1412" t="s">
        <v>1574</v>
      </c>
      <c r="H1412" t="s">
        <v>227</v>
      </c>
      <c r="I1412" t="s">
        <v>415</v>
      </c>
      <c r="J1412" t="s">
        <v>173</v>
      </c>
      <c r="K1412" t="s">
        <v>899</v>
      </c>
      <c r="L1412" s="84">
        <v>42304</v>
      </c>
      <c r="M1412" t="s">
        <v>381</v>
      </c>
      <c r="N1412" t="s">
        <v>900</v>
      </c>
      <c r="O1412">
        <v>3</v>
      </c>
      <c r="P1412" t="s">
        <v>901</v>
      </c>
      <c r="Q1412" t="s">
        <v>902</v>
      </c>
      <c r="R1412" t="s">
        <v>903</v>
      </c>
      <c r="S1412" t="s">
        <v>904</v>
      </c>
      <c r="T1412" t="s">
        <v>33</v>
      </c>
      <c r="U1412" t="s">
        <v>80</v>
      </c>
      <c r="V1412">
        <v>67</v>
      </c>
      <c r="W1412">
        <v>83</v>
      </c>
      <c r="X1412">
        <v>123</v>
      </c>
      <c r="Y1412">
        <v>94</v>
      </c>
      <c r="Z1412">
        <v>196</v>
      </c>
      <c r="AA1412">
        <v>157</v>
      </c>
      <c r="AB1412" t="s">
        <v>1069</v>
      </c>
      <c r="AC1412" t="s">
        <v>171</v>
      </c>
      <c r="AD1412" t="s">
        <v>210</v>
      </c>
      <c r="AE1412" t="s">
        <v>183</v>
      </c>
      <c r="AF1412">
        <v>4</v>
      </c>
    </row>
    <row r="1413" spans="1:32">
      <c r="A1413">
        <v>423</v>
      </c>
      <c r="B1413">
        <v>818</v>
      </c>
      <c r="C1413" t="s">
        <v>897</v>
      </c>
      <c r="D1413" t="s">
        <v>1411</v>
      </c>
      <c r="E1413" t="s">
        <v>2165</v>
      </c>
      <c r="F1413" t="s">
        <v>8</v>
      </c>
      <c r="G1413" t="s">
        <v>1572</v>
      </c>
      <c r="H1413" t="s">
        <v>914</v>
      </c>
      <c r="I1413" t="s">
        <v>227</v>
      </c>
      <c r="J1413" t="s">
        <v>415</v>
      </c>
      <c r="K1413" t="s">
        <v>899</v>
      </c>
      <c r="L1413" s="84">
        <v>42304</v>
      </c>
      <c r="M1413" t="s">
        <v>381</v>
      </c>
      <c r="N1413" t="s">
        <v>900</v>
      </c>
      <c r="O1413">
        <v>3</v>
      </c>
      <c r="P1413" t="s">
        <v>901</v>
      </c>
      <c r="Q1413" t="s">
        <v>902</v>
      </c>
      <c r="R1413" t="s">
        <v>903</v>
      </c>
      <c r="S1413" t="s">
        <v>904</v>
      </c>
      <c r="T1413" t="s">
        <v>31</v>
      </c>
      <c r="U1413" t="s">
        <v>80</v>
      </c>
      <c r="V1413">
        <v>67</v>
      </c>
      <c r="W1413">
        <v>83</v>
      </c>
      <c r="X1413">
        <v>123</v>
      </c>
      <c r="Y1413">
        <v>94</v>
      </c>
      <c r="Z1413">
        <v>196</v>
      </c>
      <c r="AA1413">
        <v>157</v>
      </c>
      <c r="AB1413" t="s">
        <v>1069</v>
      </c>
      <c r="AC1413" t="s">
        <v>171</v>
      </c>
      <c r="AD1413" t="s">
        <v>210</v>
      </c>
      <c r="AE1413" t="s">
        <v>183</v>
      </c>
      <c r="AF1413">
        <v>4</v>
      </c>
    </row>
    <row r="1414" spans="1:32">
      <c r="A1414">
        <v>423</v>
      </c>
      <c r="B1414">
        <v>818</v>
      </c>
      <c r="C1414" t="s">
        <v>897</v>
      </c>
      <c r="D1414" t="s">
        <v>1411</v>
      </c>
      <c r="E1414" t="s">
        <v>2165</v>
      </c>
      <c r="F1414" t="s">
        <v>7</v>
      </c>
      <c r="G1414" t="s">
        <v>1571</v>
      </c>
      <c r="H1414" t="s">
        <v>227</v>
      </c>
      <c r="I1414" t="s">
        <v>374</v>
      </c>
      <c r="J1414" t="s">
        <v>417</v>
      </c>
      <c r="K1414" t="s">
        <v>899</v>
      </c>
      <c r="L1414" s="84">
        <v>42304</v>
      </c>
      <c r="M1414" t="s">
        <v>381</v>
      </c>
      <c r="N1414" t="s">
        <v>900</v>
      </c>
      <c r="O1414">
        <v>3</v>
      </c>
      <c r="P1414" t="s">
        <v>901</v>
      </c>
      <c r="Q1414" t="s">
        <v>902</v>
      </c>
      <c r="R1414" t="s">
        <v>903</v>
      </c>
      <c r="S1414" t="s">
        <v>904</v>
      </c>
      <c r="T1414" t="s">
        <v>32</v>
      </c>
      <c r="U1414" t="s">
        <v>80</v>
      </c>
      <c r="V1414">
        <v>67</v>
      </c>
      <c r="W1414">
        <v>83</v>
      </c>
      <c r="X1414">
        <v>123</v>
      </c>
      <c r="Y1414">
        <v>94</v>
      </c>
      <c r="Z1414">
        <v>196</v>
      </c>
      <c r="AA1414">
        <v>157</v>
      </c>
      <c r="AB1414" t="s">
        <v>1069</v>
      </c>
      <c r="AC1414" t="s">
        <v>171</v>
      </c>
      <c r="AD1414" t="s">
        <v>210</v>
      </c>
      <c r="AE1414" t="s">
        <v>183</v>
      </c>
      <c r="AF1414">
        <v>4</v>
      </c>
    </row>
    <row r="1415" spans="1:32">
      <c r="A1415">
        <v>423</v>
      </c>
      <c r="B1415">
        <v>818</v>
      </c>
      <c r="C1415" t="s">
        <v>897</v>
      </c>
      <c r="D1415" t="s">
        <v>1411</v>
      </c>
      <c r="E1415" t="s">
        <v>2165</v>
      </c>
      <c r="F1415" t="s">
        <v>6</v>
      </c>
      <c r="G1415" t="s">
        <v>1573</v>
      </c>
      <c r="H1415" t="s">
        <v>376</v>
      </c>
      <c r="I1415" t="s">
        <v>462</v>
      </c>
      <c r="J1415" t="s">
        <v>407</v>
      </c>
      <c r="K1415" t="s">
        <v>899</v>
      </c>
      <c r="L1415" s="84">
        <v>42304</v>
      </c>
      <c r="M1415" t="s">
        <v>381</v>
      </c>
      <c r="N1415" t="s">
        <v>900</v>
      </c>
      <c r="O1415">
        <v>3</v>
      </c>
      <c r="P1415" t="s">
        <v>901</v>
      </c>
      <c r="Q1415" t="s">
        <v>902</v>
      </c>
      <c r="R1415" t="s">
        <v>903</v>
      </c>
      <c r="S1415" t="s">
        <v>904</v>
      </c>
      <c r="T1415" t="s">
        <v>34</v>
      </c>
      <c r="U1415" t="s">
        <v>80</v>
      </c>
      <c r="V1415">
        <v>67</v>
      </c>
      <c r="W1415">
        <v>83</v>
      </c>
      <c r="X1415">
        <v>123</v>
      </c>
      <c r="Y1415">
        <v>94</v>
      </c>
      <c r="Z1415">
        <v>196</v>
      </c>
      <c r="AA1415">
        <v>157</v>
      </c>
      <c r="AB1415" t="s">
        <v>1069</v>
      </c>
      <c r="AC1415" t="s">
        <v>171</v>
      </c>
      <c r="AD1415" t="s">
        <v>210</v>
      </c>
      <c r="AE1415" t="s">
        <v>183</v>
      </c>
      <c r="AF1415">
        <v>4</v>
      </c>
    </row>
    <row r="1416" spans="1:32">
      <c r="A1416">
        <v>424</v>
      </c>
      <c r="B1416">
        <v>689</v>
      </c>
      <c r="C1416" t="s">
        <v>1193</v>
      </c>
      <c r="D1416" t="s">
        <v>1411</v>
      </c>
      <c r="E1416" t="s">
        <v>2165</v>
      </c>
      <c r="F1416" t="s">
        <v>6</v>
      </c>
      <c r="G1416" t="s">
        <v>1582</v>
      </c>
      <c r="H1416" t="s">
        <v>223</v>
      </c>
      <c r="I1416" t="s">
        <v>188</v>
      </c>
      <c r="J1416" t="s">
        <v>415</v>
      </c>
      <c r="K1416" t="s">
        <v>1195</v>
      </c>
      <c r="L1416" s="84">
        <v>42339</v>
      </c>
      <c r="M1416" t="s">
        <v>381</v>
      </c>
      <c r="N1416" t="s">
        <v>604</v>
      </c>
      <c r="O1416">
        <v>2</v>
      </c>
      <c r="P1416" t="s">
        <v>1196</v>
      </c>
      <c r="Q1416" t="s">
        <v>1197</v>
      </c>
      <c r="R1416" t="s">
        <v>1198</v>
      </c>
      <c r="S1416" t="s">
        <v>1199</v>
      </c>
      <c r="T1416" t="s">
        <v>34</v>
      </c>
      <c r="U1416" t="s">
        <v>79</v>
      </c>
      <c r="V1416">
        <v>69</v>
      </c>
      <c r="W1416">
        <v>83</v>
      </c>
      <c r="X1416">
        <v>123</v>
      </c>
      <c r="Y1416">
        <v>101</v>
      </c>
      <c r="Z1416">
        <v>196</v>
      </c>
      <c r="AA1416">
        <v>166</v>
      </c>
      <c r="AB1416" t="s">
        <v>993</v>
      </c>
      <c r="AC1416" t="s">
        <v>236</v>
      </c>
      <c r="AD1416" t="s">
        <v>609</v>
      </c>
      <c r="AE1416" t="s">
        <v>183</v>
      </c>
      <c r="AF1416">
        <v>1</v>
      </c>
    </row>
    <row r="1417" spans="1:32">
      <c r="A1417">
        <v>424</v>
      </c>
      <c r="B1417">
        <v>689</v>
      </c>
      <c r="C1417" t="s">
        <v>1193</v>
      </c>
      <c r="D1417" t="s">
        <v>1411</v>
      </c>
      <c r="E1417" t="s">
        <v>2165</v>
      </c>
      <c r="F1417" t="s">
        <v>7</v>
      </c>
      <c r="G1417" t="s">
        <v>1584</v>
      </c>
      <c r="H1417" t="s">
        <v>2045</v>
      </c>
      <c r="I1417" t="s">
        <v>1054</v>
      </c>
      <c r="J1417" t="s">
        <v>417</v>
      </c>
      <c r="K1417" t="s">
        <v>1195</v>
      </c>
      <c r="L1417" s="84">
        <v>42339</v>
      </c>
      <c r="M1417" t="s">
        <v>381</v>
      </c>
      <c r="N1417" t="s">
        <v>604</v>
      </c>
      <c r="O1417">
        <v>2</v>
      </c>
      <c r="P1417" t="s">
        <v>1196</v>
      </c>
      <c r="Q1417" t="s">
        <v>1197</v>
      </c>
      <c r="R1417" t="s">
        <v>1198</v>
      </c>
      <c r="S1417" t="s">
        <v>1199</v>
      </c>
      <c r="T1417" t="s">
        <v>32</v>
      </c>
      <c r="U1417" t="s">
        <v>79</v>
      </c>
      <c r="V1417">
        <v>69</v>
      </c>
      <c r="W1417">
        <v>83</v>
      </c>
      <c r="X1417">
        <v>123</v>
      </c>
      <c r="Y1417">
        <v>101</v>
      </c>
      <c r="Z1417">
        <v>196</v>
      </c>
      <c r="AA1417">
        <v>166</v>
      </c>
      <c r="AB1417" t="s">
        <v>993</v>
      </c>
      <c r="AC1417" t="s">
        <v>236</v>
      </c>
      <c r="AD1417" t="s">
        <v>609</v>
      </c>
      <c r="AE1417" t="s">
        <v>2046</v>
      </c>
      <c r="AF1417">
        <v>1</v>
      </c>
    </row>
    <row r="1418" spans="1:32">
      <c r="A1418">
        <v>424</v>
      </c>
      <c r="B1418">
        <v>689</v>
      </c>
      <c r="C1418" t="s">
        <v>1193</v>
      </c>
      <c r="D1418" t="s">
        <v>1411</v>
      </c>
      <c r="E1418" t="s">
        <v>2165</v>
      </c>
      <c r="F1418" t="s">
        <v>8</v>
      </c>
      <c r="G1418" t="s">
        <v>1583</v>
      </c>
      <c r="H1418" t="s">
        <v>191</v>
      </c>
      <c r="I1418" t="s">
        <v>237</v>
      </c>
      <c r="J1418" t="s">
        <v>191</v>
      </c>
      <c r="K1418" t="s">
        <v>1195</v>
      </c>
      <c r="L1418" s="84">
        <v>42339</v>
      </c>
      <c r="M1418" t="s">
        <v>381</v>
      </c>
      <c r="N1418" t="s">
        <v>604</v>
      </c>
      <c r="O1418">
        <v>2</v>
      </c>
      <c r="P1418" t="s">
        <v>1196</v>
      </c>
      <c r="Q1418" t="s">
        <v>1197</v>
      </c>
      <c r="R1418" t="s">
        <v>1198</v>
      </c>
      <c r="S1418" t="s">
        <v>1199</v>
      </c>
      <c r="T1418" t="s">
        <v>31</v>
      </c>
      <c r="U1418" t="s">
        <v>79</v>
      </c>
      <c r="V1418">
        <v>69</v>
      </c>
      <c r="W1418">
        <v>83</v>
      </c>
      <c r="X1418">
        <v>123</v>
      </c>
      <c r="Y1418">
        <v>101</v>
      </c>
      <c r="Z1418">
        <v>196</v>
      </c>
      <c r="AA1418">
        <v>166</v>
      </c>
      <c r="AB1418" t="s">
        <v>993</v>
      </c>
      <c r="AC1418" t="s">
        <v>236</v>
      </c>
      <c r="AD1418" t="s">
        <v>609</v>
      </c>
      <c r="AE1418" t="s">
        <v>183</v>
      </c>
      <c r="AF1418">
        <v>1</v>
      </c>
    </row>
    <row r="1419" spans="1:32">
      <c r="A1419">
        <v>424</v>
      </c>
      <c r="B1419">
        <v>689</v>
      </c>
      <c r="C1419" t="s">
        <v>1193</v>
      </c>
      <c r="D1419" t="s">
        <v>1411</v>
      </c>
      <c r="E1419" t="s">
        <v>2165</v>
      </c>
      <c r="F1419" t="s">
        <v>5</v>
      </c>
      <c r="G1419" t="s">
        <v>1581</v>
      </c>
      <c r="H1419" t="s">
        <v>171</v>
      </c>
      <c r="I1419" t="s">
        <v>256</v>
      </c>
      <c r="J1419" t="s">
        <v>212</v>
      </c>
      <c r="K1419" t="s">
        <v>1195</v>
      </c>
      <c r="L1419" s="84">
        <v>42339</v>
      </c>
      <c r="M1419" t="s">
        <v>381</v>
      </c>
      <c r="N1419" t="s">
        <v>604</v>
      </c>
      <c r="O1419">
        <v>2</v>
      </c>
      <c r="P1419" t="s">
        <v>1196</v>
      </c>
      <c r="Q1419" t="s">
        <v>1197</v>
      </c>
      <c r="R1419" t="s">
        <v>1198</v>
      </c>
      <c r="S1419" t="s">
        <v>1199</v>
      </c>
      <c r="T1419" t="s">
        <v>33</v>
      </c>
      <c r="U1419" t="s">
        <v>79</v>
      </c>
      <c r="V1419">
        <v>69</v>
      </c>
      <c r="W1419">
        <v>83</v>
      </c>
      <c r="X1419">
        <v>123</v>
      </c>
      <c r="Y1419">
        <v>101</v>
      </c>
      <c r="Z1419">
        <v>196</v>
      </c>
      <c r="AA1419">
        <v>166</v>
      </c>
      <c r="AB1419" t="s">
        <v>993</v>
      </c>
      <c r="AC1419" t="s">
        <v>236</v>
      </c>
      <c r="AD1419" t="s">
        <v>609</v>
      </c>
      <c r="AE1419" t="s">
        <v>183</v>
      </c>
      <c r="AF1419">
        <v>1</v>
      </c>
    </row>
    <row r="1420" spans="1:32">
      <c r="A1420">
        <v>424</v>
      </c>
      <c r="B1420">
        <v>689</v>
      </c>
      <c r="C1420" t="s">
        <v>1193</v>
      </c>
      <c r="D1420" t="s">
        <v>1411</v>
      </c>
      <c r="E1420" t="s">
        <v>2165</v>
      </c>
      <c r="F1420" t="s">
        <v>197</v>
      </c>
      <c r="G1420" t="s">
        <v>1578</v>
      </c>
      <c r="H1420" t="s">
        <v>188</v>
      </c>
      <c r="I1420" t="s">
        <v>212</v>
      </c>
      <c r="J1420" t="s">
        <v>245</v>
      </c>
      <c r="K1420" t="s">
        <v>1195</v>
      </c>
      <c r="L1420" s="84">
        <v>42339</v>
      </c>
      <c r="M1420" t="s">
        <v>381</v>
      </c>
      <c r="N1420" t="s">
        <v>604</v>
      </c>
      <c r="O1420">
        <v>2</v>
      </c>
      <c r="P1420" t="s">
        <v>1196</v>
      </c>
      <c r="Q1420" t="s">
        <v>1197</v>
      </c>
      <c r="R1420" t="s">
        <v>1198</v>
      </c>
      <c r="S1420" t="s">
        <v>1199</v>
      </c>
      <c r="T1420" t="s">
        <v>38</v>
      </c>
      <c r="U1420" t="s">
        <v>79</v>
      </c>
      <c r="V1420">
        <v>69</v>
      </c>
      <c r="W1420">
        <v>83</v>
      </c>
      <c r="X1420">
        <v>123</v>
      </c>
      <c r="Y1420">
        <v>101</v>
      </c>
      <c r="Z1420">
        <v>196</v>
      </c>
      <c r="AA1420">
        <v>166</v>
      </c>
      <c r="AB1420" t="s">
        <v>993</v>
      </c>
      <c r="AC1420" t="s">
        <v>236</v>
      </c>
      <c r="AD1420" t="s">
        <v>609</v>
      </c>
      <c r="AE1420" t="s">
        <v>183</v>
      </c>
      <c r="AF1420">
        <v>1</v>
      </c>
    </row>
    <row r="1421" spans="1:32">
      <c r="A1421">
        <v>424</v>
      </c>
      <c r="B1421">
        <v>689</v>
      </c>
      <c r="C1421" t="s">
        <v>1193</v>
      </c>
      <c r="D1421" t="s">
        <v>1411</v>
      </c>
      <c r="E1421" t="s">
        <v>2165</v>
      </c>
      <c r="F1421" t="s">
        <v>193</v>
      </c>
      <c r="G1421" t="s">
        <v>1580</v>
      </c>
      <c r="H1421" t="s">
        <v>192</v>
      </c>
      <c r="I1421" t="s">
        <v>212</v>
      </c>
      <c r="J1421" t="s">
        <v>192</v>
      </c>
      <c r="K1421" t="s">
        <v>1195</v>
      </c>
      <c r="L1421" s="84">
        <v>42339</v>
      </c>
      <c r="M1421" t="s">
        <v>381</v>
      </c>
      <c r="N1421" t="s">
        <v>604</v>
      </c>
      <c r="O1421">
        <v>2</v>
      </c>
      <c r="P1421" t="s">
        <v>1196</v>
      </c>
      <c r="Q1421" t="s">
        <v>1197</v>
      </c>
      <c r="R1421" t="s">
        <v>1198</v>
      </c>
      <c r="S1421" t="s">
        <v>1199</v>
      </c>
      <c r="T1421" t="s">
        <v>36</v>
      </c>
      <c r="U1421" t="s">
        <v>79</v>
      </c>
      <c r="V1421">
        <v>69</v>
      </c>
      <c r="W1421">
        <v>83</v>
      </c>
      <c r="X1421">
        <v>123</v>
      </c>
      <c r="Y1421">
        <v>101</v>
      </c>
      <c r="Z1421">
        <v>196</v>
      </c>
      <c r="AA1421">
        <v>166</v>
      </c>
      <c r="AB1421" t="s">
        <v>993</v>
      </c>
      <c r="AC1421" t="s">
        <v>236</v>
      </c>
      <c r="AD1421" t="s">
        <v>609</v>
      </c>
      <c r="AE1421" t="s">
        <v>183</v>
      </c>
      <c r="AF1421">
        <v>1</v>
      </c>
    </row>
    <row r="1422" spans="1:32">
      <c r="A1422">
        <v>424</v>
      </c>
      <c r="B1422">
        <v>689</v>
      </c>
      <c r="C1422" t="s">
        <v>1193</v>
      </c>
      <c r="D1422" t="s">
        <v>1411</v>
      </c>
      <c r="E1422" t="s">
        <v>2165</v>
      </c>
      <c r="F1422" t="s">
        <v>37</v>
      </c>
      <c r="G1422" t="s">
        <v>1579</v>
      </c>
      <c r="H1422" t="s">
        <v>192</v>
      </c>
      <c r="I1422" t="s">
        <v>212</v>
      </c>
      <c r="J1422" t="s">
        <v>192</v>
      </c>
      <c r="K1422" t="s">
        <v>1195</v>
      </c>
      <c r="L1422" s="84">
        <v>42339</v>
      </c>
      <c r="M1422" t="s">
        <v>381</v>
      </c>
      <c r="N1422" t="s">
        <v>604</v>
      </c>
      <c r="O1422">
        <v>2</v>
      </c>
      <c r="P1422" t="s">
        <v>1196</v>
      </c>
      <c r="Q1422" t="s">
        <v>1197</v>
      </c>
      <c r="R1422" t="s">
        <v>1198</v>
      </c>
      <c r="S1422" t="s">
        <v>1199</v>
      </c>
      <c r="T1422" t="s">
        <v>37</v>
      </c>
      <c r="U1422" t="s">
        <v>79</v>
      </c>
      <c r="V1422">
        <v>69</v>
      </c>
      <c r="W1422">
        <v>83</v>
      </c>
      <c r="X1422">
        <v>123</v>
      </c>
      <c r="Y1422">
        <v>101</v>
      </c>
      <c r="Z1422">
        <v>196</v>
      </c>
      <c r="AA1422">
        <v>166</v>
      </c>
      <c r="AB1422" t="s">
        <v>993</v>
      </c>
      <c r="AC1422" t="s">
        <v>236</v>
      </c>
      <c r="AD1422" t="s">
        <v>609</v>
      </c>
      <c r="AE1422" t="s">
        <v>183</v>
      </c>
      <c r="AF1422">
        <v>1</v>
      </c>
    </row>
    <row r="1423" spans="1:32">
      <c r="A1423">
        <v>425</v>
      </c>
      <c r="B1423">
        <v>806</v>
      </c>
      <c r="C1423" t="s">
        <v>927</v>
      </c>
      <c r="D1423" t="s">
        <v>1411</v>
      </c>
      <c r="E1423" t="s">
        <v>2165</v>
      </c>
      <c r="F1423" t="s">
        <v>37</v>
      </c>
      <c r="G1423" t="s">
        <v>1590</v>
      </c>
      <c r="H1423" t="s">
        <v>192</v>
      </c>
      <c r="I1423" t="s">
        <v>212</v>
      </c>
      <c r="J1423" t="s">
        <v>192</v>
      </c>
      <c r="K1423" t="s">
        <v>928</v>
      </c>
      <c r="L1423" s="84">
        <v>42303</v>
      </c>
      <c r="M1423" t="s">
        <v>325</v>
      </c>
      <c r="N1423" t="s">
        <v>929</v>
      </c>
      <c r="O1423">
        <v>2</v>
      </c>
      <c r="P1423" t="s">
        <v>930</v>
      </c>
      <c r="Q1423" t="s">
        <v>2069</v>
      </c>
      <c r="R1423" t="s">
        <v>931</v>
      </c>
      <c r="S1423" t="s">
        <v>932</v>
      </c>
      <c r="T1423" t="s">
        <v>37</v>
      </c>
      <c r="U1423" t="s">
        <v>79</v>
      </c>
      <c r="V1423">
        <v>76</v>
      </c>
      <c r="W1423">
        <v>83</v>
      </c>
      <c r="X1423">
        <v>123</v>
      </c>
      <c r="Y1423">
        <v>112</v>
      </c>
      <c r="Z1423">
        <v>196</v>
      </c>
      <c r="AA1423">
        <v>183</v>
      </c>
      <c r="AB1423" t="s">
        <v>1296</v>
      </c>
      <c r="AC1423" t="s">
        <v>192</v>
      </c>
      <c r="AD1423" t="s">
        <v>609</v>
      </c>
      <c r="AE1423" t="s">
        <v>183</v>
      </c>
      <c r="AF1423">
        <v>0</v>
      </c>
    </row>
    <row r="1424" spans="1:32">
      <c r="A1424">
        <v>425</v>
      </c>
      <c r="B1424">
        <v>806</v>
      </c>
      <c r="C1424" t="s">
        <v>927</v>
      </c>
      <c r="D1424" t="s">
        <v>1411</v>
      </c>
      <c r="E1424" t="s">
        <v>2165</v>
      </c>
      <c r="F1424" t="s">
        <v>193</v>
      </c>
      <c r="G1424" t="s">
        <v>1589</v>
      </c>
      <c r="H1424" t="s">
        <v>192</v>
      </c>
      <c r="I1424" t="s">
        <v>212</v>
      </c>
      <c r="J1424" t="s">
        <v>212</v>
      </c>
      <c r="K1424" t="s">
        <v>928</v>
      </c>
      <c r="L1424" s="84">
        <v>42303</v>
      </c>
      <c r="M1424" t="s">
        <v>325</v>
      </c>
      <c r="N1424" t="s">
        <v>929</v>
      </c>
      <c r="O1424">
        <v>2</v>
      </c>
      <c r="P1424" t="s">
        <v>930</v>
      </c>
      <c r="Q1424" t="s">
        <v>2069</v>
      </c>
      <c r="R1424" t="s">
        <v>931</v>
      </c>
      <c r="S1424" t="s">
        <v>932</v>
      </c>
      <c r="T1424" t="s">
        <v>36</v>
      </c>
      <c r="U1424" t="s">
        <v>79</v>
      </c>
      <c r="V1424">
        <v>76</v>
      </c>
      <c r="W1424">
        <v>83</v>
      </c>
      <c r="X1424">
        <v>123</v>
      </c>
      <c r="Y1424">
        <v>112</v>
      </c>
      <c r="Z1424">
        <v>196</v>
      </c>
      <c r="AA1424">
        <v>183</v>
      </c>
      <c r="AB1424" t="s">
        <v>1296</v>
      </c>
      <c r="AC1424" t="s">
        <v>192</v>
      </c>
      <c r="AD1424" t="s">
        <v>609</v>
      </c>
      <c r="AE1424" t="s">
        <v>183</v>
      </c>
      <c r="AF1424">
        <v>0</v>
      </c>
    </row>
    <row r="1425" spans="1:32">
      <c r="A1425">
        <v>425</v>
      </c>
      <c r="B1425">
        <v>806</v>
      </c>
      <c r="C1425" t="s">
        <v>927</v>
      </c>
      <c r="D1425" t="s">
        <v>1411</v>
      </c>
      <c r="E1425" t="s">
        <v>2165</v>
      </c>
      <c r="F1425" t="s">
        <v>197</v>
      </c>
      <c r="G1425" t="s">
        <v>1591</v>
      </c>
      <c r="H1425" t="s">
        <v>188</v>
      </c>
      <c r="I1425" t="s">
        <v>212</v>
      </c>
      <c r="J1425" t="s">
        <v>2144</v>
      </c>
      <c r="K1425" t="s">
        <v>928</v>
      </c>
      <c r="L1425" s="84">
        <v>42303</v>
      </c>
      <c r="M1425" t="s">
        <v>325</v>
      </c>
      <c r="N1425" t="s">
        <v>929</v>
      </c>
      <c r="O1425">
        <v>2</v>
      </c>
      <c r="P1425" t="s">
        <v>930</v>
      </c>
      <c r="Q1425" t="s">
        <v>2069</v>
      </c>
      <c r="R1425" t="s">
        <v>931</v>
      </c>
      <c r="S1425" t="s">
        <v>932</v>
      </c>
      <c r="T1425" t="s">
        <v>38</v>
      </c>
      <c r="U1425" t="s">
        <v>79</v>
      </c>
      <c r="V1425">
        <v>76</v>
      </c>
      <c r="W1425">
        <v>83</v>
      </c>
      <c r="X1425">
        <v>123</v>
      </c>
      <c r="Y1425">
        <v>112</v>
      </c>
      <c r="Z1425">
        <v>196</v>
      </c>
      <c r="AA1425">
        <v>183</v>
      </c>
      <c r="AB1425" t="s">
        <v>1296</v>
      </c>
      <c r="AC1425" t="s">
        <v>192</v>
      </c>
      <c r="AD1425" t="s">
        <v>609</v>
      </c>
      <c r="AE1425" t="s">
        <v>183</v>
      </c>
      <c r="AF1425">
        <v>0</v>
      </c>
    </row>
    <row r="1426" spans="1:32">
      <c r="A1426">
        <v>425</v>
      </c>
      <c r="B1426">
        <v>806</v>
      </c>
      <c r="C1426" t="s">
        <v>927</v>
      </c>
      <c r="D1426" t="s">
        <v>1411</v>
      </c>
      <c r="E1426" t="s">
        <v>2165</v>
      </c>
      <c r="F1426" t="s">
        <v>5</v>
      </c>
      <c r="G1426" t="s">
        <v>1588</v>
      </c>
      <c r="H1426" t="s">
        <v>239</v>
      </c>
      <c r="I1426" t="s">
        <v>173</v>
      </c>
      <c r="J1426" t="s">
        <v>221</v>
      </c>
      <c r="K1426" t="s">
        <v>928</v>
      </c>
      <c r="L1426" s="84">
        <v>42303</v>
      </c>
      <c r="M1426" t="s">
        <v>325</v>
      </c>
      <c r="N1426" t="s">
        <v>929</v>
      </c>
      <c r="O1426">
        <v>2</v>
      </c>
      <c r="P1426" t="s">
        <v>930</v>
      </c>
      <c r="Q1426" t="s">
        <v>2069</v>
      </c>
      <c r="R1426" t="s">
        <v>931</v>
      </c>
      <c r="S1426" t="s">
        <v>932</v>
      </c>
      <c r="T1426" t="s">
        <v>33</v>
      </c>
      <c r="U1426" t="s">
        <v>79</v>
      </c>
      <c r="V1426">
        <v>76</v>
      </c>
      <c r="W1426">
        <v>83</v>
      </c>
      <c r="X1426">
        <v>123</v>
      </c>
      <c r="Y1426">
        <v>112</v>
      </c>
      <c r="Z1426">
        <v>196</v>
      </c>
      <c r="AA1426">
        <v>183</v>
      </c>
      <c r="AB1426" t="s">
        <v>1296</v>
      </c>
      <c r="AC1426" t="s">
        <v>192</v>
      </c>
      <c r="AD1426" t="s">
        <v>609</v>
      </c>
      <c r="AE1426" t="s">
        <v>183</v>
      </c>
      <c r="AF1426">
        <v>0</v>
      </c>
    </row>
    <row r="1427" spans="1:32">
      <c r="A1427">
        <v>425</v>
      </c>
      <c r="B1427">
        <v>806</v>
      </c>
      <c r="C1427" t="s">
        <v>927</v>
      </c>
      <c r="D1427" t="s">
        <v>1411</v>
      </c>
      <c r="E1427" t="s">
        <v>2165</v>
      </c>
      <c r="F1427" t="s">
        <v>8</v>
      </c>
      <c r="G1427" t="s">
        <v>1586</v>
      </c>
      <c r="H1427" t="s">
        <v>217</v>
      </c>
      <c r="I1427" t="s">
        <v>221</v>
      </c>
      <c r="J1427" t="s">
        <v>297</v>
      </c>
      <c r="K1427" t="s">
        <v>928</v>
      </c>
      <c r="L1427" s="84">
        <v>42303</v>
      </c>
      <c r="M1427" t="s">
        <v>325</v>
      </c>
      <c r="N1427" t="s">
        <v>929</v>
      </c>
      <c r="O1427">
        <v>2</v>
      </c>
      <c r="P1427" t="s">
        <v>930</v>
      </c>
      <c r="Q1427" t="s">
        <v>2069</v>
      </c>
      <c r="R1427" t="s">
        <v>931</v>
      </c>
      <c r="S1427" t="s">
        <v>932</v>
      </c>
      <c r="T1427" t="s">
        <v>31</v>
      </c>
      <c r="U1427" t="s">
        <v>79</v>
      </c>
      <c r="V1427">
        <v>76</v>
      </c>
      <c r="W1427">
        <v>83</v>
      </c>
      <c r="X1427">
        <v>123</v>
      </c>
      <c r="Y1427">
        <v>112</v>
      </c>
      <c r="Z1427">
        <v>196</v>
      </c>
      <c r="AA1427">
        <v>183</v>
      </c>
      <c r="AB1427" t="s">
        <v>1296</v>
      </c>
      <c r="AC1427" t="s">
        <v>192</v>
      </c>
      <c r="AD1427" t="s">
        <v>609</v>
      </c>
      <c r="AE1427" t="s">
        <v>183</v>
      </c>
      <c r="AF1427">
        <v>0</v>
      </c>
    </row>
    <row r="1428" spans="1:32">
      <c r="A1428">
        <v>425</v>
      </c>
      <c r="B1428">
        <v>806</v>
      </c>
      <c r="C1428" t="s">
        <v>927</v>
      </c>
      <c r="D1428" t="s">
        <v>1411</v>
      </c>
      <c r="E1428" t="s">
        <v>2165</v>
      </c>
      <c r="F1428" t="s">
        <v>7</v>
      </c>
      <c r="G1428" t="s">
        <v>1585</v>
      </c>
      <c r="H1428" t="s">
        <v>216</v>
      </c>
      <c r="I1428" t="s">
        <v>218</v>
      </c>
      <c r="J1428" t="s">
        <v>217</v>
      </c>
      <c r="K1428" t="s">
        <v>928</v>
      </c>
      <c r="L1428" s="84">
        <v>42303</v>
      </c>
      <c r="M1428" t="s">
        <v>325</v>
      </c>
      <c r="N1428" t="s">
        <v>929</v>
      </c>
      <c r="O1428">
        <v>2</v>
      </c>
      <c r="P1428" t="s">
        <v>930</v>
      </c>
      <c r="Q1428" t="s">
        <v>2069</v>
      </c>
      <c r="R1428" t="s">
        <v>931</v>
      </c>
      <c r="S1428" t="s">
        <v>932</v>
      </c>
      <c r="T1428" t="s">
        <v>32</v>
      </c>
      <c r="U1428" t="s">
        <v>79</v>
      </c>
      <c r="V1428">
        <v>76</v>
      </c>
      <c r="W1428">
        <v>83</v>
      </c>
      <c r="X1428">
        <v>123</v>
      </c>
      <c r="Y1428">
        <v>112</v>
      </c>
      <c r="Z1428">
        <v>196</v>
      </c>
      <c r="AA1428">
        <v>183</v>
      </c>
      <c r="AB1428" t="s">
        <v>1296</v>
      </c>
      <c r="AC1428" t="s">
        <v>192</v>
      </c>
      <c r="AD1428" t="s">
        <v>609</v>
      </c>
      <c r="AE1428" t="s">
        <v>183</v>
      </c>
      <c r="AF1428">
        <v>0</v>
      </c>
    </row>
    <row r="1429" spans="1:32">
      <c r="A1429">
        <v>425</v>
      </c>
      <c r="B1429">
        <v>806</v>
      </c>
      <c r="C1429" t="s">
        <v>927</v>
      </c>
      <c r="D1429" t="s">
        <v>1411</v>
      </c>
      <c r="E1429" t="s">
        <v>2165</v>
      </c>
      <c r="F1429" t="s">
        <v>6</v>
      </c>
      <c r="G1429" t="s">
        <v>1587</v>
      </c>
      <c r="H1429" t="s">
        <v>189</v>
      </c>
      <c r="I1429" t="s">
        <v>275</v>
      </c>
      <c r="J1429" t="s">
        <v>259</v>
      </c>
      <c r="K1429" t="s">
        <v>928</v>
      </c>
      <c r="L1429" s="84">
        <v>42303</v>
      </c>
      <c r="M1429" t="s">
        <v>325</v>
      </c>
      <c r="N1429" t="s">
        <v>929</v>
      </c>
      <c r="O1429">
        <v>2</v>
      </c>
      <c r="P1429" t="s">
        <v>930</v>
      </c>
      <c r="Q1429" t="s">
        <v>2069</v>
      </c>
      <c r="R1429" t="s">
        <v>931</v>
      </c>
      <c r="S1429" t="s">
        <v>932</v>
      </c>
      <c r="T1429" t="s">
        <v>34</v>
      </c>
      <c r="U1429" t="s">
        <v>79</v>
      </c>
      <c r="V1429">
        <v>76</v>
      </c>
      <c r="W1429">
        <v>83</v>
      </c>
      <c r="X1429">
        <v>123</v>
      </c>
      <c r="Y1429">
        <v>112</v>
      </c>
      <c r="Z1429">
        <v>196</v>
      </c>
      <c r="AA1429">
        <v>183</v>
      </c>
      <c r="AB1429" t="s">
        <v>1296</v>
      </c>
      <c r="AC1429" t="s">
        <v>192</v>
      </c>
      <c r="AD1429" t="s">
        <v>609</v>
      </c>
      <c r="AE1429" t="s">
        <v>183</v>
      </c>
      <c r="AF1429">
        <v>0</v>
      </c>
    </row>
    <row r="1430" spans="1:32">
      <c r="A1430">
        <v>426</v>
      </c>
      <c r="B1430">
        <v>888</v>
      </c>
      <c r="C1430" t="s">
        <v>937</v>
      </c>
      <c r="D1430" t="s">
        <v>1411</v>
      </c>
      <c r="E1430" t="s">
        <v>2165</v>
      </c>
      <c r="F1430" t="s">
        <v>6</v>
      </c>
      <c r="G1430" t="s">
        <v>1597</v>
      </c>
      <c r="H1430" t="s">
        <v>185</v>
      </c>
      <c r="I1430" t="s">
        <v>256</v>
      </c>
      <c r="J1430" t="s">
        <v>216</v>
      </c>
      <c r="K1430" t="s">
        <v>939</v>
      </c>
      <c r="L1430" s="84">
        <v>42590</v>
      </c>
      <c r="M1430" t="s">
        <v>381</v>
      </c>
      <c r="N1430" t="s">
        <v>940</v>
      </c>
      <c r="O1430">
        <v>2</v>
      </c>
      <c r="P1430" t="s">
        <v>941</v>
      </c>
      <c r="Q1430" t="s">
        <v>942</v>
      </c>
      <c r="R1430" t="s">
        <v>943</v>
      </c>
      <c r="S1430" t="s">
        <v>944</v>
      </c>
      <c r="T1430" t="s">
        <v>34</v>
      </c>
      <c r="U1430" t="s">
        <v>79</v>
      </c>
      <c r="V1430">
        <v>57</v>
      </c>
      <c r="W1430">
        <v>83</v>
      </c>
      <c r="X1430">
        <v>123</v>
      </c>
      <c r="Y1430">
        <v>82</v>
      </c>
      <c r="Z1430">
        <v>196</v>
      </c>
      <c r="AA1430">
        <v>124</v>
      </c>
      <c r="AB1430" t="s">
        <v>696</v>
      </c>
      <c r="AC1430" t="s">
        <v>226</v>
      </c>
      <c r="AD1430" t="s">
        <v>210</v>
      </c>
      <c r="AE1430" t="s">
        <v>183</v>
      </c>
      <c r="AF1430">
        <v>0</v>
      </c>
    </row>
    <row r="1431" spans="1:32">
      <c r="A1431">
        <v>426</v>
      </c>
      <c r="B1431">
        <v>888</v>
      </c>
      <c r="C1431" t="s">
        <v>937</v>
      </c>
      <c r="D1431" t="s">
        <v>1411</v>
      </c>
      <c r="E1431" t="s">
        <v>2165</v>
      </c>
      <c r="F1431" t="s">
        <v>7</v>
      </c>
      <c r="G1431" t="s">
        <v>1599</v>
      </c>
      <c r="H1431" t="s">
        <v>260</v>
      </c>
      <c r="I1431" t="s">
        <v>191</v>
      </c>
      <c r="J1431" t="s">
        <v>259</v>
      </c>
      <c r="K1431" t="s">
        <v>939</v>
      </c>
      <c r="L1431" s="84">
        <v>42590</v>
      </c>
      <c r="M1431" t="s">
        <v>381</v>
      </c>
      <c r="N1431" t="s">
        <v>940</v>
      </c>
      <c r="O1431">
        <v>2</v>
      </c>
      <c r="P1431" t="s">
        <v>941</v>
      </c>
      <c r="Q1431" t="s">
        <v>942</v>
      </c>
      <c r="R1431" t="s">
        <v>943</v>
      </c>
      <c r="S1431" t="s">
        <v>944</v>
      </c>
      <c r="T1431" t="s">
        <v>32</v>
      </c>
      <c r="U1431" t="s">
        <v>79</v>
      </c>
      <c r="V1431">
        <v>57</v>
      </c>
      <c r="W1431">
        <v>83</v>
      </c>
      <c r="X1431">
        <v>123</v>
      </c>
      <c r="Y1431">
        <v>82</v>
      </c>
      <c r="Z1431">
        <v>196</v>
      </c>
      <c r="AA1431">
        <v>124</v>
      </c>
      <c r="AB1431" t="s">
        <v>696</v>
      </c>
      <c r="AC1431" t="s">
        <v>226</v>
      </c>
      <c r="AD1431" t="s">
        <v>210</v>
      </c>
      <c r="AE1431" t="s">
        <v>183</v>
      </c>
      <c r="AF1431">
        <v>0</v>
      </c>
    </row>
    <row r="1432" spans="1:32">
      <c r="A1432">
        <v>426</v>
      </c>
      <c r="B1432">
        <v>888</v>
      </c>
      <c r="C1432" t="s">
        <v>937</v>
      </c>
      <c r="D1432" t="s">
        <v>1411</v>
      </c>
      <c r="E1432" t="s">
        <v>2165</v>
      </c>
      <c r="F1432" t="s">
        <v>8</v>
      </c>
      <c r="G1432" t="s">
        <v>1598</v>
      </c>
      <c r="H1432" t="s">
        <v>223</v>
      </c>
      <c r="I1432" t="s">
        <v>256</v>
      </c>
      <c r="J1432" t="s">
        <v>216</v>
      </c>
      <c r="K1432" t="s">
        <v>939</v>
      </c>
      <c r="L1432" s="84">
        <v>42590</v>
      </c>
      <c r="M1432" t="s">
        <v>381</v>
      </c>
      <c r="N1432" t="s">
        <v>940</v>
      </c>
      <c r="O1432">
        <v>2</v>
      </c>
      <c r="P1432" t="s">
        <v>941</v>
      </c>
      <c r="Q1432" t="s">
        <v>942</v>
      </c>
      <c r="R1432" t="s">
        <v>943</v>
      </c>
      <c r="S1432" t="s">
        <v>944</v>
      </c>
      <c r="T1432" t="s">
        <v>31</v>
      </c>
      <c r="U1432" t="s">
        <v>79</v>
      </c>
      <c r="V1432">
        <v>57</v>
      </c>
      <c r="W1432">
        <v>83</v>
      </c>
      <c r="X1432">
        <v>123</v>
      </c>
      <c r="Y1432">
        <v>82</v>
      </c>
      <c r="Z1432">
        <v>196</v>
      </c>
      <c r="AA1432">
        <v>124</v>
      </c>
      <c r="AB1432" t="s">
        <v>696</v>
      </c>
      <c r="AC1432" t="s">
        <v>226</v>
      </c>
      <c r="AD1432" t="s">
        <v>210</v>
      </c>
      <c r="AE1432" t="s">
        <v>183</v>
      </c>
      <c r="AF1432">
        <v>0</v>
      </c>
    </row>
    <row r="1433" spans="1:32">
      <c r="A1433">
        <v>426</v>
      </c>
      <c r="B1433">
        <v>888</v>
      </c>
      <c r="C1433" t="s">
        <v>937</v>
      </c>
      <c r="D1433" t="s">
        <v>1411</v>
      </c>
      <c r="E1433" t="s">
        <v>2165</v>
      </c>
      <c r="F1433" t="s">
        <v>5</v>
      </c>
      <c r="G1433" t="s">
        <v>1596</v>
      </c>
      <c r="H1433" t="s">
        <v>192</v>
      </c>
      <c r="I1433" t="s">
        <v>237</v>
      </c>
      <c r="J1433" t="s">
        <v>171</v>
      </c>
      <c r="K1433" t="s">
        <v>939</v>
      </c>
      <c r="L1433" s="84">
        <v>42590</v>
      </c>
      <c r="M1433" t="s">
        <v>381</v>
      </c>
      <c r="N1433" t="s">
        <v>940</v>
      </c>
      <c r="O1433">
        <v>2</v>
      </c>
      <c r="P1433" t="s">
        <v>941</v>
      </c>
      <c r="Q1433" t="s">
        <v>942</v>
      </c>
      <c r="R1433" t="s">
        <v>943</v>
      </c>
      <c r="S1433" t="s">
        <v>944</v>
      </c>
      <c r="T1433" t="s">
        <v>33</v>
      </c>
      <c r="U1433" t="s">
        <v>79</v>
      </c>
      <c r="V1433">
        <v>57</v>
      </c>
      <c r="W1433">
        <v>83</v>
      </c>
      <c r="X1433">
        <v>123</v>
      </c>
      <c r="Y1433">
        <v>82</v>
      </c>
      <c r="Z1433">
        <v>196</v>
      </c>
      <c r="AA1433">
        <v>124</v>
      </c>
      <c r="AB1433" t="s">
        <v>696</v>
      </c>
      <c r="AC1433" t="s">
        <v>226</v>
      </c>
      <c r="AD1433" t="s">
        <v>210</v>
      </c>
      <c r="AE1433" t="s">
        <v>183</v>
      </c>
      <c r="AF1433">
        <v>0</v>
      </c>
    </row>
    <row r="1434" spans="1:32">
      <c r="A1434">
        <v>426</v>
      </c>
      <c r="B1434">
        <v>888</v>
      </c>
      <c r="C1434" t="s">
        <v>937</v>
      </c>
      <c r="D1434" t="s">
        <v>1411</v>
      </c>
      <c r="E1434" t="s">
        <v>2165</v>
      </c>
      <c r="F1434" t="s">
        <v>197</v>
      </c>
      <c r="G1434" t="s">
        <v>1592</v>
      </c>
      <c r="H1434" t="s">
        <v>188</v>
      </c>
      <c r="I1434" t="s">
        <v>212</v>
      </c>
      <c r="J1434" t="s">
        <v>2144</v>
      </c>
      <c r="K1434" t="s">
        <v>939</v>
      </c>
      <c r="L1434" s="84">
        <v>42590</v>
      </c>
      <c r="M1434" t="s">
        <v>381</v>
      </c>
      <c r="N1434" t="s">
        <v>940</v>
      </c>
      <c r="O1434">
        <v>2</v>
      </c>
      <c r="P1434" t="s">
        <v>941</v>
      </c>
      <c r="Q1434" t="s">
        <v>942</v>
      </c>
      <c r="R1434" t="s">
        <v>943</v>
      </c>
      <c r="S1434" t="s">
        <v>944</v>
      </c>
      <c r="T1434" t="s">
        <v>38</v>
      </c>
      <c r="U1434" t="s">
        <v>79</v>
      </c>
      <c r="V1434">
        <v>57</v>
      </c>
      <c r="W1434">
        <v>83</v>
      </c>
      <c r="X1434">
        <v>123</v>
      </c>
      <c r="Y1434">
        <v>82</v>
      </c>
      <c r="Z1434">
        <v>196</v>
      </c>
      <c r="AA1434">
        <v>124</v>
      </c>
      <c r="AB1434" t="s">
        <v>696</v>
      </c>
      <c r="AC1434" t="s">
        <v>226</v>
      </c>
      <c r="AD1434" t="s">
        <v>210</v>
      </c>
      <c r="AE1434" t="s">
        <v>183</v>
      </c>
      <c r="AF1434">
        <v>0</v>
      </c>
    </row>
    <row r="1435" spans="1:32">
      <c r="A1435">
        <v>426</v>
      </c>
      <c r="B1435">
        <v>888</v>
      </c>
      <c r="C1435" t="s">
        <v>937</v>
      </c>
      <c r="D1435" t="s">
        <v>1411</v>
      </c>
      <c r="E1435" t="s">
        <v>2165</v>
      </c>
      <c r="F1435" t="s">
        <v>193</v>
      </c>
      <c r="G1435" t="s">
        <v>1595</v>
      </c>
      <c r="H1435" t="s">
        <v>192</v>
      </c>
      <c r="I1435" t="s">
        <v>212</v>
      </c>
      <c r="J1435" t="s">
        <v>192</v>
      </c>
      <c r="K1435" t="s">
        <v>939</v>
      </c>
      <c r="L1435" s="84">
        <v>42590</v>
      </c>
      <c r="M1435" t="s">
        <v>381</v>
      </c>
      <c r="N1435" t="s">
        <v>940</v>
      </c>
      <c r="O1435">
        <v>2</v>
      </c>
      <c r="P1435" t="s">
        <v>941</v>
      </c>
      <c r="Q1435" t="s">
        <v>942</v>
      </c>
      <c r="R1435" t="s">
        <v>943</v>
      </c>
      <c r="S1435" t="s">
        <v>944</v>
      </c>
      <c r="T1435" t="s">
        <v>36</v>
      </c>
      <c r="U1435" t="s">
        <v>79</v>
      </c>
      <c r="V1435">
        <v>57</v>
      </c>
      <c r="W1435">
        <v>83</v>
      </c>
      <c r="X1435">
        <v>123</v>
      </c>
      <c r="Y1435">
        <v>82</v>
      </c>
      <c r="Z1435">
        <v>196</v>
      </c>
      <c r="AA1435">
        <v>124</v>
      </c>
      <c r="AB1435" t="s">
        <v>696</v>
      </c>
      <c r="AC1435" t="s">
        <v>226</v>
      </c>
      <c r="AD1435" t="s">
        <v>210</v>
      </c>
      <c r="AE1435" t="s">
        <v>183</v>
      </c>
      <c r="AF1435">
        <v>0</v>
      </c>
    </row>
    <row r="1436" spans="1:32">
      <c r="A1436">
        <v>426</v>
      </c>
      <c r="B1436">
        <v>888</v>
      </c>
      <c r="C1436" t="s">
        <v>937</v>
      </c>
      <c r="D1436" t="s">
        <v>1411</v>
      </c>
      <c r="E1436" t="s">
        <v>2165</v>
      </c>
      <c r="F1436" t="s">
        <v>37</v>
      </c>
      <c r="G1436" t="s">
        <v>1594</v>
      </c>
      <c r="H1436" t="s">
        <v>192</v>
      </c>
      <c r="I1436" t="s">
        <v>212</v>
      </c>
      <c r="J1436" t="s">
        <v>192</v>
      </c>
      <c r="K1436" t="s">
        <v>939</v>
      </c>
      <c r="L1436" s="84">
        <v>42590</v>
      </c>
      <c r="M1436" t="s">
        <v>381</v>
      </c>
      <c r="N1436" t="s">
        <v>940</v>
      </c>
      <c r="O1436">
        <v>2</v>
      </c>
      <c r="P1436" t="s">
        <v>941</v>
      </c>
      <c r="Q1436" t="s">
        <v>942</v>
      </c>
      <c r="R1436" t="s">
        <v>943</v>
      </c>
      <c r="S1436" t="s">
        <v>944</v>
      </c>
      <c r="T1436" t="s">
        <v>37</v>
      </c>
      <c r="U1436" t="s">
        <v>79</v>
      </c>
      <c r="V1436">
        <v>57</v>
      </c>
      <c r="W1436">
        <v>83</v>
      </c>
      <c r="X1436">
        <v>123</v>
      </c>
      <c r="Y1436">
        <v>82</v>
      </c>
      <c r="Z1436">
        <v>196</v>
      </c>
      <c r="AA1436">
        <v>124</v>
      </c>
      <c r="AB1436" t="s">
        <v>696</v>
      </c>
      <c r="AC1436" t="s">
        <v>226</v>
      </c>
      <c r="AD1436" t="s">
        <v>210</v>
      </c>
      <c r="AE1436" t="s">
        <v>183</v>
      </c>
      <c r="AF1436">
        <v>0</v>
      </c>
    </row>
    <row r="1437" spans="1:32">
      <c r="A1437">
        <v>427</v>
      </c>
      <c r="B1437">
        <v>1078</v>
      </c>
      <c r="C1437" t="s">
        <v>2024</v>
      </c>
      <c r="D1437" t="s">
        <v>1411</v>
      </c>
      <c r="E1437" t="s">
        <v>2165</v>
      </c>
      <c r="F1437" t="s">
        <v>37</v>
      </c>
      <c r="G1437" t="s">
        <v>1605</v>
      </c>
      <c r="H1437" t="s">
        <v>192</v>
      </c>
      <c r="I1437" t="s">
        <v>212</v>
      </c>
      <c r="J1437" t="s">
        <v>192</v>
      </c>
      <c r="K1437" t="s">
        <v>2025</v>
      </c>
      <c r="L1437" s="84">
        <v>42118</v>
      </c>
      <c r="M1437" t="s">
        <v>381</v>
      </c>
      <c r="N1437" t="s">
        <v>1699</v>
      </c>
      <c r="O1437">
        <v>3</v>
      </c>
      <c r="P1437" t="s">
        <v>2026</v>
      </c>
      <c r="Q1437" t="s">
        <v>2027</v>
      </c>
      <c r="R1437" t="s">
        <v>2076</v>
      </c>
      <c r="S1437" t="s">
        <v>2077</v>
      </c>
      <c r="T1437" t="s">
        <v>37</v>
      </c>
      <c r="U1437" t="s">
        <v>80</v>
      </c>
      <c r="V1437">
        <v>63</v>
      </c>
      <c r="W1437">
        <v>83</v>
      </c>
      <c r="X1437">
        <v>123</v>
      </c>
      <c r="Y1437">
        <v>95</v>
      </c>
      <c r="Z1437">
        <v>196</v>
      </c>
      <c r="AA1437">
        <v>162</v>
      </c>
      <c r="AB1437" t="s">
        <v>1348</v>
      </c>
      <c r="AC1437" t="s">
        <v>305</v>
      </c>
      <c r="AD1437" t="s">
        <v>272</v>
      </c>
      <c r="AE1437" t="s">
        <v>183</v>
      </c>
      <c r="AF1437">
        <v>2</v>
      </c>
    </row>
    <row r="1438" spans="1:32">
      <c r="A1438">
        <v>427</v>
      </c>
      <c r="B1438">
        <v>1078</v>
      </c>
      <c r="C1438" t="s">
        <v>2024</v>
      </c>
      <c r="D1438" t="s">
        <v>1411</v>
      </c>
      <c r="E1438" t="s">
        <v>2165</v>
      </c>
      <c r="F1438" t="s">
        <v>193</v>
      </c>
      <c r="G1438" t="s">
        <v>1604</v>
      </c>
      <c r="H1438" t="s">
        <v>192</v>
      </c>
      <c r="I1438" t="s">
        <v>212</v>
      </c>
      <c r="J1438" t="s">
        <v>212</v>
      </c>
      <c r="K1438" t="s">
        <v>2025</v>
      </c>
      <c r="L1438" s="84">
        <v>42118</v>
      </c>
      <c r="M1438" t="s">
        <v>381</v>
      </c>
      <c r="N1438" t="s">
        <v>1699</v>
      </c>
      <c r="O1438">
        <v>3</v>
      </c>
      <c r="P1438" t="s">
        <v>2026</v>
      </c>
      <c r="Q1438" t="s">
        <v>2027</v>
      </c>
      <c r="R1438" t="s">
        <v>2076</v>
      </c>
      <c r="S1438" t="s">
        <v>2077</v>
      </c>
      <c r="T1438" t="s">
        <v>36</v>
      </c>
      <c r="U1438" t="s">
        <v>80</v>
      </c>
      <c r="V1438">
        <v>63</v>
      </c>
      <c r="W1438">
        <v>83</v>
      </c>
      <c r="X1438">
        <v>123</v>
      </c>
      <c r="Y1438">
        <v>95</v>
      </c>
      <c r="Z1438">
        <v>196</v>
      </c>
      <c r="AA1438">
        <v>162</v>
      </c>
      <c r="AB1438" t="s">
        <v>1348</v>
      </c>
      <c r="AC1438" t="s">
        <v>305</v>
      </c>
      <c r="AD1438" t="s">
        <v>272</v>
      </c>
      <c r="AE1438" t="s">
        <v>183</v>
      </c>
      <c r="AF1438">
        <v>2</v>
      </c>
    </row>
    <row r="1439" spans="1:32">
      <c r="A1439">
        <v>427</v>
      </c>
      <c r="B1439">
        <v>1078</v>
      </c>
      <c r="C1439" t="s">
        <v>2024</v>
      </c>
      <c r="D1439" t="s">
        <v>1411</v>
      </c>
      <c r="E1439" t="s">
        <v>2165</v>
      </c>
      <c r="F1439" t="s">
        <v>197</v>
      </c>
      <c r="G1439" t="s">
        <v>1606</v>
      </c>
      <c r="H1439" t="s">
        <v>188</v>
      </c>
      <c r="I1439" t="s">
        <v>212</v>
      </c>
      <c r="J1439" t="s">
        <v>245</v>
      </c>
      <c r="K1439" t="s">
        <v>2025</v>
      </c>
      <c r="L1439" s="84">
        <v>42118</v>
      </c>
      <c r="M1439" t="s">
        <v>381</v>
      </c>
      <c r="N1439" t="s">
        <v>1699</v>
      </c>
      <c r="O1439">
        <v>3</v>
      </c>
      <c r="P1439" t="s">
        <v>2026</v>
      </c>
      <c r="Q1439" t="s">
        <v>2027</v>
      </c>
      <c r="R1439" t="s">
        <v>2076</v>
      </c>
      <c r="S1439" t="s">
        <v>2077</v>
      </c>
      <c r="T1439" t="s">
        <v>38</v>
      </c>
      <c r="U1439" t="s">
        <v>80</v>
      </c>
      <c r="V1439">
        <v>63</v>
      </c>
      <c r="W1439">
        <v>83</v>
      </c>
      <c r="X1439">
        <v>123</v>
      </c>
      <c r="Y1439">
        <v>95</v>
      </c>
      <c r="Z1439">
        <v>196</v>
      </c>
      <c r="AA1439">
        <v>162</v>
      </c>
      <c r="AB1439" t="s">
        <v>1348</v>
      </c>
      <c r="AC1439" t="s">
        <v>305</v>
      </c>
      <c r="AD1439" t="s">
        <v>272</v>
      </c>
      <c r="AE1439" t="s">
        <v>183</v>
      </c>
      <c r="AF1439">
        <v>2</v>
      </c>
    </row>
    <row r="1440" spans="1:32">
      <c r="A1440">
        <v>427</v>
      </c>
      <c r="B1440">
        <v>1078</v>
      </c>
      <c r="C1440" t="s">
        <v>2024</v>
      </c>
      <c r="D1440" t="s">
        <v>1411</v>
      </c>
      <c r="E1440" t="s">
        <v>2165</v>
      </c>
      <c r="F1440" t="s">
        <v>5</v>
      </c>
      <c r="G1440" t="s">
        <v>1603</v>
      </c>
      <c r="H1440" t="s">
        <v>227</v>
      </c>
      <c r="I1440" t="s">
        <v>324</v>
      </c>
      <c r="J1440" t="s">
        <v>227</v>
      </c>
      <c r="K1440" t="s">
        <v>2025</v>
      </c>
      <c r="L1440" s="84">
        <v>42118</v>
      </c>
      <c r="M1440" t="s">
        <v>381</v>
      </c>
      <c r="N1440" t="s">
        <v>1699</v>
      </c>
      <c r="O1440">
        <v>3</v>
      </c>
      <c r="P1440" t="s">
        <v>2026</v>
      </c>
      <c r="Q1440" t="s">
        <v>2027</v>
      </c>
      <c r="R1440" t="s">
        <v>2076</v>
      </c>
      <c r="S1440" t="s">
        <v>2077</v>
      </c>
      <c r="T1440" t="s">
        <v>33</v>
      </c>
      <c r="U1440" t="s">
        <v>80</v>
      </c>
      <c r="V1440">
        <v>63</v>
      </c>
      <c r="W1440">
        <v>83</v>
      </c>
      <c r="X1440">
        <v>123</v>
      </c>
      <c r="Y1440">
        <v>95</v>
      </c>
      <c r="Z1440">
        <v>196</v>
      </c>
      <c r="AA1440">
        <v>162</v>
      </c>
      <c r="AB1440" t="s">
        <v>1348</v>
      </c>
      <c r="AC1440" t="s">
        <v>305</v>
      </c>
      <c r="AD1440" t="s">
        <v>272</v>
      </c>
      <c r="AE1440" t="s">
        <v>183</v>
      </c>
      <c r="AF1440">
        <v>2</v>
      </c>
    </row>
    <row r="1441" spans="1:32">
      <c r="A1441">
        <v>427</v>
      </c>
      <c r="B1441">
        <v>1078</v>
      </c>
      <c r="C1441" t="s">
        <v>2024</v>
      </c>
      <c r="D1441" t="s">
        <v>1411</v>
      </c>
      <c r="E1441" t="s">
        <v>2165</v>
      </c>
      <c r="F1441" t="s">
        <v>8</v>
      </c>
      <c r="G1441" t="s">
        <v>1601</v>
      </c>
      <c r="H1441" t="s">
        <v>228</v>
      </c>
      <c r="I1441" t="s">
        <v>171</v>
      </c>
      <c r="J1441" t="s">
        <v>274</v>
      </c>
      <c r="K1441" t="s">
        <v>2025</v>
      </c>
      <c r="L1441" s="84">
        <v>42118</v>
      </c>
      <c r="M1441" t="s">
        <v>381</v>
      </c>
      <c r="N1441" t="s">
        <v>1699</v>
      </c>
      <c r="O1441">
        <v>3</v>
      </c>
      <c r="P1441" t="s">
        <v>2026</v>
      </c>
      <c r="Q1441" t="s">
        <v>2027</v>
      </c>
      <c r="R1441" t="s">
        <v>2076</v>
      </c>
      <c r="S1441" t="s">
        <v>2077</v>
      </c>
      <c r="T1441" t="s">
        <v>31</v>
      </c>
      <c r="U1441" t="s">
        <v>80</v>
      </c>
      <c r="V1441">
        <v>63</v>
      </c>
      <c r="W1441">
        <v>83</v>
      </c>
      <c r="X1441">
        <v>123</v>
      </c>
      <c r="Y1441">
        <v>95</v>
      </c>
      <c r="Z1441">
        <v>196</v>
      </c>
      <c r="AA1441">
        <v>162</v>
      </c>
      <c r="AB1441" t="s">
        <v>1348</v>
      </c>
      <c r="AC1441" t="s">
        <v>305</v>
      </c>
      <c r="AD1441" t="s">
        <v>272</v>
      </c>
      <c r="AE1441" t="s">
        <v>183</v>
      </c>
      <c r="AF1441">
        <v>2</v>
      </c>
    </row>
    <row r="1442" spans="1:32">
      <c r="A1442">
        <v>427</v>
      </c>
      <c r="B1442">
        <v>1078</v>
      </c>
      <c r="C1442" t="s">
        <v>2024</v>
      </c>
      <c r="D1442" t="s">
        <v>1411</v>
      </c>
      <c r="E1442" t="s">
        <v>2165</v>
      </c>
      <c r="F1442" t="s">
        <v>7</v>
      </c>
      <c r="G1442" t="s">
        <v>1600</v>
      </c>
      <c r="H1442" t="s">
        <v>172</v>
      </c>
      <c r="I1442" t="s">
        <v>374</v>
      </c>
      <c r="J1442" t="s">
        <v>1054</v>
      </c>
      <c r="K1442" t="s">
        <v>2025</v>
      </c>
      <c r="L1442" s="84">
        <v>42118</v>
      </c>
      <c r="M1442" t="s">
        <v>381</v>
      </c>
      <c r="N1442" t="s">
        <v>1699</v>
      </c>
      <c r="O1442">
        <v>3</v>
      </c>
      <c r="P1442" t="s">
        <v>2026</v>
      </c>
      <c r="Q1442" t="s">
        <v>2027</v>
      </c>
      <c r="R1442" t="s">
        <v>2076</v>
      </c>
      <c r="S1442" t="s">
        <v>2077</v>
      </c>
      <c r="T1442" t="s">
        <v>32</v>
      </c>
      <c r="U1442" t="s">
        <v>80</v>
      </c>
      <c r="V1442">
        <v>63</v>
      </c>
      <c r="W1442">
        <v>83</v>
      </c>
      <c r="X1442">
        <v>123</v>
      </c>
      <c r="Y1442">
        <v>95</v>
      </c>
      <c r="Z1442">
        <v>196</v>
      </c>
      <c r="AA1442">
        <v>162</v>
      </c>
      <c r="AB1442" t="s">
        <v>1348</v>
      </c>
      <c r="AC1442" t="s">
        <v>305</v>
      </c>
      <c r="AD1442" t="s">
        <v>272</v>
      </c>
      <c r="AE1442" t="s">
        <v>183</v>
      </c>
      <c r="AF1442">
        <v>2</v>
      </c>
    </row>
    <row r="1443" spans="1:32">
      <c r="A1443">
        <v>427</v>
      </c>
      <c r="B1443">
        <v>1078</v>
      </c>
      <c r="C1443" t="s">
        <v>2024</v>
      </c>
      <c r="D1443" t="s">
        <v>1411</v>
      </c>
      <c r="E1443" t="s">
        <v>2165</v>
      </c>
      <c r="F1443" t="s">
        <v>6</v>
      </c>
      <c r="G1443" t="s">
        <v>1602</v>
      </c>
      <c r="H1443" t="s">
        <v>173</v>
      </c>
      <c r="I1443" t="s">
        <v>243</v>
      </c>
      <c r="J1443" t="s">
        <v>228</v>
      </c>
      <c r="K1443" t="s">
        <v>2025</v>
      </c>
      <c r="L1443" s="84">
        <v>42118</v>
      </c>
      <c r="M1443" t="s">
        <v>381</v>
      </c>
      <c r="N1443" t="s">
        <v>1699</v>
      </c>
      <c r="O1443">
        <v>3</v>
      </c>
      <c r="P1443" t="s">
        <v>2026</v>
      </c>
      <c r="Q1443" t="s">
        <v>2027</v>
      </c>
      <c r="R1443" t="s">
        <v>2076</v>
      </c>
      <c r="S1443" t="s">
        <v>2077</v>
      </c>
      <c r="T1443" t="s">
        <v>34</v>
      </c>
      <c r="U1443" t="s">
        <v>80</v>
      </c>
      <c r="V1443">
        <v>63</v>
      </c>
      <c r="W1443">
        <v>83</v>
      </c>
      <c r="X1443">
        <v>123</v>
      </c>
      <c r="Y1443">
        <v>95</v>
      </c>
      <c r="Z1443">
        <v>196</v>
      </c>
      <c r="AA1443">
        <v>162</v>
      </c>
      <c r="AB1443" t="s">
        <v>1348</v>
      </c>
      <c r="AC1443" t="s">
        <v>305</v>
      </c>
      <c r="AD1443" t="s">
        <v>272</v>
      </c>
      <c r="AE1443" t="s">
        <v>183</v>
      </c>
      <c r="AF1443">
        <v>2</v>
      </c>
    </row>
    <row r="1444" spans="1:32">
      <c r="A1444">
        <v>428</v>
      </c>
      <c r="B1444">
        <v>1222</v>
      </c>
      <c r="C1444" t="s">
        <v>2740</v>
      </c>
      <c r="D1444" t="s">
        <v>1411</v>
      </c>
      <c r="E1444" t="s">
        <v>2165</v>
      </c>
      <c r="F1444" t="s">
        <v>6</v>
      </c>
      <c r="G1444" t="s">
        <v>1611</v>
      </c>
      <c r="H1444" t="s">
        <v>243</v>
      </c>
      <c r="I1444" t="s">
        <v>185</v>
      </c>
      <c r="J1444" t="s">
        <v>256</v>
      </c>
      <c r="K1444" t="s">
        <v>2741</v>
      </c>
      <c r="L1444" s="84">
        <v>41665</v>
      </c>
      <c r="M1444" t="s">
        <v>381</v>
      </c>
      <c r="N1444" t="s">
        <v>2742</v>
      </c>
      <c r="O1444">
        <v>9</v>
      </c>
      <c r="P1444" t="s">
        <v>2743</v>
      </c>
      <c r="Q1444" t="s">
        <v>2744</v>
      </c>
      <c r="R1444" t="s">
        <v>2745</v>
      </c>
      <c r="S1444" t="s">
        <v>2746</v>
      </c>
      <c r="T1444" t="s">
        <v>34</v>
      </c>
      <c r="U1444" t="s">
        <v>85</v>
      </c>
      <c r="V1444">
        <v>50</v>
      </c>
      <c r="W1444">
        <v>83</v>
      </c>
      <c r="X1444">
        <v>123</v>
      </c>
      <c r="Y1444">
        <v>80</v>
      </c>
      <c r="Z1444">
        <v>196</v>
      </c>
      <c r="AA1444">
        <v>134</v>
      </c>
      <c r="AB1444" t="s">
        <v>1267</v>
      </c>
      <c r="AC1444" t="s">
        <v>226</v>
      </c>
      <c r="AD1444" t="s">
        <v>210</v>
      </c>
      <c r="AE1444" t="s">
        <v>183</v>
      </c>
      <c r="AF1444">
        <v>1</v>
      </c>
    </row>
    <row r="1445" spans="1:32">
      <c r="A1445">
        <v>428</v>
      </c>
      <c r="B1445">
        <v>1222</v>
      </c>
      <c r="C1445" t="s">
        <v>2740</v>
      </c>
      <c r="D1445" t="s">
        <v>1411</v>
      </c>
      <c r="E1445" t="s">
        <v>2165</v>
      </c>
      <c r="F1445" t="s">
        <v>7</v>
      </c>
      <c r="G1445" t="s">
        <v>1613</v>
      </c>
      <c r="H1445" t="s">
        <v>221</v>
      </c>
      <c r="I1445" t="s">
        <v>228</v>
      </c>
      <c r="J1445" t="s">
        <v>192</v>
      </c>
      <c r="K1445" t="s">
        <v>2741</v>
      </c>
      <c r="L1445" s="84">
        <v>41665</v>
      </c>
      <c r="M1445" t="s">
        <v>381</v>
      </c>
      <c r="N1445" t="s">
        <v>2742</v>
      </c>
      <c r="O1445">
        <v>9</v>
      </c>
      <c r="P1445" t="s">
        <v>2743</v>
      </c>
      <c r="Q1445" t="s">
        <v>2744</v>
      </c>
      <c r="R1445" t="s">
        <v>2745</v>
      </c>
      <c r="S1445" t="s">
        <v>2746</v>
      </c>
      <c r="T1445" t="s">
        <v>32</v>
      </c>
      <c r="U1445" t="s">
        <v>85</v>
      </c>
      <c r="V1445">
        <v>50</v>
      </c>
      <c r="W1445">
        <v>83</v>
      </c>
      <c r="X1445">
        <v>123</v>
      </c>
      <c r="Y1445">
        <v>80</v>
      </c>
      <c r="Z1445">
        <v>196</v>
      </c>
      <c r="AA1445">
        <v>134</v>
      </c>
      <c r="AB1445" t="s">
        <v>1267</v>
      </c>
      <c r="AC1445" t="s">
        <v>226</v>
      </c>
      <c r="AD1445" t="s">
        <v>210</v>
      </c>
      <c r="AE1445" t="s">
        <v>183</v>
      </c>
      <c r="AF1445">
        <v>1</v>
      </c>
    </row>
    <row r="1446" spans="1:32">
      <c r="A1446">
        <v>428</v>
      </c>
      <c r="B1446">
        <v>1222</v>
      </c>
      <c r="C1446" t="s">
        <v>2740</v>
      </c>
      <c r="D1446" t="s">
        <v>1411</v>
      </c>
      <c r="E1446" t="s">
        <v>2165</v>
      </c>
      <c r="F1446" t="s">
        <v>8</v>
      </c>
      <c r="G1446" t="s">
        <v>1612</v>
      </c>
      <c r="H1446" t="s">
        <v>330</v>
      </c>
      <c r="I1446" t="s">
        <v>191</v>
      </c>
      <c r="J1446" t="s">
        <v>260</v>
      </c>
      <c r="K1446" t="s">
        <v>2741</v>
      </c>
      <c r="L1446" s="84">
        <v>41665</v>
      </c>
      <c r="M1446" t="s">
        <v>381</v>
      </c>
      <c r="N1446" t="s">
        <v>2742</v>
      </c>
      <c r="O1446">
        <v>9</v>
      </c>
      <c r="P1446" t="s">
        <v>2743</v>
      </c>
      <c r="Q1446" t="s">
        <v>2744</v>
      </c>
      <c r="R1446" t="s">
        <v>2745</v>
      </c>
      <c r="S1446" t="s">
        <v>2746</v>
      </c>
      <c r="T1446" t="s">
        <v>31</v>
      </c>
      <c r="U1446" t="s">
        <v>85</v>
      </c>
      <c r="V1446">
        <v>50</v>
      </c>
      <c r="W1446">
        <v>83</v>
      </c>
      <c r="X1446">
        <v>123</v>
      </c>
      <c r="Y1446">
        <v>80</v>
      </c>
      <c r="Z1446">
        <v>196</v>
      </c>
      <c r="AA1446">
        <v>134</v>
      </c>
      <c r="AB1446" t="s">
        <v>1267</v>
      </c>
      <c r="AC1446" t="s">
        <v>226</v>
      </c>
      <c r="AD1446" t="s">
        <v>210</v>
      </c>
      <c r="AE1446" t="s">
        <v>183</v>
      </c>
      <c r="AF1446">
        <v>1</v>
      </c>
    </row>
    <row r="1447" spans="1:32">
      <c r="A1447">
        <v>428</v>
      </c>
      <c r="B1447">
        <v>1222</v>
      </c>
      <c r="C1447" t="s">
        <v>2740</v>
      </c>
      <c r="D1447" t="s">
        <v>1411</v>
      </c>
      <c r="E1447" t="s">
        <v>2165</v>
      </c>
      <c r="F1447" t="s">
        <v>5</v>
      </c>
      <c r="G1447" t="s">
        <v>1610</v>
      </c>
      <c r="H1447" t="s">
        <v>192</v>
      </c>
      <c r="I1447" t="s">
        <v>274</v>
      </c>
      <c r="J1447" t="s">
        <v>226</v>
      </c>
      <c r="K1447" t="s">
        <v>2741</v>
      </c>
      <c r="L1447" s="84">
        <v>41665</v>
      </c>
      <c r="M1447" t="s">
        <v>381</v>
      </c>
      <c r="N1447" t="s">
        <v>2742</v>
      </c>
      <c r="O1447">
        <v>9</v>
      </c>
      <c r="P1447" t="s">
        <v>2743</v>
      </c>
      <c r="Q1447" t="s">
        <v>2744</v>
      </c>
      <c r="R1447" t="s">
        <v>2745</v>
      </c>
      <c r="S1447" t="s">
        <v>2746</v>
      </c>
      <c r="T1447" t="s">
        <v>33</v>
      </c>
      <c r="U1447" t="s">
        <v>85</v>
      </c>
      <c r="V1447">
        <v>50</v>
      </c>
      <c r="W1447">
        <v>83</v>
      </c>
      <c r="X1447">
        <v>123</v>
      </c>
      <c r="Y1447">
        <v>80</v>
      </c>
      <c r="Z1447">
        <v>196</v>
      </c>
      <c r="AA1447">
        <v>134</v>
      </c>
      <c r="AB1447" t="s">
        <v>1267</v>
      </c>
      <c r="AC1447" t="s">
        <v>226</v>
      </c>
      <c r="AD1447" t="s">
        <v>210</v>
      </c>
      <c r="AE1447" t="s">
        <v>183</v>
      </c>
      <c r="AF1447">
        <v>1</v>
      </c>
    </row>
    <row r="1448" spans="1:32">
      <c r="A1448">
        <v>428</v>
      </c>
      <c r="B1448">
        <v>1222</v>
      </c>
      <c r="C1448" t="s">
        <v>2740</v>
      </c>
      <c r="D1448" t="s">
        <v>1411</v>
      </c>
      <c r="E1448" t="s">
        <v>2165</v>
      </c>
      <c r="F1448" t="s">
        <v>197</v>
      </c>
      <c r="G1448" t="s">
        <v>1607</v>
      </c>
      <c r="H1448" t="s">
        <v>188</v>
      </c>
      <c r="I1448" t="s">
        <v>212</v>
      </c>
      <c r="J1448" t="s">
        <v>2144</v>
      </c>
      <c r="K1448" t="s">
        <v>2741</v>
      </c>
      <c r="L1448" s="84">
        <v>41665</v>
      </c>
      <c r="M1448" t="s">
        <v>381</v>
      </c>
      <c r="N1448" t="s">
        <v>2742</v>
      </c>
      <c r="O1448">
        <v>9</v>
      </c>
      <c r="P1448" t="s">
        <v>2743</v>
      </c>
      <c r="Q1448" t="s">
        <v>2744</v>
      </c>
      <c r="R1448" t="s">
        <v>2745</v>
      </c>
      <c r="S1448" t="s">
        <v>2746</v>
      </c>
      <c r="T1448" t="s">
        <v>38</v>
      </c>
      <c r="U1448" t="s">
        <v>85</v>
      </c>
      <c r="V1448">
        <v>50</v>
      </c>
      <c r="W1448">
        <v>83</v>
      </c>
      <c r="X1448">
        <v>123</v>
      </c>
      <c r="Y1448">
        <v>80</v>
      </c>
      <c r="Z1448">
        <v>196</v>
      </c>
      <c r="AA1448">
        <v>134</v>
      </c>
      <c r="AB1448" t="s">
        <v>1267</v>
      </c>
      <c r="AC1448" t="s">
        <v>226</v>
      </c>
      <c r="AD1448" t="s">
        <v>210</v>
      </c>
      <c r="AE1448" t="s">
        <v>183</v>
      </c>
      <c r="AF1448">
        <v>1</v>
      </c>
    </row>
    <row r="1449" spans="1:32">
      <c r="A1449">
        <v>428</v>
      </c>
      <c r="B1449">
        <v>1222</v>
      </c>
      <c r="C1449" t="s">
        <v>2740</v>
      </c>
      <c r="D1449" t="s">
        <v>1411</v>
      </c>
      <c r="E1449" t="s">
        <v>2165</v>
      </c>
      <c r="F1449" t="s">
        <v>193</v>
      </c>
      <c r="G1449" t="s">
        <v>1609</v>
      </c>
      <c r="H1449" t="s">
        <v>192</v>
      </c>
      <c r="I1449" t="s">
        <v>212</v>
      </c>
      <c r="J1449" t="s">
        <v>192</v>
      </c>
      <c r="K1449" t="s">
        <v>2741</v>
      </c>
      <c r="L1449" s="84">
        <v>41665</v>
      </c>
      <c r="M1449" t="s">
        <v>381</v>
      </c>
      <c r="N1449" t="s">
        <v>2742</v>
      </c>
      <c r="O1449">
        <v>9</v>
      </c>
      <c r="P1449" t="s">
        <v>2743</v>
      </c>
      <c r="Q1449" t="s">
        <v>2744</v>
      </c>
      <c r="R1449" t="s">
        <v>2745</v>
      </c>
      <c r="S1449" t="s">
        <v>2746</v>
      </c>
      <c r="T1449" t="s">
        <v>36</v>
      </c>
      <c r="U1449" t="s">
        <v>85</v>
      </c>
      <c r="V1449">
        <v>50</v>
      </c>
      <c r="W1449">
        <v>83</v>
      </c>
      <c r="X1449">
        <v>123</v>
      </c>
      <c r="Y1449">
        <v>80</v>
      </c>
      <c r="Z1449">
        <v>196</v>
      </c>
      <c r="AA1449">
        <v>134</v>
      </c>
      <c r="AB1449" t="s">
        <v>1267</v>
      </c>
      <c r="AC1449" t="s">
        <v>226</v>
      </c>
      <c r="AD1449" t="s">
        <v>210</v>
      </c>
      <c r="AE1449" t="s">
        <v>183</v>
      </c>
      <c r="AF1449">
        <v>1</v>
      </c>
    </row>
    <row r="1450" spans="1:32">
      <c r="A1450">
        <v>428</v>
      </c>
      <c r="B1450">
        <v>1222</v>
      </c>
      <c r="C1450" t="s">
        <v>2740</v>
      </c>
      <c r="D1450" t="s">
        <v>1411</v>
      </c>
      <c r="E1450" t="s">
        <v>2165</v>
      </c>
      <c r="F1450" t="s">
        <v>37</v>
      </c>
      <c r="G1450" t="s">
        <v>1608</v>
      </c>
      <c r="H1450" t="s">
        <v>192</v>
      </c>
      <c r="I1450" t="s">
        <v>212</v>
      </c>
      <c r="J1450" t="s">
        <v>212</v>
      </c>
      <c r="K1450" t="s">
        <v>2741</v>
      </c>
      <c r="L1450" s="84">
        <v>41665</v>
      </c>
      <c r="M1450" t="s">
        <v>381</v>
      </c>
      <c r="N1450" t="s">
        <v>2742</v>
      </c>
      <c r="O1450">
        <v>9</v>
      </c>
      <c r="P1450" t="s">
        <v>2743</v>
      </c>
      <c r="Q1450" t="s">
        <v>2744</v>
      </c>
      <c r="R1450" t="s">
        <v>2745</v>
      </c>
      <c r="S1450" t="s">
        <v>2746</v>
      </c>
      <c r="T1450" t="s">
        <v>37</v>
      </c>
      <c r="U1450" t="s">
        <v>85</v>
      </c>
      <c r="V1450">
        <v>50</v>
      </c>
      <c r="W1450">
        <v>83</v>
      </c>
      <c r="X1450">
        <v>123</v>
      </c>
      <c r="Y1450">
        <v>80</v>
      </c>
      <c r="Z1450">
        <v>196</v>
      </c>
      <c r="AA1450">
        <v>134</v>
      </c>
      <c r="AB1450" t="s">
        <v>1267</v>
      </c>
      <c r="AC1450" t="s">
        <v>226</v>
      </c>
      <c r="AD1450" t="s">
        <v>210</v>
      </c>
      <c r="AE1450" t="s">
        <v>183</v>
      </c>
      <c r="AF1450">
        <v>1</v>
      </c>
    </row>
    <row r="1451" spans="1:32">
      <c r="A1451">
        <v>429</v>
      </c>
      <c r="B1451">
        <v>830</v>
      </c>
      <c r="C1451" t="s">
        <v>948</v>
      </c>
      <c r="D1451" t="s">
        <v>1411</v>
      </c>
      <c r="E1451" t="s">
        <v>2165</v>
      </c>
      <c r="F1451" t="s">
        <v>37</v>
      </c>
      <c r="G1451" t="s">
        <v>1619</v>
      </c>
      <c r="H1451" t="s">
        <v>192</v>
      </c>
      <c r="I1451" t="s">
        <v>212</v>
      </c>
      <c r="J1451" t="s">
        <v>212</v>
      </c>
      <c r="K1451" t="s">
        <v>949</v>
      </c>
      <c r="L1451" s="84">
        <v>42265</v>
      </c>
      <c r="M1451" t="s">
        <v>352</v>
      </c>
      <c r="N1451" t="s">
        <v>950</v>
      </c>
      <c r="O1451">
        <v>2</v>
      </c>
      <c r="P1451" t="s">
        <v>951</v>
      </c>
      <c r="Q1451" t="s">
        <v>952</v>
      </c>
      <c r="R1451" t="s">
        <v>953</v>
      </c>
      <c r="S1451" t="s">
        <v>954</v>
      </c>
      <c r="T1451" t="s">
        <v>37</v>
      </c>
      <c r="U1451" t="s">
        <v>79</v>
      </c>
      <c r="V1451">
        <v>56</v>
      </c>
      <c r="W1451">
        <v>83</v>
      </c>
      <c r="X1451">
        <v>123</v>
      </c>
      <c r="Y1451">
        <v>90</v>
      </c>
      <c r="Z1451">
        <v>196</v>
      </c>
      <c r="AA1451">
        <v>151</v>
      </c>
      <c r="AB1451" t="s">
        <v>805</v>
      </c>
      <c r="AC1451" t="s">
        <v>238</v>
      </c>
      <c r="AD1451" t="s">
        <v>210</v>
      </c>
      <c r="AE1451" t="s">
        <v>183</v>
      </c>
      <c r="AF1451">
        <v>0</v>
      </c>
    </row>
    <row r="1452" spans="1:32">
      <c r="A1452">
        <v>429</v>
      </c>
      <c r="B1452">
        <v>830</v>
      </c>
      <c r="C1452" t="s">
        <v>948</v>
      </c>
      <c r="D1452" t="s">
        <v>1411</v>
      </c>
      <c r="E1452" t="s">
        <v>2165</v>
      </c>
      <c r="F1452" t="s">
        <v>193</v>
      </c>
      <c r="G1452" t="s">
        <v>1618</v>
      </c>
      <c r="H1452" t="s">
        <v>192</v>
      </c>
      <c r="I1452" t="s">
        <v>212</v>
      </c>
      <c r="J1452" t="s">
        <v>212</v>
      </c>
      <c r="K1452" t="s">
        <v>949</v>
      </c>
      <c r="L1452" s="84">
        <v>42265</v>
      </c>
      <c r="M1452" t="s">
        <v>352</v>
      </c>
      <c r="N1452" t="s">
        <v>950</v>
      </c>
      <c r="O1452">
        <v>2</v>
      </c>
      <c r="P1452" t="s">
        <v>951</v>
      </c>
      <c r="Q1452" t="s">
        <v>952</v>
      </c>
      <c r="R1452" t="s">
        <v>953</v>
      </c>
      <c r="S1452" t="s">
        <v>954</v>
      </c>
      <c r="T1452" t="s">
        <v>36</v>
      </c>
      <c r="U1452" t="s">
        <v>79</v>
      </c>
      <c r="V1452">
        <v>56</v>
      </c>
      <c r="W1452">
        <v>83</v>
      </c>
      <c r="X1452">
        <v>123</v>
      </c>
      <c r="Y1452">
        <v>90</v>
      </c>
      <c r="Z1452">
        <v>196</v>
      </c>
      <c r="AA1452">
        <v>151</v>
      </c>
      <c r="AB1452" t="s">
        <v>805</v>
      </c>
      <c r="AC1452" t="s">
        <v>238</v>
      </c>
      <c r="AD1452" t="s">
        <v>210</v>
      </c>
      <c r="AE1452" t="s">
        <v>183</v>
      </c>
      <c r="AF1452">
        <v>0</v>
      </c>
    </row>
    <row r="1453" spans="1:32">
      <c r="A1453">
        <v>429</v>
      </c>
      <c r="B1453">
        <v>830</v>
      </c>
      <c r="C1453" t="s">
        <v>948</v>
      </c>
      <c r="D1453" t="s">
        <v>1411</v>
      </c>
      <c r="E1453" t="s">
        <v>2165</v>
      </c>
      <c r="F1453" t="s">
        <v>197</v>
      </c>
      <c r="G1453" t="s">
        <v>1620</v>
      </c>
      <c r="H1453" t="s">
        <v>188</v>
      </c>
      <c r="I1453" t="s">
        <v>212</v>
      </c>
      <c r="J1453" t="s">
        <v>245</v>
      </c>
      <c r="K1453" t="s">
        <v>949</v>
      </c>
      <c r="L1453" s="84">
        <v>42265</v>
      </c>
      <c r="M1453" t="s">
        <v>352</v>
      </c>
      <c r="N1453" t="s">
        <v>950</v>
      </c>
      <c r="O1453">
        <v>2</v>
      </c>
      <c r="P1453" t="s">
        <v>951</v>
      </c>
      <c r="Q1453" t="s">
        <v>952</v>
      </c>
      <c r="R1453" t="s">
        <v>953</v>
      </c>
      <c r="S1453" t="s">
        <v>954</v>
      </c>
      <c r="T1453" t="s">
        <v>38</v>
      </c>
      <c r="U1453" t="s">
        <v>79</v>
      </c>
      <c r="V1453">
        <v>56</v>
      </c>
      <c r="W1453">
        <v>83</v>
      </c>
      <c r="X1453">
        <v>123</v>
      </c>
      <c r="Y1453">
        <v>90</v>
      </c>
      <c r="Z1453">
        <v>196</v>
      </c>
      <c r="AA1453">
        <v>151</v>
      </c>
      <c r="AB1453" t="s">
        <v>805</v>
      </c>
      <c r="AC1453" t="s">
        <v>238</v>
      </c>
      <c r="AD1453" t="s">
        <v>210</v>
      </c>
      <c r="AE1453" t="s">
        <v>183</v>
      </c>
      <c r="AF1453">
        <v>0</v>
      </c>
    </row>
    <row r="1454" spans="1:32">
      <c r="A1454">
        <v>429</v>
      </c>
      <c r="B1454">
        <v>830</v>
      </c>
      <c r="C1454" t="s">
        <v>948</v>
      </c>
      <c r="D1454" t="s">
        <v>1411</v>
      </c>
      <c r="E1454" t="s">
        <v>2165</v>
      </c>
      <c r="F1454" t="s">
        <v>5</v>
      </c>
      <c r="G1454" t="s">
        <v>1617</v>
      </c>
      <c r="H1454" t="s">
        <v>181</v>
      </c>
      <c r="I1454" t="s">
        <v>188</v>
      </c>
      <c r="J1454" t="s">
        <v>188</v>
      </c>
      <c r="K1454" t="s">
        <v>949</v>
      </c>
      <c r="L1454" s="84">
        <v>42265</v>
      </c>
      <c r="M1454" t="s">
        <v>352</v>
      </c>
      <c r="N1454" t="s">
        <v>950</v>
      </c>
      <c r="O1454">
        <v>2</v>
      </c>
      <c r="P1454" t="s">
        <v>951</v>
      </c>
      <c r="Q1454" t="s">
        <v>952</v>
      </c>
      <c r="R1454" t="s">
        <v>953</v>
      </c>
      <c r="S1454" t="s">
        <v>954</v>
      </c>
      <c r="T1454" t="s">
        <v>33</v>
      </c>
      <c r="U1454" t="s">
        <v>79</v>
      </c>
      <c r="V1454">
        <v>56</v>
      </c>
      <c r="W1454">
        <v>83</v>
      </c>
      <c r="X1454">
        <v>123</v>
      </c>
      <c r="Y1454">
        <v>90</v>
      </c>
      <c r="Z1454">
        <v>196</v>
      </c>
      <c r="AA1454">
        <v>151</v>
      </c>
      <c r="AB1454" t="s">
        <v>805</v>
      </c>
      <c r="AC1454" t="s">
        <v>238</v>
      </c>
      <c r="AD1454" t="s">
        <v>210</v>
      </c>
      <c r="AE1454" t="s">
        <v>183</v>
      </c>
      <c r="AF1454">
        <v>0</v>
      </c>
    </row>
    <row r="1455" spans="1:32">
      <c r="A1455">
        <v>429</v>
      </c>
      <c r="B1455">
        <v>830</v>
      </c>
      <c r="C1455" t="s">
        <v>948</v>
      </c>
      <c r="D1455" t="s">
        <v>1411</v>
      </c>
      <c r="E1455" t="s">
        <v>2165</v>
      </c>
      <c r="F1455" t="s">
        <v>8</v>
      </c>
      <c r="G1455" t="s">
        <v>1615</v>
      </c>
      <c r="H1455" t="s">
        <v>171</v>
      </c>
      <c r="I1455" t="s">
        <v>228</v>
      </c>
      <c r="J1455" t="s">
        <v>223</v>
      </c>
      <c r="K1455" t="s">
        <v>949</v>
      </c>
      <c r="L1455" s="84">
        <v>42265</v>
      </c>
      <c r="M1455" t="s">
        <v>352</v>
      </c>
      <c r="N1455" t="s">
        <v>950</v>
      </c>
      <c r="O1455">
        <v>2</v>
      </c>
      <c r="P1455" t="s">
        <v>951</v>
      </c>
      <c r="Q1455" t="s">
        <v>952</v>
      </c>
      <c r="R1455" t="s">
        <v>953</v>
      </c>
      <c r="S1455" t="s">
        <v>954</v>
      </c>
      <c r="T1455" t="s">
        <v>31</v>
      </c>
      <c r="U1455" t="s">
        <v>79</v>
      </c>
      <c r="V1455">
        <v>56</v>
      </c>
      <c r="W1455">
        <v>83</v>
      </c>
      <c r="X1455">
        <v>123</v>
      </c>
      <c r="Y1455">
        <v>90</v>
      </c>
      <c r="Z1455">
        <v>196</v>
      </c>
      <c r="AA1455">
        <v>151</v>
      </c>
      <c r="AB1455" t="s">
        <v>805</v>
      </c>
      <c r="AC1455" t="s">
        <v>238</v>
      </c>
      <c r="AD1455" t="s">
        <v>210</v>
      </c>
      <c r="AE1455" t="s">
        <v>183</v>
      </c>
      <c r="AF1455">
        <v>0</v>
      </c>
    </row>
    <row r="1456" spans="1:32">
      <c r="A1456">
        <v>429</v>
      </c>
      <c r="B1456">
        <v>830</v>
      </c>
      <c r="C1456" t="s">
        <v>948</v>
      </c>
      <c r="D1456" t="s">
        <v>1411</v>
      </c>
      <c r="E1456" t="s">
        <v>2165</v>
      </c>
      <c r="F1456" t="s">
        <v>7</v>
      </c>
      <c r="G1456" t="s">
        <v>1614</v>
      </c>
      <c r="H1456" t="s">
        <v>236</v>
      </c>
      <c r="I1456" t="s">
        <v>212</v>
      </c>
      <c r="J1456" t="s">
        <v>415</v>
      </c>
      <c r="K1456" t="s">
        <v>949</v>
      </c>
      <c r="L1456" s="84">
        <v>42265</v>
      </c>
      <c r="M1456" t="s">
        <v>352</v>
      </c>
      <c r="N1456" t="s">
        <v>950</v>
      </c>
      <c r="O1456">
        <v>2</v>
      </c>
      <c r="P1456" t="s">
        <v>951</v>
      </c>
      <c r="Q1456" t="s">
        <v>952</v>
      </c>
      <c r="R1456" t="s">
        <v>953</v>
      </c>
      <c r="S1456" t="s">
        <v>954</v>
      </c>
      <c r="T1456" t="s">
        <v>32</v>
      </c>
      <c r="U1456" t="s">
        <v>79</v>
      </c>
      <c r="V1456">
        <v>56</v>
      </c>
      <c r="W1456">
        <v>83</v>
      </c>
      <c r="X1456">
        <v>123</v>
      </c>
      <c r="Y1456">
        <v>90</v>
      </c>
      <c r="Z1456">
        <v>196</v>
      </c>
      <c r="AA1456">
        <v>151</v>
      </c>
      <c r="AB1456" t="s">
        <v>805</v>
      </c>
      <c r="AC1456" t="s">
        <v>238</v>
      </c>
      <c r="AD1456" t="s">
        <v>210</v>
      </c>
      <c r="AE1456" t="s">
        <v>183</v>
      </c>
      <c r="AF1456">
        <v>0</v>
      </c>
    </row>
    <row r="1457" spans="1:32">
      <c r="A1457">
        <v>429</v>
      </c>
      <c r="B1457">
        <v>830</v>
      </c>
      <c r="C1457" t="s">
        <v>948</v>
      </c>
      <c r="D1457" t="s">
        <v>1411</v>
      </c>
      <c r="E1457" t="s">
        <v>2165</v>
      </c>
      <c r="F1457" t="s">
        <v>6</v>
      </c>
      <c r="G1457" t="s">
        <v>1616</v>
      </c>
      <c r="H1457" t="s">
        <v>228</v>
      </c>
      <c r="I1457" t="s">
        <v>223</v>
      </c>
      <c r="J1457" t="s">
        <v>173</v>
      </c>
      <c r="K1457" t="s">
        <v>949</v>
      </c>
      <c r="L1457" s="84">
        <v>42265</v>
      </c>
      <c r="M1457" t="s">
        <v>352</v>
      </c>
      <c r="N1457" t="s">
        <v>950</v>
      </c>
      <c r="O1457">
        <v>2</v>
      </c>
      <c r="P1457" t="s">
        <v>951</v>
      </c>
      <c r="Q1457" t="s">
        <v>952</v>
      </c>
      <c r="R1457" t="s">
        <v>953</v>
      </c>
      <c r="S1457" t="s">
        <v>954</v>
      </c>
      <c r="T1457" t="s">
        <v>34</v>
      </c>
      <c r="U1457" t="s">
        <v>79</v>
      </c>
      <c r="V1457">
        <v>56</v>
      </c>
      <c r="W1457">
        <v>83</v>
      </c>
      <c r="X1457">
        <v>123</v>
      </c>
      <c r="Y1457">
        <v>90</v>
      </c>
      <c r="Z1457">
        <v>196</v>
      </c>
      <c r="AA1457">
        <v>151</v>
      </c>
      <c r="AB1457" t="s">
        <v>805</v>
      </c>
      <c r="AC1457" t="s">
        <v>238</v>
      </c>
      <c r="AD1457" t="s">
        <v>210</v>
      </c>
      <c r="AE1457" t="s">
        <v>183</v>
      </c>
      <c r="AF1457">
        <v>0</v>
      </c>
    </row>
    <row r="1458" spans="1:32">
      <c r="A1458">
        <v>430</v>
      </c>
      <c r="B1458">
        <v>1088</v>
      </c>
      <c r="C1458" t="s">
        <v>2032</v>
      </c>
      <c r="D1458" t="s">
        <v>1411</v>
      </c>
      <c r="E1458" t="s">
        <v>2165</v>
      </c>
      <c r="F1458" t="s">
        <v>6</v>
      </c>
      <c r="G1458" t="s">
        <v>1625</v>
      </c>
      <c r="H1458" t="s">
        <v>223</v>
      </c>
      <c r="I1458" t="s">
        <v>191</v>
      </c>
      <c r="J1458" t="s">
        <v>185</v>
      </c>
      <c r="K1458" t="s">
        <v>2033</v>
      </c>
      <c r="L1458" s="84">
        <v>42789</v>
      </c>
      <c r="M1458" t="s">
        <v>381</v>
      </c>
      <c r="N1458" t="s">
        <v>2034</v>
      </c>
      <c r="O1458">
        <v>3</v>
      </c>
      <c r="P1458" t="s">
        <v>2035</v>
      </c>
      <c r="Q1458" t="s">
        <v>2036</v>
      </c>
      <c r="R1458" t="s">
        <v>2080</v>
      </c>
      <c r="S1458" t="s">
        <v>2081</v>
      </c>
      <c r="T1458" t="s">
        <v>34</v>
      </c>
      <c r="U1458" t="s">
        <v>80</v>
      </c>
      <c r="V1458">
        <v>65</v>
      </c>
      <c r="W1458">
        <v>83</v>
      </c>
      <c r="X1458">
        <v>123</v>
      </c>
      <c r="Y1458">
        <v>98</v>
      </c>
      <c r="Z1458">
        <v>196</v>
      </c>
      <c r="AA1458">
        <v>157</v>
      </c>
      <c r="AB1458" t="s">
        <v>2106</v>
      </c>
      <c r="AC1458" t="s">
        <v>212</v>
      </c>
      <c r="AD1458" t="s">
        <v>210</v>
      </c>
      <c r="AE1458" t="s">
        <v>183</v>
      </c>
      <c r="AF1458">
        <v>1</v>
      </c>
    </row>
    <row r="1459" spans="1:32">
      <c r="A1459">
        <v>430</v>
      </c>
      <c r="B1459">
        <v>1088</v>
      </c>
      <c r="C1459" t="s">
        <v>2032</v>
      </c>
      <c r="D1459" t="s">
        <v>1411</v>
      </c>
      <c r="E1459" t="s">
        <v>2165</v>
      </c>
      <c r="F1459" t="s">
        <v>7</v>
      </c>
      <c r="G1459" t="s">
        <v>1627</v>
      </c>
      <c r="H1459" t="s">
        <v>185</v>
      </c>
      <c r="I1459" t="s">
        <v>243</v>
      </c>
      <c r="J1459" t="s">
        <v>181</v>
      </c>
      <c r="K1459" t="s">
        <v>2033</v>
      </c>
      <c r="L1459" s="84">
        <v>42789</v>
      </c>
      <c r="M1459" t="s">
        <v>381</v>
      </c>
      <c r="N1459" t="s">
        <v>2034</v>
      </c>
      <c r="O1459">
        <v>3</v>
      </c>
      <c r="P1459" t="s">
        <v>2035</v>
      </c>
      <c r="Q1459" t="s">
        <v>2036</v>
      </c>
      <c r="R1459" t="s">
        <v>2080</v>
      </c>
      <c r="S1459" t="s">
        <v>2081</v>
      </c>
      <c r="T1459" t="s">
        <v>32</v>
      </c>
      <c r="U1459" t="s">
        <v>80</v>
      </c>
      <c r="V1459">
        <v>65</v>
      </c>
      <c r="W1459">
        <v>83</v>
      </c>
      <c r="X1459">
        <v>123</v>
      </c>
      <c r="Y1459">
        <v>98</v>
      </c>
      <c r="Z1459">
        <v>196</v>
      </c>
      <c r="AA1459">
        <v>157</v>
      </c>
      <c r="AB1459" t="s">
        <v>2106</v>
      </c>
      <c r="AC1459" t="s">
        <v>212</v>
      </c>
      <c r="AD1459" t="s">
        <v>210</v>
      </c>
      <c r="AE1459" t="s">
        <v>183</v>
      </c>
      <c r="AF1459">
        <v>1</v>
      </c>
    </row>
    <row r="1460" spans="1:32">
      <c r="A1460">
        <v>430</v>
      </c>
      <c r="B1460">
        <v>1088</v>
      </c>
      <c r="C1460" t="s">
        <v>2032</v>
      </c>
      <c r="D1460" t="s">
        <v>1411</v>
      </c>
      <c r="E1460" t="s">
        <v>2165</v>
      </c>
      <c r="F1460" t="s">
        <v>8</v>
      </c>
      <c r="G1460" t="s">
        <v>1626</v>
      </c>
      <c r="H1460" t="s">
        <v>223</v>
      </c>
      <c r="I1460" t="s">
        <v>223</v>
      </c>
      <c r="J1460" t="s">
        <v>215</v>
      </c>
      <c r="K1460" t="s">
        <v>2033</v>
      </c>
      <c r="L1460" s="84">
        <v>42789</v>
      </c>
      <c r="M1460" t="s">
        <v>381</v>
      </c>
      <c r="N1460" t="s">
        <v>2034</v>
      </c>
      <c r="O1460">
        <v>3</v>
      </c>
      <c r="P1460" t="s">
        <v>2035</v>
      </c>
      <c r="Q1460" t="s">
        <v>2036</v>
      </c>
      <c r="R1460" t="s">
        <v>2080</v>
      </c>
      <c r="S1460" t="s">
        <v>2081</v>
      </c>
      <c r="T1460" t="s">
        <v>31</v>
      </c>
      <c r="U1460" t="s">
        <v>80</v>
      </c>
      <c r="V1460">
        <v>65</v>
      </c>
      <c r="W1460">
        <v>83</v>
      </c>
      <c r="X1460">
        <v>123</v>
      </c>
      <c r="Y1460">
        <v>98</v>
      </c>
      <c r="Z1460">
        <v>196</v>
      </c>
      <c r="AA1460">
        <v>157</v>
      </c>
      <c r="AB1460" t="s">
        <v>2106</v>
      </c>
      <c r="AC1460" t="s">
        <v>212</v>
      </c>
      <c r="AD1460" t="s">
        <v>210</v>
      </c>
      <c r="AE1460" t="s">
        <v>183</v>
      </c>
      <c r="AF1460">
        <v>1</v>
      </c>
    </row>
    <row r="1461" spans="1:32">
      <c r="A1461">
        <v>430</v>
      </c>
      <c r="B1461">
        <v>1088</v>
      </c>
      <c r="C1461" t="s">
        <v>2032</v>
      </c>
      <c r="D1461" t="s">
        <v>1411</v>
      </c>
      <c r="E1461" t="s">
        <v>2165</v>
      </c>
      <c r="F1461" t="s">
        <v>5</v>
      </c>
      <c r="G1461" t="s">
        <v>1624</v>
      </c>
      <c r="H1461" t="s">
        <v>2045</v>
      </c>
      <c r="I1461" t="s">
        <v>188</v>
      </c>
      <c r="J1461" t="s">
        <v>415</v>
      </c>
      <c r="K1461" t="s">
        <v>2033</v>
      </c>
      <c r="L1461" s="84">
        <v>42789</v>
      </c>
      <c r="M1461" t="s">
        <v>381</v>
      </c>
      <c r="N1461" t="s">
        <v>2034</v>
      </c>
      <c r="O1461">
        <v>3</v>
      </c>
      <c r="P1461" t="s">
        <v>2035</v>
      </c>
      <c r="Q1461" t="s">
        <v>2036</v>
      </c>
      <c r="R1461" t="s">
        <v>2080</v>
      </c>
      <c r="S1461" t="s">
        <v>2081</v>
      </c>
      <c r="T1461" t="s">
        <v>33</v>
      </c>
      <c r="U1461" t="s">
        <v>80</v>
      </c>
      <c r="V1461">
        <v>65</v>
      </c>
      <c r="W1461">
        <v>83</v>
      </c>
      <c r="X1461">
        <v>123</v>
      </c>
      <c r="Y1461">
        <v>98</v>
      </c>
      <c r="Z1461">
        <v>196</v>
      </c>
      <c r="AA1461">
        <v>157</v>
      </c>
      <c r="AB1461" t="s">
        <v>2106</v>
      </c>
      <c r="AC1461" t="s">
        <v>212</v>
      </c>
      <c r="AD1461" t="s">
        <v>210</v>
      </c>
      <c r="AE1461" t="s">
        <v>2046</v>
      </c>
      <c r="AF1461">
        <v>1</v>
      </c>
    </row>
    <row r="1462" spans="1:32">
      <c r="A1462">
        <v>430</v>
      </c>
      <c r="B1462">
        <v>1088</v>
      </c>
      <c r="C1462" t="s">
        <v>2032</v>
      </c>
      <c r="D1462" t="s">
        <v>1411</v>
      </c>
      <c r="E1462" t="s">
        <v>2165</v>
      </c>
      <c r="F1462" t="s">
        <v>197</v>
      </c>
      <c r="G1462" t="s">
        <v>1621</v>
      </c>
      <c r="H1462" t="s">
        <v>188</v>
      </c>
      <c r="I1462" t="s">
        <v>212</v>
      </c>
      <c r="J1462" t="s">
        <v>2144</v>
      </c>
      <c r="K1462" t="s">
        <v>2033</v>
      </c>
      <c r="L1462" s="84">
        <v>42789</v>
      </c>
      <c r="M1462" t="s">
        <v>381</v>
      </c>
      <c r="N1462" t="s">
        <v>2034</v>
      </c>
      <c r="O1462">
        <v>3</v>
      </c>
      <c r="P1462" t="s">
        <v>2035</v>
      </c>
      <c r="Q1462" t="s">
        <v>2036</v>
      </c>
      <c r="R1462" t="s">
        <v>2080</v>
      </c>
      <c r="S1462" t="s">
        <v>2081</v>
      </c>
      <c r="T1462" t="s">
        <v>38</v>
      </c>
      <c r="U1462" t="s">
        <v>80</v>
      </c>
      <c r="V1462">
        <v>65</v>
      </c>
      <c r="W1462">
        <v>83</v>
      </c>
      <c r="X1462">
        <v>123</v>
      </c>
      <c r="Y1462">
        <v>98</v>
      </c>
      <c r="Z1462">
        <v>196</v>
      </c>
      <c r="AA1462">
        <v>157</v>
      </c>
      <c r="AB1462" t="s">
        <v>2106</v>
      </c>
      <c r="AC1462" t="s">
        <v>212</v>
      </c>
      <c r="AD1462" t="s">
        <v>210</v>
      </c>
      <c r="AE1462" t="s">
        <v>183</v>
      </c>
      <c r="AF1462">
        <v>1</v>
      </c>
    </row>
    <row r="1463" spans="1:32">
      <c r="A1463">
        <v>430</v>
      </c>
      <c r="B1463">
        <v>1088</v>
      </c>
      <c r="C1463" t="s">
        <v>2032</v>
      </c>
      <c r="D1463" t="s">
        <v>1411</v>
      </c>
      <c r="E1463" t="s">
        <v>2165</v>
      </c>
      <c r="F1463" t="s">
        <v>193</v>
      </c>
      <c r="G1463" t="s">
        <v>1623</v>
      </c>
      <c r="H1463" t="s">
        <v>192</v>
      </c>
      <c r="I1463" t="s">
        <v>212</v>
      </c>
      <c r="J1463" t="s">
        <v>212</v>
      </c>
      <c r="K1463" t="s">
        <v>2033</v>
      </c>
      <c r="L1463" s="84">
        <v>42789</v>
      </c>
      <c r="M1463" t="s">
        <v>381</v>
      </c>
      <c r="N1463" t="s">
        <v>2034</v>
      </c>
      <c r="O1463">
        <v>3</v>
      </c>
      <c r="P1463" t="s">
        <v>2035</v>
      </c>
      <c r="Q1463" t="s">
        <v>2036</v>
      </c>
      <c r="R1463" t="s">
        <v>2080</v>
      </c>
      <c r="S1463" t="s">
        <v>2081</v>
      </c>
      <c r="T1463" t="s">
        <v>36</v>
      </c>
      <c r="U1463" t="s">
        <v>80</v>
      </c>
      <c r="V1463">
        <v>65</v>
      </c>
      <c r="W1463">
        <v>83</v>
      </c>
      <c r="X1463">
        <v>123</v>
      </c>
      <c r="Y1463">
        <v>98</v>
      </c>
      <c r="Z1463">
        <v>196</v>
      </c>
      <c r="AA1463">
        <v>157</v>
      </c>
      <c r="AB1463" t="s">
        <v>2106</v>
      </c>
      <c r="AC1463" t="s">
        <v>212</v>
      </c>
      <c r="AD1463" t="s">
        <v>210</v>
      </c>
      <c r="AE1463" t="s">
        <v>183</v>
      </c>
      <c r="AF1463">
        <v>1</v>
      </c>
    </row>
    <row r="1464" spans="1:32">
      <c r="A1464">
        <v>430</v>
      </c>
      <c r="B1464">
        <v>1088</v>
      </c>
      <c r="C1464" t="s">
        <v>2032</v>
      </c>
      <c r="D1464" t="s">
        <v>1411</v>
      </c>
      <c r="E1464" t="s">
        <v>2165</v>
      </c>
      <c r="F1464" t="s">
        <v>37</v>
      </c>
      <c r="G1464" t="s">
        <v>1622</v>
      </c>
      <c r="H1464" t="s">
        <v>192</v>
      </c>
      <c r="I1464" t="s">
        <v>212</v>
      </c>
      <c r="J1464" t="s">
        <v>192</v>
      </c>
      <c r="K1464" t="s">
        <v>2033</v>
      </c>
      <c r="L1464" s="84">
        <v>42789</v>
      </c>
      <c r="M1464" t="s">
        <v>381</v>
      </c>
      <c r="N1464" t="s">
        <v>2034</v>
      </c>
      <c r="O1464">
        <v>3</v>
      </c>
      <c r="P1464" t="s">
        <v>2035</v>
      </c>
      <c r="Q1464" t="s">
        <v>2036</v>
      </c>
      <c r="R1464" t="s">
        <v>2080</v>
      </c>
      <c r="S1464" t="s">
        <v>2081</v>
      </c>
      <c r="T1464" t="s">
        <v>37</v>
      </c>
      <c r="U1464" t="s">
        <v>80</v>
      </c>
      <c r="V1464">
        <v>65</v>
      </c>
      <c r="W1464">
        <v>83</v>
      </c>
      <c r="X1464">
        <v>123</v>
      </c>
      <c r="Y1464">
        <v>98</v>
      </c>
      <c r="Z1464">
        <v>196</v>
      </c>
      <c r="AA1464">
        <v>157</v>
      </c>
      <c r="AB1464" t="s">
        <v>2106</v>
      </c>
      <c r="AC1464" t="s">
        <v>212</v>
      </c>
      <c r="AD1464" t="s">
        <v>210</v>
      </c>
      <c r="AE1464" t="s">
        <v>183</v>
      </c>
      <c r="AF1464">
        <v>1</v>
      </c>
    </row>
    <row r="1465" spans="1:32">
      <c r="A1465">
        <v>431</v>
      </c>
      <c r="B1465">
        <v>1093</v>
      </c>
      <c r="C1465" t="s">
        <v>2037</v>
      </c>
      <c r="D1465" t="s">
        <v>1411</v>
      </c>
      <c r="E1465" t="s">
        <v>2165</v>
      </c>
      <c r="F1465" t="s">
        <v>37</v>
      </c>
      <c r="G1465" t="s">
        <v>1633</v>
      </c>
      <c r="H1465" t="s">
        <v>192</v>
      </c>
      <c r="I1465" t="s">
        <v>212</v>
      </c>
      <c r="J1465" t="s">
        <v>212</v>
      </c>
      <c r="K1465" t="s">
        <v>2038</v>
      </c>
      <c r="L1465" s="84">
        <v>42656</v>
      </c>
      <c r="M1465" t="s">
        <v>381</v>
      </c>
      <c r="N1465" t="s">
        <v>2039</v>
      </c>
      <c r="O1465">
        <v>1</v>
      </c>
      <c r="P1465" t="s">
        <v>2040</v>
      </c>
      <c r="Q1465" t="s">
        <v>2041</v>
      </c>
      <c r="R1465" t="s">
        <v>2082</v>
      </c>
      <c r="S1465" t="s">
        <v>2083</v>
      </c>
      <c r="T1465" t="s">
        <v>37</v>
      </c>
      <c r="U1465" t="s">
        <v>78</v>
      </c>
      <c r="V1465">
        <v>75</v>
      </c>
      <c r="W1465">
        <v>83</v>
      </c>
      <c r="X1465">
        <v>123</v>
      </c>
      <c r="Y1465">
        <v>110</v>
      </c>
      <c r="Z1465">
        <v>196</v>
      </c>
      <c r="AA1465">
        <v>177</v>
      </c>
      <c r="AB1465" t="s">
        <v>413</v>
      </c>
      <c r="AC1465" t="s">
        <v>212</v>
      </c>
      <c r="AD1465" t="s">
        <v>210</v>
      </c>
      <c r="AE1465" t="s">
        <v>183</v>
      </c>
      <c r="AF1465">
        <v>0</v>
      </c>
    </row>
    <row r="1466" spans="1:32">
      <c r="A1466">
        <v>431</v>
      </c>
      <c r="B1466">
        <v>1093</v>
      </c>
      <c r="C1466" t="s">
        <v>2037</v>
      </c>
      <c r="D1466" t="s">
        <v>1411</v>
      </c>
      <c r="E1466" t="s">
        <v>2165</v>
      </c>
      <c r="F1466" t="s">
        <v>193</v>
      </c>
      <c r="G1466" t="s">
        <v>1632</v>
      </c>
      <c r="H1466" t="s">
        <v>192</v>
      </c>
      <c r="I1466" t="s">
        <v>212</v>
      </c>
      <c r="J1466" t="s">
        <v>192</v>
      </c>
      <c r="K1466" t="s">
        <v>2038</v>
      </c>
      <c r="L1466" s="84">
        <v>42656</v>
      </c>
      <c r="M1466" t="s">
        <v>381</v>
      </c>
      <c r="N1466" t="s">
        <v>2039</v>
      </c>
      <c r="O1466">
        <v>1</v>
      </c>
      <c r="P1466" t="s">
        <v>2040</v>
      </c>
      <c r="Q1466" t="s">
        <v>2041</v>
      </c>
      <c r="R1466" t="s">
        <v>2082</v>
      </c>
      <c r="S1466" t="s">
        <v>2083</v>
      </c>
      <c r="T1466" t="s">
        <v>36</v>
      </c>
      <c r="U1466" t="s">
        <v>78</v>
      </c>
      <c r="V1466">
        <v>75</v>
      </c>
      <c r="W1466">
        <v>83</v>
      </c>
      <c r="X1466">
        <v>123</v>
      </c>
      <c r="Y1466">
        <v>110</v>
      </c>
      <c r="Z1466">
        <v>196</v>
      </c>
      <c r="AA1466">
        <v>177</v>
      </c>
      <c r="AB1466" t="s">
        <v>413</v>
      </c>
      <c r="AC1466" t="s">
        <v>212</v>
      </c>
      <c r="AD1466" t="s">
        <v>210</v>
      </c>
      <c r="AE1466" t="s">
        <v>183</v>
      </c>
      <c r="AF1466">
        <v>0</v>
      </c>
    </row>
    <row r="1467" spans="1:32">
      <c r="A1467">
        <v>431</v>
      </c>
      <c r="B1467">
        <v>1093</v>
      </c>
      <c r="C1467" t="s">
        <v>2037</v>
      </c>
      <c r="D1467" t="s">
        <v>1411</v>
      </c>
      <c r="E1467" t="s">
        <v>2165</v>
      </c>
      <c r="F1467" t="s">
        <v>197</v>
      </c>
      <c r="G1467" t="s">
        <v>1634</v>
      </c>
      <c r="H1467" t="s">
        <v>188</v>
      </c>
      <c r="I1467" t="s">
        <v>212</v>
      </c>
      <c r="J1467" t="s">
        <v>2144</v>
      </c>
      <c r="K1467" t="s">
        <v>2038</v>
      </c>
      <c r="L1467" s="84">
        <v>42656</v>
      </c>
      <c r="M1467" t="s">
        <v>381</v>
      </c>
      <c r="N1467" t="s">
        <v>2039</v>
      </c>
      <c r="O1467">
        <v>1</v>
      </c>
      <c r="P1467" t="s">
        <v>2040</v>
      </c>
      <c r="Q1467" t="s">
        <v>2041</v>
      </c>
      <c r="R1467" t="s">
        <v>2082</v>
      </c>
      <c r="S1467" t="s">
        <v>2083</v>
      </c>
      <c r="T1467" t="s">
        <v>38</v>
      </c>
      <c r="U1467" t="s">
        <v>78</v>
      </c>
      <c r="V1467">
        <v>75</v>
      </c>
      <c r="W1467">
        <v>83</v>
      </c>
      <c r="X1467">
        <v>123</v>
      </c>
      <c r="Y1467">
        <v>110</v>
      </c>
      <c r="Z1467">
        <v>196</v>
      </c>
      <c r="AA1467">
        <v>177</v>
      </c>
      <c r="AB1467" t="s">
        <v>413</v>
      </c>
      <c r="AC1467" t="s">
        <v>212</v>
      </c>
      <c r="AD1467" t="s">
        <v>210</v>
      </c>
      <c r="AE1467" t="s">
        <v>183</v>
      </c>
      <c r="AF1467">
        <v>0</v>
      </c>
    </row>
    <row r="1468" spans="1:32">
      <c r="A1468">
        <v>431</v>
      </c>
      <c r="B1468">
        <v>1093</v>
      </c>
      <c r="C1468" t="s">
        <v>2037</v>
      </c>
      <c r="D1468" t="s">
        <v>1411</v>
      </c>
      <c r="E1468" t="s">
        <v>2165</v>
      </c>
      <c r="F1468" t="s">
        <v>5</v>
      </c>
      <c r="G1468" t="s">
        <v>1631</v>
      </c>
      <c r="H1468" t="s">
        <v>237</v>
      </c>
      <c r="I1468" t="s">
        <v>220</v>
      </c>
      <c r="J1468" t="s">
        <v>403</v>
      </c>
      <c r="K1468" t="s">
        <v>2038</v>
      </c>
      <c r="L1468" s="84">
        <v>42656</v>
      </c>
      <c r="M1468" t="s">
        <v>381</v>
      </c>
      <c r="N1468" t="s">
        <v>2039</v>
      </c>
      <c r="O1468">
        <v>1</v>
      </c>
      <c r="P1468" t="s">
        <v>2040</v>
      </c>
      <c r="Q1468" t="s">
        <v>2041</v>
      </c>
      <c r="R1468" t="s">
        <v>2082</v>
      </c>
      <c r="S1468" t="s">
        <v>2083</v>
      </c>
      <c r="T1468" t="s">
        <v>33</v>
      </c>
      <c r="U1468" t="s">
        <v>78</v>
      </c>
      <c r="V1468">
        <v>75</v>
      </c>
      <c r="W1468">
        <v>83</v>
      </c>
      <c r="X1468">
        <v>123</v>
      </c>
      <c r="Y1468">
        <v>110</v>
      </c>
      <c r="Z1468">
        <v>196</v>
      </c>
      <c r="AA1468">
        <v>177</v>
      </c>
      <c r="AB1468" t="s">
        <v>413</v>
      </c>
      <c r="AC1468" t="s">
        <v>212</v>
      </c>
      <c r="AD1468" t="s">
        <v>210</v>
      </c>
      <c r="AE1468" t="s">
        <v>183</v>
      </c>
      <c r="AF1468">
        <v>0</v>
      </c>
    </row>
    <row r="1469" spans="1:32">
      <c r="A1469">
        <v>431</v>
      </c>
      <c r="B1469">
        <v>1093</v>
      </c>
      <c r="C1469" t="s">
        <v>2037</v>
      </c>
      <c r="D1469" t="s">
        <v>1411</v>
      </c>
      <c r="E1469" t="s">
        <v>2165</v>
      </c>
      <c r="F1469" t="s">
        <v>8</v>
      </c>
      <c r="G1469" t="s">
        <v>1629</v>
      </c>
      <c r="H1469" t="s">
        <v>171</v>
      </c>
      <c r="I1469" t="s">
        <v>173</v>
      </c>
      <c r="J1469" t="s">
        <v>220</v>
      </c>
      <c r="K1469" t="s">
        <v>2038</v>
      </c>
      <c r="L1469" s="84">
        <v>42656</v>
      </c>
      <c r="M1469" t="s">
        <v>381</v>
      </c>
      <c r="N1469" t="s">
        <v>2039</v>
      </c>
      <c r="O1469">
        <v>1</v>
      </c>
      <c r="P1469" t="s">
        <v>2040</v>
      </c>
      <c r="Q1469" t="s">
        <v>2041</v>
      </c>
      <c r="R1469" t="s">
        <v>2082</v>
      </c>
      <c r="S1469" t="s">
        <v>2083</v>
      </c>
      <c r="T1469" t="s">
        <v>31</v>
      </c>
      <c r="U1469" t="s">
        <v>78</v>
      </c>
      <c r="V1469">
        <v>75</v>
      </c>
      <c r="W1469">
        <v>83</v>
      </c>
      <c r="X1469">
        <v>123</v>
      </c>
      <c r="Y1469">
        <v>110</v>
      </c>
      <c r="Z1469">
        <v>196</v>
      </c>
      <c r="AA1469">
        <v>177</v>
      </c>
      <c r="AB1469" t="s">
        <v>413</v>
      </c>
      <c r="AC1469" t="s">
        <v>212</v>
      </c>
      <c r="AD1469" t="s">
        <v>210</v>
      </c>
      <c r="AE1469" t="s">
        <v>183</v>
      </c>
      <c r="AF1469">
        <v>0</v>
      </c>
    </row>
    <row r="1470" spans="1:32">
      <c r="A1470">
        <v>431</v>
      </c>
      <c r="B1470">
        <v>1093</v>
      </c>
      <c r="C1470" t="s">
        <v>2037</v>
      </c>
      <c r="D1470" t="s">
        <v>1411</v>
      </c>
      <c r="E1470" t="s">
        <v>2165</v>
      </c>
      <c r="F1470" t="s">
        <v>7</v>
      </c>
      <c r="G1470" t="s">
        <v>1628</v>
      </c>
      <c r="H1470" t="s">
        <v>256</v>
      </c>
      <c r="I1470" t="s">
        <v>181</v>
      </c>
      <c r="J1470" t="s">
        <v>187</v>
      </c>
      <c r="K1470" t="s">
        <v>2038</v>
      </c>
      <c r="L1470" s="84">
        <v>42656</v>
      </c>
      <c r="M1470" t="s">
        <v>381</v>
      </c>
      <c r="N1470" t="s">
        <v>2039</v>
      </c>
      <c r="O1470">
        <v>1</v>
      </c>
      <c r="P1470" t="s">
        <v>2040</v>
      </c>
      <c r="Q1470" t="s">
        <v>2041</v>
      </c>
      <c r="R1470" t="s">
        <v>2082</v>
      </c>
      <c r="S1470" t="s">
        <v>2083</v>
      </c>
      <c r="T1470" t="s">
        <v>32</v>
      </c>
      <c r="U1470" t="s">
        <v>78</v>
      </c>
      <c r="V1470">
        <v>75</v>
      </c>
      <c r="W1470">
        <v>83</v>
      </c>
      <c r="X1470">
        <v>123</v>
      </c>
      <c r="Y1470">
        <v>110</v>
      </c>
      <c r="Z1470">
        <v>196</v>
      </c>
      <c r="AA1470">
        <v>177</v>
      </c>
      <c r="AB1470" t="s">
        <v>413</v>
      </c>
      <c r="AC1470" t="s">
        <v>212</v>
      </c>
      <c r="AD1470" t="s">
        <v>210</v>
      </c>
      <c r="AE1470" t="s">
        <v>183</v>
      </c>
      <c r="AF1470">
        <v>0</v>
      </c>
    </row>
    <row r="1471" spans="1:32">
      <c r="A1471">
        <v>431</v>
      </c>
      <c r="B1471">
        <v>1093</v>
      </c>
      <c r="C1471" t="s">
        <v>2037</v>
      </c>
      <c r="D1471" t="s">
        <v>1411</v>
      </c>
      <c r="E1471" t="s">
        <v>2165</v>
      </c>
      <c r="F1471" t="s">
        <v>6</v>
      </c>
      <c r="G1471" t="s">
        <v>1630</v>
      </c>
      <c r="H1471" t="s">
        <v>212</v>
      </c>
      <c r="I1471" t="s">
        <v>188</v>
      </c>
      <c r="J1471" t="s">
        <v>237</v>
      </c>
      <c r="K1471" t="s">
        <v>2038</v>
      </c>
      <c r="L1471" s="84">
        <v>42656</v>
      </c>
      <c r="M1471" t="s">
        <v>381</v>
      </c>
      <c r="N1471" t="s">
        <v>2039</v>
      </c>
      <c r="O1471">
        <v>1</v>
      </c>
      <c r="P1471" t="s">
        <v>2040</v>
      </c>
      <c r="Q1471" t="s">
        <v>2041</v>
      </c>
      <c r="R1471" t="s">
        <v>2082</v>
      </c>
      <c r="S1471" t="s">
        <v>2083</v>
      </c>
      <c r="T1471" t="s">
        <v>34</v>
      </c>
      <c r="U1471" t="s">
        <v>78</v>
      </c>
      <c r="V1471">
        <v>75</v>
      </c>
      <c r="W1471">
        <v>83</v>
      </c>
      <c r="X1471">
        <v>123</v>
      </c>
      <c r="Y1471">
        <v>110</v>
      </c>
      <c r="Z1471">
        <v>196</v>
      </c>
      <c r="AA1471">
        <v>177</v>
      </c>
      <c r="AB1471" t="s">
        <v>413</v>
      </c>
      <c r="AC1471" t="s">
        <v>212</v>
      </c>
      <c r="AD1471" t="s">
        <v>210</v>
      </c>
      <c r="AE1471" t="s">
        <v>183</v>
      </c>
      <c r="AF1471">
        <v>0</v>
      </c>
    </row>
    <row r="1472" spans="1:32">
      <c r="A1472">
        <v>432</v>
      </c>
      <c r="B1472">
        <v>1204</v>
      </c>
      <c r="C1472" t="s">
        <v>2747</v>
      </c>
      <c r="D1472" t="s">
        <v>1411</v>
      </c>
      <c r="E1472" t="s">
        <v>2165</v>
      </c>
      <c r="F1472" t="s">
        <v>6</v>
      </c>
      <c r="G1472" t="s">
        <v>1639</v>
      </c>
      <c r="H1472" t="s">
        <v>237</v>
      </c>
      <c r="I1472" t="s">
        <v>237</v>
      </c>
      <c r="J1472" t="s">
        <v>191</v>
      </c>
      <c r="K1472" t="s">
        <v>2748</v>
      </c>
      <c r="L1472" s="84">
        <v>42638</v>
      </c>
      <c r="M1472" t="s">
        <v>381</v>
      </c>
      <c r="N1472" t="s">
        <v>2749</v>
      </c>
      <c r="O1472">
        <v>9</v>
      </c>
      <c r="P1472" t="s">
        <v>2750</v>
      </c>
      <c r="Q1472" t="s">
        <v>2751</v>
      </c>
      <c r="R1472" t="s">
        <v>2752</v>
      </c>
      <c r="S1472" t="s">
        <v>2753</v>
      </c>
      <c r="T1472" t="s">
        <v>34</v>
      </c>
      <c r="U1472" t="s">
        <v>85</v>
      </c>
      <c r="V1472">
        <v>62</v>
      </c>
      <c r="W1472">
        <v>83</v>
      </c>
      <c r="X1472">
        <v>123</v>
      </c>
      <c r="Y1472">
        <v>99</v>
      </c>
      <c r="Z1472">
        <v>196</v>
      </c>
      <c r="AA1472">
        <v>170</v>
      </c>
      <c r="AB1472" t="s">
        <v>234</v>
      </c>
      <c r="AC1472" t="s">
        <v>212</v>
      </c>
      <c r="AD1472" t="s">
        <v>210</v>
      </c>
      <c r="AE1472" t="s">
        <v>183</v>
      </c>
      <c r="AF1472">
        <v>0</v>
      </c>
    </row>
    <row r="1473" spans="1:32">
      <c r="A1473">
        <v>432</v>
      </c>
      <c r="B1473">
        <v>1204</v>
      </c>
      <c r="C1473" t="s">
        <v>2747</v>
      </c>
      <c r="D1473" t="s">
        <v>1411</v>
      </c>
      <c r="E1473" t="s">
        <v>2165</v>
      </c>
      <c r="F1473" t="s">
        <v>7</v>
      </c>
      <c r="G1473" t="s">
        <v>1641</v>
      </c>
      <c r="H1473" t="s">
        <v>220</v>
      </c>
      <c r="I1473" t="s">
        <v>181</v>
      </c>
      <c r="J1473" t="s">
        <v>237</v>
      </c>
      <c r="K1473" t="s">
        <v>2748</v>
      </c>
      <c r="L1473" s="84">
        <v>42638</v>
      </c>
      <c r="M1473" t="s">
        <v>381</v>
      </c>
      <c r="N1473" t="s">
        <v>2749</v>
      </c>
      <c r="O1473">
        <v>9</v>
      </c>
      <c r="P1473" t="s">
        <v>2750</v>
      </c>
      <c r="Q1473" t="s">
        <v>2751</v>
      </c>
      <c r="R1473" t="s">
        <v>2752</v>
      </c>
      <c r="S1473" t="s">
        <v>2753</v>
      </c>
      <c r="T1473" t="s">
        <v>32</v>
      </c>
      <c r="U1473" t="s">
        <v>85</v>
      </c>
      <c r="V1473">
        <v>62</v>
      </c>
      <c r="W1473">
        <v>83</v>
      </c>
      <c r="X1473">
        <v>123</v>
      </c>
      <c r="Y1473">
        <v>99</v>
      </c>
      <c r="Z1473">
        <v>196</v>
      </c>
      <c r="AA1473">
        <v>170</v>
      </c>
      <c r="AB1473" t="s">
        <v>234</v>
      </c>
      <c r="AC1473" t="s">
        <v>212</v>
      </c>
      <c r="AD1473" t="s">
        <v>210</v>
      </c>
      <c r="AE1473" t="s">
        <v>183</v>
      </c>
      <c r="AF1473">
        <v>0</v>
      </c>
    </row>
    <row r="1474" spans="1:32">
      <c r="A1474">
        <v>432</v>
      </c>
      <c r="B1474">
        <v>1204</v>
      </c>
      <c r="C1474" t="s">
        <v>2747</v>
      </c>
      <c r="D1474" t="s">
        <v>1411</v>
      </c>
      <c r="E1474" t="s">
        <v>2165</v>
      </c>
      <c r="F1474" t="s">
        <v>8</v>
      </c>
      <c r="G1474" t="s">
        <v>1640</v>
      </c>
      <c r="H1474" t="s">
        <v>228</v>
      </c>
      <c r="I1474" t="s">
        <v>220</v>
      </c>
      <c r="J1474" t="s">
        <v>216</v>
      </c>
      <c r="K1474" t="s">
        <v>2748</v>
      </c>
      <c r="L1474" s="84">
        <v>42638</v>
      </c>
      <c r="M1474" t="s">
        <v>381</v>
      </c>
      <c r="N1474" t="s">
        <v>2749</v>
      </c>
      <c r="O1474">
        <v>9</v>
      </c>
      <c r="P1474" t="s">
        <v>2750</v>
      </c>
      <c r="Q1474" t="s">
        <v>2751</v>
      </c>
      <c r="R1474" t="s">
        <v>2752</v>
      </c>
      <c r="S1474" t="s">
        <v>2753</v>
      </c>
      <c r="T1474" t="s">
        <v>31</v>
      </c>
      <c r="U1474" t="s">
        <v>85</v>
      </c>
      <c r="V1474">
        <v>62</v>
      </c>
      <c r="W1474">
        <v>83</v>
      </c>
      <c r="X1474">
        <v>123</v>
      </c>
      <c r="Y1474">
        <v>99</v>
      </c>
      <c r="Z1474">
        <v>196</v>
      </c>
      <c r="AA1474">
        <v>170</v>
      </c>
      <c r="AB1474" t="s">
        <v>234</v>
      </c>
      <c r="AC1474" t="s">
        <v>212</v>
      </c>
      <c r="AD1474" t="s">
        <v>210</v>
      </c>
      <c r="AE1474" t="s">
        <v>183</v>
      </c>
      <c r="AF1474">
        <v>0</v>
      </c>
    </row>
    <row r="1475" spans="1:32">
      <c r="A1475">
        <v>432</v>
      </c>
      <c r="B1475">
        <v>1204</v>
      </c>
      <c r="C1475" t="s">
        <v>2747</v>
      </c>
      <c r="D1475" t="s">
        <v>1411</v>
      </c>
      <c r="E1475" t="s">
        <v>2165</v>
      </c>
      <c r="F1475" t="s">
        <v>5</v>
      </c>
      <c r="G1475" t="s">
        <v>1638</v>
      </c>
      <c r="H1475" t="s">
        <v>188</v>
      </c>
      <c r="I1475" t="s">
        <v>192</v>
      </c>
      <c r="J1475" t="s">
        <v>173</v>
      </c>
      <c r="K1475" t="s">
        <v>2748</v>
      </c>
      <c r="L1475" s="84">
        <v>42638</v>
      </c>
      <c r="M1475" t="s">
        <v>381</v>
      </c>
      <c r="N1475" t="s">
        <v>2749</v>
      </c>
      <c r="O1475">
        <v>9</v>
      </c>
      <c r="P1475" t="s">
        <v>2750</v>
      </c>
      <c r="Q1475" t="s">
        <v>2751</v>
      </c>
      <c r="R1475" t="s">
        <v>2752</v>
      </c>
      <c r="S1475" t="s">
        <v>2753</v>
      </c>
      <c r="T1475" t="s">
        <v>33</v>
      </c>
      <c r="U1475" t="s">
        <v>85</v>
      </c>
      <c r="V1475">
        <v>62</v>
      </c>
      <c r="W1475">
        <v>83</v>
      </c>
      <c r="X1475">
        <v>123</v>
      </c>
      <c r="Y1475">
        <v>99</v>
      </c>
      <c r="Z1475">
        <v>196</v>
      </c>
      <c r="AA1475">
        <v>170</v>
      </c>
      <c r="AB1475" t="s">
        <v>234</v>
      </c>
      <c r="AC1475" t="s">
        <v>212</v>
      </c>
      <c r="AD1475" t="s">
        <v>210</v>
      </c>
      <c r="AE1475" t="s">
        <v>183</v>
      </c>
      <c r="AF1475">
        <v>0</v>
      </c>
    </row>
    <row r="1476" spans="1:32">
      <c r="A1476">
        <v>432</v>
      </c>
      <c r="B1476">
        <v>1204</v>
      </c>
      <c r="C1476" t="s">
        <v>2747</v>
      </c>
      <c r="D1476" t="s">
        <v>1411</v>
      </c>
      <c r="E1476" t="s">
        <v>2165</v>
      </c>
      <c r="F1476" t="s">
        <v>197</v>
      </c>
      <c r="G1476" t="s">
        <v>1635</v>
      </c>
      <c r="H1476" t="s">
        <v>188</v>
      </c>
      <c r="I1476" t="s">
        <v>212</v>
      </c>
      <c r="J1476" t="s">
        <v>245</v>
      </c>
      <c r="K1476" t="s">
        <v>2748</v>
      </c>
      <c r="L1476" s="84">
        <v>42638</v>
      </c>
      <c r="M1476" t="s">
        <v>381</v>
      </c>
      <c r="N1476" t="s">
        <v>2749</v>
      </c>
      <c r="O1476">
        <v>9</v>
      </c>
      <c r="P1476" t="s">
        <v>2750</v>
      </c>
      <c r="Q1476" t="s">
        <v>2751</v>
      </c>
      <c r="R1476" t="s">
        <v>2752</v>
      </c>
      <c r="S1476" t="s">
        <v>2753</v>
      </c>
      <c r="T1476" t="s">
        <v>38</v>
      </c>
      <c r="U1476" t="s">
        <v>85</v>
      </c>
      <c r="V1476">
        <v>62</v>
      </c>
      <c r="W1476">
        <v>83</v>
      </c>
      <c r="X1476">
        <v>123</v>
      </c>
      <c r="Y1476">
        <v>99</v>
      </c>
      <c r="Z1476">
        <v>196</v>
      </c>
      <c r="AA1476">
        <v>170</v>
      </c>
      <c r="AB1476" t="s">
        <v>234</v>
      </c>
      <c r="AC1476" t="s">
        <v>212</v>
      </c>
      <c r="AD1476" t="s">
        <v>210</v>
      </c>
      <c r="AE1476" t="s">
        <v>183</v>
      </c>
      <c r="AF1476">
        <v>0</v>
      </c>
    </row>
    <row r="1477" spans="1:32">
      <c r="A1477">
        <v>432</v>
      </c>
      <c r="B1477">
        <v>1204</v>
      </c>
      <c r="C1477" t="s">
        <v>2747</v>
      </c>
      <c r="D1477" t="s">
        <v>1411</v>
      </c>
      <c r="E1477" t="s">
        <v>2165</v>
      </c>
      <c r="F1477" t="s">
        <v>193</v>
      </c>
      <c r="G1477" t="s">
        <v>1637</v>
      </c>
      <c r="H1477" t="s">
        <v>192</v>
      </c>
      <c r="I1477" t="s">
        <v>212</v>
      </c>
      <c r="J1477" t="s">
        <v>212</v>
      </c>
      <c r="K1477" t="s">
        <v>2748</v>
      </c>
      <c r="L1477" s="84">
        <v>42638</v>
      </c>
      <c r="M1477" t="s">
        <v>381</v>
      </c>
      <c r="N1477" t="s">
        <v>2749</v>
      </c>
      <c r="O1477">
        <v>9</v>
      </c>
      <c r="P1477" t="s">
        <v>2750</v>
      </c>
      <c r="Q1477" t="s">
        <v>2751</v>
      </c>
      <c r="R1477" t="s">
        <v>2752</v>
      </c>
      <c r="S1477" t="s">
        <v>2753</v>
      </c>
      <c r="T1477" t="s">
        <v>36</v>
      </c>
      <c r="U1477" t="s">
        <v>85</v>
      </c>
      <c r="V1477">
        <v>62</v>
      </c>
      <c r="W1477">
        <v>83</v>
      </c>
      <c r="X1477">
        <v>123</v>
      </c>
      <c r="Y1477">
        <v>99</v>
      </c>
      <c r="Z1477">
        <v>196</v>
      </c>
      <c r="AA1477">
        <v>170</v>
      </c>
      <c r="AB1477" t="s">
        <v>234</v>
      </c>
      <c r="AC1477" t="s">
        <v>212</v>
      </c>
      <c r="AD1477" t="s">
        <v>210</v>
      </c>
      <c r="AE1477" t="s">
        <v>183</v>
      </c>
      <c r="AF1477">
        <v>0</v>
      </c>
    </row>
    <row r="1478" spans="1:32">
      <c r="A1478">
        <v>432</v>
      </c>
      <c r="B1478">
        <v>1204</v>
      </c>
      <c r="C1478" t="s">
        <v>2747</v>
      </c>
      <c r="D1478" t="s">
        <v>1411</v>
      </c>
      <c r="E1478" t="s">
        <v>2165</v>
      </c>
      <c r="F1478" t="s">
        <v>37</v>
      </c>
      <c r="G1478" t="s">
        <v>1636</v>
      </c>
      <c r="H1478" t="s">
        <v>192</v>
      </c>
      <c r="I1478" t="s">
        <v>212</v>
      </c>
      <c r="J1478" t="s">
        <v>212</v>
      </c>
      <c r="K1478" t="s">
        <v>2748</v>
      </c>
      <c r="L1478" s="84">
        <v>42638</v>
      </c>
      <c r="M1478" t="s">
        <v>381</v>
      </c>
      <c r="N1478" t="s">
        <v>2749</v>
      </c>
      <c r="O1478">
        <v>9</v>
      </c>
      <c r="P1478" t="s">
        <v>2750</v>
      </c>
      <c r="Q1478" t="s">
        <v>2751</v>
      </c>
      <c r="R1478" t="s">
        <v>2752</v>
      </c>
      <c r="S1478" t="s">
        <v>2753</v>
      </c>
      <c r="T1478" t="s">
        <v>37</v>
      </c>
      <c r="U1478" t="s">
        <v>85</v>
      </c>
      <c r="V1478">
        <v>62</v>
      </c>
      <c r="W1478">
        <v>83</v>
      </c>
      <c r="X1478">
        <v>123</v>
      </c>
      <c r="Y1478">
        <v>99</v>
      </c>
      <c r="Z1478">
        <v>196</v>
      </c>
      <c r="AA1478">
        <v>170</v>
      </c>
      <c r="AB1478" t="s">
        <v>234</v>
      </c>
      <c r="AC1478" t="s">
        <v>212</v>
      </c>
      <c r="AD1478" t="s">
        <v>210</v>
      </c>
      <c r="AE1478" t="s">
        <v>183</v>
      </c>
      <c r="AF1478">
        <v>0</v>
      </c>
    </row>
    <row r="1479" spans="1:32">
      <c r="A1479">
        <v>433</v>
      </c>
      <c r="B1479">
        <v>1069</v>
      </c>
      <c r="C1479" t="s">
        <v>2017</v>
      </c>
      <c r="D1479" t="s">
        <v>1411</v>
      </c>
      <c r="E1479" t="s">
        <v>2165</v>
      </c>
      <c r="F1479" t="s">
        <v>37</v>
      </c>
      <c r="G1479" t="s">
        <v>1647</v>
      </c>
      <c r="H1479" t="s">
        <v>192</v>
      </c>
      <c r="I1479" t="s">
        <v>212</v>
      </c>
      <c r="J1479" t="s">
        <v>212</v>
      </c>
      <c r="K1479" t="s">
        <v>2018</v>
      </c>
      <c r="L1479" s="84">
        <v>42360</v>
      </c>
      <c r="M1479" t="s">
        <v>381</v>
      </c>
      <c r="N1479" t="s">
        <v>365</v>
      </c>
      <c r="O1479">
        <v>3</v>
      </c>
      <c r="P1479" t="s">
        <v>2019</v>
      </c>
      <c r="Q1479" t="s">
        <v>1593</v>
      </c>
      <c r="R1479" t="s">
        <v>2072</v>
      </c>
      <c r="S1479" t="s">
        <v>2073</v>
      </c>
      <c r="T1479" t="s">
        <v>37</v>
      </c>
      <c r="U1479" t="s">
        <v>80</v>
      </c>
      <c r="V1479">
        <v>58</v>
      </c>
      <c r="W1479">
        <v>83</v>
      </c>
      <c r="X1479">
        <v>123</v>
      </c>
      <c r="Y1479">
        <v>90</v>
      </c>
      <c r="Z1479">
        <v>196</v>
      </c>
      <c r="AA1479">
        <v>146</v>
      </c>
      <c r="AB1479" t="s">
        <v>370</v>
      </c>
      <c r="AC1479" t="s">
        <v>212</v>
      </c>
      <c r="AD1479" t="s">
        <v>210</v>
      </c>
      <c r="AE1479" t="s">
        <v>183</v>
      </c>
      <c r="AF1479">
        <v>1</v>
      </c>
    </row>
    <row r="1480" spans="1:32">
      <c r="A1480">
        <v>433</v>
      </c>
      <c r="B1480">
        <v>1069</v>
      </c>
      <c r="C1480" t="s">
        <v>2017</v>
      </c>
      <c r="D1480" t="s">
        <v>1411</v>
      </c>
      <c r="E1480" t="s">
        <v>2165</v>
      </c>
      <c r="F1480" t="s">
        <v>193</v>
      </c>
      <c r="G1480" t="s">
        <v>1646</v>
      </c>
      <c r="H1480" t="s">
        <v>192</v>
      </c>
      <c r="I1480" t="s">
        <v>212</v>
      </c>
      <c r="J1480" t="s">
        <v>212</v>
      </c>
      <c r="K1480" t="s">
        <v>2018</v>
      </c>
      <c r="L1480" s="84">
        <v>42360</v>
      </c>
      <c r="M1480" t="s">
        <v>381</v>
      </c>
      <c r="N1480" t="s">
        <v>365</v>
      </c>
      <c r="O1480">
        <v>3</v>
      </c>
      <c r="P1480" t="s">
        <v>2019</v>
      </c>
      <c r="Q1480" t="s">
        <v>1593</v>
      </c>
      <c r="R1480" t="s">
        <v>2072</v>
      </c>
      <c r="S1480" t="s">
        <v>2073</v>
      </c>
      <c r="T1480" t="s">
        <v>36</v>
      </c>
      <c r="U1480" t="s">
        <v>80</v>
      </c>
      <c r="V1480">
        <v>58</v>
      </c>
      <c r="W1480">
        <v>83</v>
      </c>
      <c r="X1480">
        <v>123</v>
      </c>
      <c r="Y1480">
        <v>90</v>
      </c>
      <c r="Z1480">
        <v>196</v>
      </c>
      <c r="AA1480">
        <v>146</v>
      </c>
      <c r="AB1480" t="s">
        <v>370</v>
      </c>
      <c r="AC1480" t="s">
        <v>212</v>
      </c>
      <c r="AD1480" t="s">
        <v>210</v>
      </c>
      <c r="AE1480" t="s">
        <v>183</v>
      </c>
      <c r="AF1480">
        <v>1</v>
      </c>
    </row>
    <row r="1481" spans="1:32">
      <c r="A1481">
        <v>433</v>
      </c>
      <c r="B1481">
        <v>1069</v>
      </c>
      <c r="C1481" t="s">
        <v>2017</v>
      </c>
      <c r="D1481" t="s">
        <v>1411</v>
      </c>
      <c r="E1481" t="s">
        <v>2165</v>
      </c>
      <c r="F1481" t="s">
        <v>197</v>
      </c>
      <c r="G1481" t="s">
        <v>1648</v>
      </c>
      <c r="H1481" t="s">
        <v>188</v>
      </c>
      <c r="I1481" t="s">
        <v>212</v>
      </c>
      <c r="J1481" t="s">
        <v>245</v>
      </c>
      <c r="K1481" t="s">
        <v>2018</v>
      </c>
      <c r="L1481" s="84">
        <v>42360</v>
      </c>
      <c r="M1481" t="s">
        <v>381</v>
      </c>
      <c r="N1481" t="s">
        <v>365</v>
      </c>
      <c r="O1481">
        <v>3</v>
      </c>
      <c r="P1481" t="s">
        <v>2019</v>
      </c>
      <c r="Q1481" t="s">
        <v>1593</v>
      </c>
      <c r="R1481" t="s">
        <v>2072</v>
      </c>
      <c r="S1481" t="s">
        <v>2073</v>
      </c>
      <c r="T1481" t="s">
        <v>38</v>
      </c>
      <c r="U1481" t="s">
        <v>80</v>
      </c>
      <c r="V1481">
        <v>58</v>
      </c>
      <c r="W1481">
        <v>83</v>
      </c>
      <c r="X1481">
        <v>123</v>
      </c>
      <c r="Y1481">
        <v>90</v>
      </c>
      <c r="Z1481">
        <v>196</v>
      </c>
      <c r="AA1481">
        <v>146</v>
      </c>
      <c r="AB1481" t="s">
        <v>370</v>
      </c>
      <c r="AC1481" t="s">
        <v>212</v>
      </c>
      <c r="AD1481" t="s">
        <v>210</v>
      </c>
      <c r="AE1481" t="s">
        <v>183</v>
      </c>
      <c r="AF1481">
        <v>1</v>
      </c>
    </row>
    <row r="1482" spans="1:32">
      <c r="A1482">
        <v>433</v>
      </c>
      <c r="B1482">
        <v>1069</v>
      </c>
      <c r="C1482" t="s">
        <v>2017</v>
      </c>
      <c r="D1482" t="s">
        <v>1411</v>
      </c>
      <c r="E1482" t="s">
        <v>2165</v>
      </c>
      <c r="F1482" t="s">
        <v>5</v>
      </c>
      <c r="G1482" t="s">
        <v>1645</v>
      </c>
      <c r="H1482" t="s">
        <v>415</v>
      </c>
      <c r="I1482" t="s">
        <v>188</v>
      </c>
      <c r="J1482" t="s">
        <v>374</v>
      </c>
      <c r="K1482" t="s">
        <v>2018</v>
      </c>
      <c r="L1482" s="84">
        <v>42360</v>
      </c>
      <c r="M1482" t="s">
        <v>381</v>
      </c>
      <c r="N1482" t="s">
        <v>365</v>
      </c>
      <c r="O1482">
        <v>3</v>
      </c>
      <c r="P1482" t="s">
        <v>2019</v>
      </c>
      <c r="Q1482" t="s">
        <v>1593</v>
      </c>
      <c r="R1482" t="s">
        <v>2072</v>
      </c>
      <c r="S1482" t="s">
        <v>2073</v>
      </c>
      <c r="T1482" t="s">
        <v>33</v>
      </c>
      <c r="U1482" t="s">
        <v>80</v>
      </c>
      <c r="V1482">
        <v>58</v>
      </c>
      <c r="W1482">
        <v>83</v>
      </c>
      <c r="X1482">
        <v>123</v>
      </c>
      <c r="Y1482">
        <v>90</v>
      </c>
      <c r="Z1482">
        <v>196</v>
      </c>
      <c r="AA1482">
        <v>146</v>
      </c>
      <c r="AB1482" t="s">
        <v>370</v>
      </c>
      <c r="AC1482" t="s">
        <v>212</v>
      </c>
      <c r="AD1482" t="s">
        <v>210</v>
      </c>
      <c r="AE1482" t="s">
        <v>183</v>
      </c>
      <c r="AF1482">
        <v>1</v>
      </c>
    </row>
    <row r="1483" spans="1:32">
      <c r="A1483">
        <v>433</v>
      </c>
      <c r="B1483">
        <v>1069</v>
      </c>
      <c r="C1483" t="s">
        <v>2017</v>
      </c>
      <c r="D1483" t="s">
        <v>1411</v>
      </c>
      <c r="E1483" t="s">
        <v>2165</v>
      </c>
      <c r="F1483" t="s">
        <v>8</v>
      </c>
      <c r="G1483" t="s">
        <v>1643</v>
      </c>
      <c r="H1483" t="s">
        <v>173</v>
      </c>
      <c r="I1483" t="s">
        <v>436</v>
      </c>
      <c r="J1483" t="s">
        <v>191</v>
      </c>
      <c r="K1483" t="s">
        <v>2018</v>
      </c>
      <c r="L1483" s="84">
        <v>42360</v>
      </c>
      <c r="M1483" t="s">
        <v>381</v>
      </c>
      <c r="N1483" t="s">
        <v>365</v>
      </c>
      <c r="O1483">
        <v>3</v>
      </c>
      <c r="P1483" t="s">
        <v>2019</v>
      </c>
      <c r="Q1483" t="s">
        <v>1593</v>
      </c>
      <c r="R1483" t="s">
        <v>2072</v>
      </c>
      <c r="S1483" t="s">
        <v>2073</v>
      </c>
      <c r="T1483" t="s">
        <v>31</v>
      </c>
      <c r="U1483" t="s">
        <v>80</v>
      </c>
      <c r="V1483">
        <v>58</v>
      </c>
      <c r="W1483">
        <v>83</v>
      </c>
      <c r="X1483">
        <v>123</v>
      </c>
      <c r="Y1483">
        <v>90</v>
      </c>
      <c r="Z1483">
        <v>196</v>
      </c>
      <c r="AA1483">
        <v>146</v>
      </c>
      <c r="AB1483" t="s">
        <v>370</v>
      </c>
      <c r="AC1483" t="s">
        <v>212</v>
      </c>
      <c r="AD1483" t="s">
        <v>210</v>
      </c>
      <c r="AE1483" t="s">
        <v>183</v>
      </c>
      <c r="AF1483">
        <v>1</v>
      </c>
    </row>
    <row r="1484" spans="1:32">
      <c r="A1484">
        <v>433</v>
      </c>
      <c r="B1484">
        <v>1069</v>
      </c>
      <c r="C1484" t="s">
        <v>2017</v>
      </c>
      <c r="D1484" t="s">
        <v>1411</v>
      </c>
      <c r="E1484" t="s">
        <v>2165</v>
      </c>
      <c r="F1484" t="s">
        <v>7</v>
      </c>
      <c r="G1484" t="s">
        <v>1642</v>
      </c>
      <c r="H1484" t="s">
        <v>237</v>
      </c>
      <c r="I1484" t="s">
        <v>376</v>
      </c>
      <c r="J1484" t="s">
        <v>227</v>
      </c>
      <c r="K1484" t="s">
        <v>2018</v>
      </c>
      <c r="L1484" s="84">
        <v>42360</v>
      </c>
      <c r="M1484" t="s">
        <v>381</v>
      </c>
      <c r="N1484" t="s">
        <v>365</v>
      </c>
      <c r="O1484">
        <v>3</v>
      </c>
      <c r="P1484" t="s">
        <v>2019</v>
      </c>
      <c r="Q1484" t="s">
        <v>1593</v>
      </c>
      <c r="R1484" t="s">
        <v>2072</v>
      </c>
      <c r="S1484" t="s">
        <v>2073</v>
      </c>
      <c r="T1484" t="s">
        <v>32</v>
      </c>
      <c r="U1484" t="s">
        <v>80</v>
      </c>
      <c r="V1484">
        <v>58</v>
      </c>
      <c r="W1484">
        <v>83</v>
      </c>
      <c r="X1484">
        <v>123</v>
      </c>
      <c r="Y1484">
        <v>90</v>
      </c>
      <c r="Z1484">
        <v>196</v>
      </c>
      <c r="AA1484">
        <v>146</v>
      </c>
      <c r="AB1484" t="s">
        <v>370</v>
      </c>
      <c r="AC1484" t="s">
        <v>212</v>
      </c>
      <c r="AD1484" t="s">
        <v>210</v>
      </c>
      <c r="AE1484" t="s">
        <v>183</v>
      </c>
      <c r="AF1484">
        <v>1</v>
      </c>
    </row>
    <row r="1485" spans="1:32">
      <c r="A1485">
        <v>433</v>
      </c>
      <c r="B1485">
        <v>1069</v>
      </c>
      <c r="C1485" t="s">
        <v>2017</v>
      </c>
      <c r="D1485" t="s">
        <v>1411</v>
      </c>
      <c r="E1485" t="s">
        <v>2165</v>
      </c>
      <c r="F1485" t="s">
        <v>6</v>
      </c>
      <c r="G1485" t="s">
        <v>1644</v>
      </c>
      <c r="H1485" t="s">
        <v>173</v>
      </c>
      <c r="I1485" t="s">
        <v>212</v>
      </c>
      <c r="J1485" t="s">
        <v>173</v>
      </c>
      <c r="K1485" t="s">
        <v>2018</v>
      </c>
      <c r="L1485" s="84">
        <v>42360</v>
      </c>
      <c r="M1485" t="s">
        <v>381</v>
      </c>
      <c r="N1485" t="s">
        <v>365</v>
      </c>
      <c r="O1485">
        <v>3</v>
      </c>
      <c r="P1485" t="s">
        <v>2019</v>
      </c>
      <c r="Q1485" t="s">
        <v>1593</v>
      </c>
      <c r="R1485" t="s">
        <v>2072</v>
      </c>
      <c r="S1485" t="s">
        <v>2073</v>
      </c>
      <c r="T1485" t="s">
        <v>34</v>
      </c>
      <c r="U1485" t="s">
        <v>80</v>
      </c>
      <c r="V1485">
        <v>58</v>
      </c>
      <c r="W1485">
        <v>83</v>
      </c>
      <c r="X1485">
        <v>123</v>
      </c>
      <c r="Y1485">
        <v>90</v>
      </c>
      <c r="Z1485">
        <v>196</v>
      </c>
      <c r="AA1485">
        <v>146</v>
      </c>
      <c r="AB1485" t="s">
        <v>370</v>
      </c>
      <c r="AC1485" t="s">
        <v>212</v>
      </c>
      <c r="AD1485" t="s">
        <v>210</v>
      </c>
      <c r="AE1485" t="s">
        <v>183</v>
      </c>
      <c r="AF1485">
        <v>1</v>
      </c>
    </row>
    <row r="1486" spans="1:32">
      <c r="A1486">
        <v>434</v>
      </c>
      <c r="B1486">
        <v>816</v>
      </c>
      <c r="C1486" t="s">
        <v>959</v>
      </c>
      <c r="D1486" t="s">
        <v>1411</v>
      </c>
      <c r="E1486" t="s">
        <v>2165</v>
      </c>
      <c r="F1486" t="s">
        <v>6</v>
      </c>
      <c r="G1486" t="s">
        <v>1653</v>
      </c>
      <c r="H1486" t="s">
        <v>192</v>
      </c>
      <c r="I1486" t="s">
        <v>226</v>
      </c>
      <c r="J1486" t="s">
        <v>181</v>
      </c>
      <c r="K1486" t="s">
        <v>961</v>
      </c>
      <c r="L1486" s="84">
        <v>42289</v>
      </c>
      <c r="M1486" t="s">
        <v>352</v>
      </c>
      <c r="N1486" t="s">
        <v>542</v>
      </c>
      <c r="O1486">
        <v>3</v>
      </c>
      <c r="P1486" t="s">
        <v>962</v>
      </c>
      <c r="Q1486" t="s">
        <v>544</v>
      </c>
      <c r="R1486" t="s">
        <v>963</v>
      </c>
      <c r="S1486" t="s">
        <v>1394</v>
      </c>
      <c r="T1486" t="s">
        <v>34</v>
      </c>
      <c r="U1486" t="s">
        <v>80</v>
      </c>
      <c r="V1486">
        <v>67</v>
      </c>
      <c r="W1486">
        <v>83</v>
      </c>
      <c r="X1486">
        <v>123</v>
      </c>
      <c r="Y1486">
        <v>105</v>
      </c>
      <c r="Z1486">
        <v>196</v>
      </c>
      <c r="AA1486">
        <v>177</v>
      </c>
      <c r="AB1486" t="s">
        <v>398</v>
      </c>
      <c r="AC1486" t="s">
        <v>226</v>
      </c>
      <c r="AD1486" t="s">
        <v>210</v>
      </c>
      <c r="AE1486" t="s">
        <v>183</v>
      </c>
      <c r="AF1486">
        <v>0</v>
      </c>
    </row>
    <row r="1487" spans="1:32">
      <c r="A1487">
        <v>434</v>
      </c>
      <c r="B1487">
        <v>816</v>
      </c>
      <c r="C1487" t="s">
        <v>959</v>
      </c>
      <c r="D1487" t="s">
        <v>1411</v>
      </c>
      <c r="E1487" t="s">
        <v>2165</v>
      </c>
      <c r="F1487" t="s">
        <v>7</v>
      </c>
      <c r="G1487" t="s">
        <v>1655</v>
      </c>
      <c r="H1487" t="s">
        <v>236</v>
      </c>
      <c r="I1487" t="s">
        <v>171</v>
      </c>
      <c r="J1487" t="s">
        <v>226</v>
      </c>
      <c r="K1487" t="s">
        <v>961</v>
      </c>
      <c r="L1487" s="84">
        <v>42289</v>
      </c>
      <c r="M1487" t="s">
        <v>352</v>
      </c>
      <c r="N1487" t="s">
        <v>542</v>
      </c>
      <c r="O1487">
        <v>3</v>
      </c>
      <c r="P1487" t="s">
        <v>962</v>
      </c>
      <c r="Q1487" t="s">
        <v>544</v>
      </c>
      <c r="R1487" t="s">
        <v>963</v>
      </c>
      <c r="S1487" t="s">
        <v>1394</v>
      </c>
      <c r="T1487" t="s">
        <v>32</v>
      </c>
      <c r="U1487" t="s">
        <v>80</v>
      </c>
      <c r="V1487">
        <v>67</v>
      </c>
      <c r="W1487">
        <v>83</v>
      </c>
      <c r="X1487">
        <v>123</v>
      </c>
      <c r="Y1487">
        <v>105</v>
      </c>
      <c r="Z1487">
        <v>196</v>
      </c>
      <c r="AA1487">
        <v>177</v>
      </c>
      <c r="AB1487" t="s">
        <v>398</v>
      </c>
      <c r="AC1487" t="s">
        <v>226</v>
      </c>
      <c r="AD1487" t="s">
        <v>210</v>
      </c>
      <c r="AE1487" t="s">
        <v>183</v>
      </c>
      <c r="AF1487">
        <v>0</v>
      </c>
    </row>
    <row r="1488" spans="1:32">
      <c r="A1488">
        <v>434</v>
      </c>
      <c r="B1488">
        <v>816</v>
      </c>
      <c r="C1488" t="s">
        <v>959</v>
      </c>
      <c r="D1488" t="s">
        <v>1411</v>
      </c>
      <c r="E1488" t="s">
        <v>2165</v>
      </c>
      <c r="F1488" t="s">
        <v>8</v>
      </c>
      <c r="G1488" t="s">
        <v>1654</v>
      </c>
      <c r="H1488" t="s">
        <v>216</v>
      </c>
      <c r="I1488" t="s">
        <v>220</v>
      </c>
      <c r="J1488" t="s">
        <v>260</v>
      </c>
      <c r="K1488" t="s">
        <v>961</v>
      </c>
      <c r="L1488" s="84">
        <v>42289</v>
      </c>
      <c r="M1488" t="s">
        <v>352</v>
      </c>
      <c r="N1488" t="s">
        <v>542</v>
      </c>
      <c r="O1488">
        <v>3</v>
      </c>
      <c r="P1488" t="s">
        <v>962</v>
      </c>
      <c r="Q1488" t="s">
        <v>544</v>
      </c>
      <c r="R1488" t="s">
        <v>963</v>
      </c>
      <c r="S1488" t="s">
        <v>1394</v>
      </c>
      <c r="T1488" t="s">
        <v>31</v>
      </c>
      <c r="U1488" t="s">
        <v>80</v>
      </c>
      <c r="V1488">
        <v>67</v>
      </c>
      <c r="W1488">
        <v>83</v>
      </c>
      <c r="X1488">
        <v>123</v>
      </c>
      <c r="Y1488">
        <v>105</v>
      </c>
      <c r="Z1488">
        <v>196</v>
      </c>
      <c r="AA1488">
        <v>177</v>
      </c>
      <c r="AB1488" t="s">
        <v>398</v>
      </c>
      <c r="AC1488" t="s">
        <v>226</v>
      </c>
      <c r="AD1488" t="s">
        <v>210</v>
      </c>
      <c r="AE1488" t="s">
        <v>183</v>
      </c>
      <c r="AF1488">
        <v>0</v>
      </c>
    </row>
    <row r="1489" spans="1:32">
      <c r="A1489">
        <v>434</v>
      </c>
      <c r="B1489">
        <v>816</v>
      </c>
      <c r="C1489" t="s">
        <v>959</v>
      </c>
      <c r="D1489" t="s">
        <v>1411</v>
      </c>
      <c r="E1489" t="s">
        <v>2165</v>
      </c>
      <c r="F1489" t="s">
        <v>5</v>
      </c>
      <c r="G1489" t="s">
        <v>1652</v>
      </c>
      <c r="H1489" t="s">
        <v>192</v>
      </c>
      <c r="I1489" t="s">
        <v>237</v>
      </c>
      <c r="J1489" t="s">
        <v>173</v>
      </c>
      <c r="K1489" t="s">
        <v>961</v>
      </c>
      <c r="L1489" s="84">
        <v>42289</v>
      </c>
      <c r="M1489" t="s">
        <v>352</v>
      </c>
      <c r="N1489" t="s">
        <v>542</v>
      </c>
      <c r="O1489">
        <v>3</v>
      </c>
      <c r="P1489" t="s">
        <v>962</v>
      </c>
      <c r="Q1489" t="s">
        <v>544</v>
      </c>
      <c r="R1489" t="s">
        <v>963</v>
      </c>
      <c r="S1489" t="s">
        <v>1394</v>
      </c>
      <c r="T1489" t="s">
        <v>33</v>
      </c>
      <c r="U1489" t="s">
        <v>80</v>
      </c>
      <c r="V1489">
        <v>67</v>
      </c>
      <c r="W1489">
        <v>83</v>
      </c>
      <c r="X1489">
        <v>123</v>
      </c>
      <c r="Y1489">
        <v>105</v>
      </c>
      <c r="Z1489">
        <v>196</v>
      </c>
      <c r="AA1489">
        <v>177</v>
      </c>
      <c r="AB1489" t="s">
        <v>398</v>
      </c>
      <c r="AC1489" t="s">
        <v>226</v>
      </c>
      <c r="AD1489" t="s">
        <v>210</v>
      </c>
      <c r="AE1489" t="s">
        <v>183</v>
      </c>
      <c r="AF1489">
        <v>0</v>
      </c>
    </row>
    <row r="1490" spans="1:32">
      <c r="A1490">
        <v>434</v>
      </c>
      <c r="B1490">
        <v>816</v>
      </c>
      <c r="C1490" t="s">
        <v>959</v>
      </c>
      <c r="D1490" t="s">
        <v>1411</v>
      </c>
      <c r="E1490" t="s">
        <v>2165</v>
      </c>
      <c r="F1490" t="s">
        <v>197</v>
      </c>
      <c r="G1490" t="s">
        <v>1649</v>
      </c>
      <c r="H1490" t="s">
        <v>188</v>
      </c>
      <c r="I1490" t="s">
        <v>212</v>
      </c>
      <c r="J1490" t="s">
        <v>2144</v>
      </c>
      <c r="K1490" t="s">
        <v>961</v>
      </c>
      <c r="L1490" s="84">
        <v>42289</v>
      </c>
      <c r="M1490" t="s">
        <v>352</v>
      </c>
      <c r="N1490" t="s">
        <v>542</v>
      </c>
      <c r="O1490">
        <v>3</v>
      </c>
      <c r="P1490" t="s">
        <v>962</v>
      </c>
      <c r="Q1490" t="s">
        <v>544</v>
      </c>
      <c r="R1490" t="s">
        <v>963</v>
      </c>
      <c r="S1490" t="s">
        <v>1394</v>
      </c>
      <c r="T1490" t="s">
        <v>38</v>
      </c>
      <c r="U1490" t="s">
        <v>80</v>
      </c>
      <c r="V1490">
        <v>67</v>
      </c>
      <c r="W1490">
        <v>83</v>
      </c>
      <c r="X1490">
        <v>123</v>
      </c>
      <c r="Y1490">
        <v>105</v>
      </c>
      <c r="Z1490">
        <v>196</v>
      </c>
      <c r="AA1490">
        <v>177</v>
      </c>
      <c r="AB1490" t="s">
        <v>398</v>
      </c>
      <c r="AC1490" t="s">
        <v>226</v>
      </c>
      <c r="AD1490" t="s">
        <v>210</v>
      </c>
      <c r="AE1490" t="s">
        <v>183</v>
      </c>
      <c r="AF1490">
        <v>0</v>
      </c>
    </row>
    <row r="1491" spans="1:32">
      <c r="A1491">
        <v>434</v>
      </c>
      <c r="B1491">
        <v>816</v>
      </c>
      <c r="C1491" t="s">
        <v>959</v>
      </c>
      <c r="D1491" t="s">
        <v>1411</v>
      </c>
      <c r="E1491" t="s">
        <v>2165</v>
      </c>
      <c r="F1491" t="s">
        <v>193</v>
      </c>
      <c r="G1491" t="s">
        <v>1651</v>
      </c>
      <c r="H1491" t="s">
        <v>192</v>
      </c>
      <c r="I1491" t="s">
        <v>212</v>
      </c>
      <c r="J1491" t="s">
        <v>212</v>
      </c>
      <c r="K1491" t="s">
        <v>961</v>
      </c>
      <c r="L1491" s="84">
        <v>42289</v>
      </c>
      <c r="M1491" t="s">
        <v>352</v>
      </c>
      <c r="N1491" t="s">
        <v>542</v>
      </c>
      <c r="O1491">
        <v>3</v>
      </c>
      <c r="P1491" t="s">
        <v>962</v>
      </c>
      <c r="Q1491" t="s">
        <v>544</v>
      </c>
      <c r="R1491" t="s">
        <v>963</v>
      </c>
      <c r="S1491" t="s">
        <v>1394</v>
      </c>
      <c r="T1491" t="s">
        <v>36</v>
      </c>
      <c r="U1491" t="s">
        <v>80</v>
      </c>
      <c r="V1491">
        <v>67</v>
      </c>
      <c r="W1491">
        <v>83</v>
      </c>
      <c r="X1491">
        <v>123</v>
      </c>
      <c r="Y1491">
        <v>105</v>
      </c>
      <c r="Z1491">
        <v>196</v>
      </c>
      <c r="AA1491">
        <v>177</v>
      </c>
      <c r="AB1491" t="s">
        <v>398</v>
      </c>
      <c r="AC1491" t="s">
        <v>226</v>
      </c>
      <c r="AD1491" t="s">
        <v>210</v>
      </c>
      <c r="AE1491" t="s">
        <v>183</v>
      </c>
      <c r="AF1491">
        <v>0</v>
      </c>
    </row>
    <row r="1492" spans="1:32">
      <c r="A1492">
        <v>434</v>
      </c>
      <c r="B1492">
        <v>816</v>
      </c>
      <c r="C1492" t="s">
        <v>959</v>
      </c>
      <c r="D1492" t="s">
        <v>1411</v>
      </c>
      <c r="E1492" t="s">
        <v>2165</v>
      </c>
      <c r="F1492" t="s">
        <v>37</v>
      </c>
      <c r="G1492" t="s">
        <v>1650</v>
      </c>
      <c r="H1492" t="s">
        <v>192</v>
      </c>
      <c r="I1492" t="s">
        <v>212</v>
      </c>
      <c r="J1492" t="s">
        <v>192</v>
      </c>
      <c r="K1492" t="s">
        <v>961</v>
      </c>
      <c r="L1492" s="84">
        <v>42289</v>
      </c>
      <c r="M1492" t="s">
        <v>352</v>
      </c>
      <c r="N1492" t="s">
        <v>542</v>
      </c>
      <c r="O1492">
        <v>3</v>
      </c>
      <c r="P1492" t="s">
        <v>962</v>
      </c>
      <c r="Q1492" t="s">
        <v>544</v>
      </c>
      <c r="R1492" t="s">
        <v>963</v>
      </c>
      <c r="S1492" t="s">
        <v>1394</v>
      </c>
      <c r="T1492" t="s">
        <v>37</v>
      </c>
      <c r="U1492" t="s">
        <v>80</v>
      </c>
      <c r="V1492">
        <v>67</v>
      </c>
      <c r="W1492">
        <v>83</v>
      </c>
      <c r="X1492">
        <v>123</v>
      </c>
      <c r="Y1492">
        <v>105</v>
      </c>
      <c r="Z1492">
        <v>196</v>
      </c>
      <c r="AA1492">
        <v>177</v>
      </c>
      <c r="AB1492" t="s">
        <v>398</v>
      </c>
      <c r="AC1492" t="s">
        <v>226</v>
      </c>
      <c r="AD1492" t="s">
        <v>210</v>
      </c>
      <c r="AE1492" t="s">
        <v>183</v>
      </c>
      <c r="AF1492">
        <v>0</v>
      </c>
    </row>
    <row r="1493" spans="1:32">
      <c r="A1493">
        <v>435</v>
      </c>
      <c r="B1493">
        <v>789</v>
      </c>
      <c r="C1493" t="s">
        <v>967</v>
      </c>
      <c r="D1493" t="s">
        <v>1411</v>
      </c>
      <c r="E1493" t="s">
        <v>2165</v>
      </c>
      <c r="F1493" t="s">
        <v>37</v>
      </c>
      <c r="G1493" t="s">
        <v>1661</v>
      </c>
      <c r="H1493" t="s">
        <v>192</v>
      </c>
      <c r="I1493" t="s">
        <v>212</v>
      </c>
      <c r="J1493" t="s">
        <v>192</v>
      </c>
      <c r="K1493" t="s">
        <v>968</v>
      </c>
      <c r="L1493" s="84">
        <v>42362</v>
      </c>
      <c r="M1493" t="s">
        <v>203</v>
      </c>
      <c r="N1493" t="s">
        <v>969</v>
      </c>
      <c r="O1493">
        <v>9</v>
      </c>
      <c r="P1493" t="s">
        <v>970</v>
      </c>
      <c r="Q1493" t="s">
        <v>971</v>
      </c>
      <c r="R1493" t="s">
        <v>972</v>
      </c>
      <c r="S1493" t="s">
        <v>973</v>
      </c>
      <c r="T1493" t="s">
        <v>37</v>
      </c>
      <c r="U1493" t="s">
        <v>85</v>
      </c>
      <c r="V1493">
        <v>81</v>
      </c>
      <c r="W1493">
        <v>83</v>
      </c>
      <c r="X1493">
        <v>123</v>
      </c>
      <c r="Y1493">
        <v>121</v>
      </c>
      <c r="Z1493">
        <v>196</v>
      </c>
      <c r="AA1493">
        <v>194</v>
      </c>
      <c r="AB1493" t="s">
        <v>234</v>
      </c>
      <c r="AC1493" t="s">
        <v>188</v>
      </c>
      <c r="AD1493" t="s">
        <v>609</v>
      </c>
      <c r="AE1493" t="s">
        <v>183</v>
      </c>
      <c r="AF1493">
        <v>0</v>
      </c>
    </row>
    <row r="1494" spans="1:32">
      <c r="A1494">
        <v>435</v>
      </c>
      <c r="B1494">
        <v>789</v>
      </c>
      <c r="C1494" t="s">
        <v>967</v>
      </c>
      <c r="D1494" t="s">
        <v>1411</v>
      </c>
      <c r="E1494" t="s">
        <v>2165</v>
      </c>
      <c r="F1494" t="s">
        <v>193</v>
      </c>
      <c r="G1494" t="s">
        <v>1660</v>
      </c>
      <c r="H1494" t="s">
        <v>192</v>
      </c>
      <c r="I1494" t="s">
        <v>212</v>
      </c>
      <c r="J1494" t="s">
        <v>212</v>
      </c>
      <c r="K1494" t="s">
        <v>968</v>
      </c>
      <c r="L1494" s="84">
        <v>42362</v>
      </c>
      <c r="M1494" t="s">
        <v>203</v>
      </c>
      <c r="N1494" t="s">
        <v>969</v>
      </c>
      <c r="O1494">
        <v>9</v>
      </c>
      <c r="P1494" t="s">
        <v>970</v>
      </c>
      <c r="Q1494" t="s">
        <v>971</v>
      </c>
      <c r="R1494" t="s">
        <v>972</v>
      </c>
      <c r="S1494" t="s">
        <v>973</v>
      </c>
      <c r="T1494" t="s">
        <v>36</v>
      </c>
      <c r="U1494" t="s">
        <v>85</v>
      </c>
      <c r="V1494">
        <v>81</v>
      </c>
      <c r="W1494">
        <v>83</v>
      </c>
      <c r="X1494">
        <v>123</v>
      </c>
      <c r="Y1494">
        <v>121</v>
      </c>
      <c r="Z1494">
        <v>196</v>
      </c>
      <c r="AA1494">
        <v>194</v>
      </c>
      <c r="AB1494" t="s">
        <v>234</v>
      </c>
      <c r="AC1494" t="s">
        <v>188</v>
      </c>
      <c r="AD1494" t="s">
        <v>609</v>
      </c>
      <c r="AE1494" t="s">
        <v>183</v>
      </c>
      <c r="AF1494">
        <v>0</v>
      </c>
    </row>
    <row r="1495" spans="1:32">
      <c r="A1495">
        <v>435</v>
      </c>
      <c r="B1495">
        <v>789</v>
      </c>
      <c r="C1495" t="s">
        <v>967</v>
      </c>
      <c r="D1495" t="s">
        <v>1411</v>
      </c>
      <c r="E1495" t="s">
        <v>2165</v>
      </c>
      <c r="F1495" t="s">
        <v>197</v>
      </c>
      <c r="G1495" t="s">
        <v>1662</v>
      </c>
      <c r="H1495" t="s">
        <v>188</v>
      </c>
      <c r="I1495" t="s">
        <v>212</v>
      </c>
      <c r="J1495" t="s">
        <v>2144</v>
      </c>
      <c r="K1495" t="s">
        <v>968</v>
      </c>
      <c r="L1495" s="84">
        <v>42362</v>
      </c>
      <c r="M1495" t="s">
        <v>203</v>
      </c>
      <c r="N1495" t="s">
        <v>969</v>
      </c>
      <c r="O1495">
        <v>9</v>
      </c>
      <c r="P1495" t="s">
        <v>970</v>
      </c>
      <c r="Q1495" t="s">
        <v>971</v>
      </c>
      <c r="R1495" t="s">
        <v>972</v>
      </c>
      <c r="S1495" t="s">
        <v>973</v>
      </c>
      <c r="T1495" t="s">
        <v>38</v>
      </c>
      <c r="U1495" t="s">
        <v>85</v>
      </c>
      <c r="V1495">
        <v>81</v>
      </c>
      <c r="W1495">
        <v>83</v>
      </c>
      <c r="X1495">
        <v>123</v>
      </c>
      <c r="Y1495">
        <v>121</v>
      </c>
      <c r="Z1495">
        <v>196</v>
      </c>
      <c r="AA1495">
        <v>194</v>
      </c>
      <c r="AB1495" t="s">
        <v>234</v>
      </c>
      <c r="AC1495" t="s">
        <v>188</v>
      </c>
      <c r="AD1495" t="s">
        <v>609</v>
      </c>
      <c r="AE1495" t="s">
        <v>183</v>
      </c>
      <c r="AF1495">
        <v>0</v>
      </c>
    </row>
    <row r="1496" spans="1:32">
      <c r="A1496">
        <v>435</v>
      </c>
      <c r="B1496">
        <v>789</v>
      </c>
      <c r="C1496" t="s">
        <v>967</v>
      </c>
      <c r="D1496" t="s">
        <v>1411</v>
      </c>
      <c r="E1496" t="s">
        <v>2165</v>
      </c>
      <c r="F1496" t="s">
        <v>5</v>
      </c>
      <c r="G1496" t="s">
        <v>1659</v>
      </c>
      <c r="H1496" t="s">
        <v>185</v>
      </c>
      <c r="I1496" t="s">
        <v>238</v>
      </c>
      <c r="J1496" t="s">
        <v>237</v>
      </c>
      <c r="K1496" t="s">
        <v>968</v>
      </c>
      <c r="L1496" s="84">
        <v>42362</v>
      </c>
      <c r="M1496" t="s">
        <v>203</v>
      </c>
      <c r="N1496" t="s">
        <v>969</v>
      </c>
      <c r="O1496">
        <v>9</v>
      </c>
      <c r="P1496" t="s">
        <v>970</v>
      </c>
      <c r="Q1496" t="s">
        <v>971</v>
      </c>
      <c r="R1496" t="s">
        <v>972</v>
      </c>
      <c r="S1496" t="s">
        <v>973</v>
      </c>
      <c r="T1496" t="s">
        <v>33</v>
      </c>
      <c r="U1496" t="s">
        <v>85</v>
      </c>
      <c r="V1496">
        <v>81</v>
      </c>
      <c r="W1496">
        <v>83</v>
      </c>
      <c r="X1496">
        <v>123</v>
      </c>
      <c r="Y1496">
        <v>121</v>
      </c>
      <c r="Z1496">
        <v>196</v>
      </c>
      <c r="AA1496">
        <v>194</v>
      </c>
      <c r="AB1496" t="s">
        <v>234</v>
      </c>
      <c r="AC1496" t="s">
        <v>188</v>
      </c>
      <c r="AD1496" t="s">
        <v>609</v>
      </c>
      <c r="AE1496" t="s">
        <v>183</v>
      </c>
      <c r="AF1496">
        <v>0</v>
      </c>
    </row>
    <row r="1497" spans="1:32">
      <c r="A1497">
        <v>435</v>
      </c>
      <c r="B1497">
        <v>789</v>
      </c>
      <c r="C1497" t="s">
        <v>967</v>
      </c>
      <c r="D1497" t="s">
        <v>1411</v>
      </c>
      <c r="E1497" t="s">
        <v>2165</v>
      </c>
      <c r="F1497" t="s">
        <v>8</v>
      </c>
      <c r="G1497" t="s">
        <v>1657</v>
      </c>
      <c r="H1497" t="s">
        <v>226</v>
      </c>
      <c r="I1497" t="s">
        <v>260</v>
      </c>
      <c r="J1497" t="s">
        <v>185</v>
      </c>
      <c r="K1497" t="s">
        <v>968</v>
      </c>
      <c r="L1497" s="84">
        <v>42362</v>
      </c>
      <c r="M1497" t="s">
        <v>203</v>
      </c>
      <c r="N1497" t="s">
        <v>969</v>
      </c>
      <c r="O1497">
        <v>9</v>
      </c>
      <c r="P1497" t="s">
        <v>970</v>
      </c>
      <c r="Q1497" t="s">
        <v>971</v>
      </c>
      <c r="R1497" t="s">
        <v>972</v>
      </c>
      <c r="S1497" t="s">
        <v>973</v>
      </c>
      <c r="T1497" t="s">
        <v>31</v>
      </c>
      <c r="U1497" t="s">
        <v>85</v>
      </c>
      <c r="V1497">
        <v>81</v>
      </c>
      <c r="W1497">
        <v>83</v>
      </c>
      <c r="X1497">
        <v>123</v>
      </c>
      <c r="Y1497">
        <v>121</v>
      </c>
      <c r="Z1497">
        <v>196</v>
      </c>
      <c r="AA1497">
        <v>194</v>
      </c>
      <c r="AB1497" t="s">
        <v>234</v>
      </c>
      <c r="AC1497" t="s">
        <v>188</v>
      </c>
      <c r="AD1497" t="s">
        <v>609</v>
      </c>
      <c r="AE1497" t="s">
        <v>183</v>
      </c>
      <c r="AF1497">
        <v>0</v>
      </c>
    </row>
    <row r="1498" spans="1:32">
      <c r="A1498">
        <v>435</v>
      </c>
      <c r="B1498">
        <v>789</v>
      </c>
      <c r="C1498" t="s">
        <v>967</v>
      </c>
      <c r="D1498" t="s">
        <v>1411</v>
      </c>
      <c r="E1498" t="s">
        <v>2165</v>
      </c>
      <c r="F1498" t="s">
        <v>7</v>
      </c>
      <c r="G1498" t="s">
        <v>1656</v>
      </c>
      <c r="H1498" t="s">
        <v>260</v>
      </c>
      <c r="I1498" t="s">
        <v>171</v>
      </c>
      <c r="J1498" t="s">
        <v>274</v>
      </c>
      <c r="K1498" t="s">
        <v>968</v>
      </c>
      <c r="L1498" s="84">
        <v>42362</v>
      </c>
      <c r="M1498" t="s">
        <v>203</v>
      </c>
      <c r="N1498" t="s">
        <v>969</v>
      </c>
      <c r="O1498">
        <v>9</v>
      </c>
      <c r="P1498" t="s">
        <v>970</v>
      </c>
      <c r="Q1498" t="s">
        <v>971</v>
      </c>
      <c r="R1498" t="s">
        <v>972</v>
      </c>
      <c r="S1498" t="s">
        <v>973</v>
      </c>
      <c r="T1498" t="s">
        <v>32</v>
      </c>
      <c r="U1498" t="s">
        <v>85</v>
      </c>
      <c r="V1498">
        <v>81</v>
      </c>
      <c r="W1498">
        <v>83</v>
      </c>
      <c r="X1498">
        <v>123</v>
      </c>
      <c r="Y1498">
        <v>121</v>
      </c>
      <c r="Z1498">
        <v>196</v>
      </c>
      <c r="AA1498">
        <v>194</v>
      </c>
      <c r="AB1498" t="s">
        <v>234</v>
      </c>
      <c r="AC1498" t="s">
        <v>188</v>
      </c>
      <c r="AD1498" t="s">
        <v>609</v>
      </c>
      <c r="AE1498" t="s">
        <v>183</v>
      </c>
      <c r="AF1498">
        <v>0</v>
      </c>
    </row>
    <row r="1499" spans="1:32">
      <c r="A1499">
        <v>435</v>
      </c>
      <c r="B1499">
        <v>789</v>
      </c>
      <c r="C1499" t="s">
        <v>967</v>
      </c>
      <c r="D1499" t="s">
        <v>1411</v>
      </c>
      <c r="E1499" t="s">
        <v>2165</v>
      </c>
      <c r="F1499" t="s">
        <v>6</v>
      </c>
      <c r="G1499" t="s">
        <v>1658</v>
      </c>
      <c r="H1499" t="s">
        <v>256</v>
      </c>
      <c r="I1499" t="s">
        <v>256</v>
      </c>
      <c r="J1499" t="s">
        <v>260</v>
      </c>
      <c r="K1499" t="s">
        <v>968</v>
      </c>
      <c r="L1499" s="84">
        <v>42362</v>
      </c>
      <c r="M1499" t="s">
        <v>203</v>
      </c>
      <c r="N1499" t="s">
        <v>969</v>
      </c>
      <c r="O1499">
        <v>9</v>
      </c>
      <c r="P1499" t="s">
        <v>970</v>
      </c>
      <c r="Q1499" t="s">
        <v>971</v>
      </c>
      <c r="R1499" t="s">
        <v>972</v>
      </c>
      <c r="S1499" t="s">
        <v>973</v>
      </c>
      <c r="T1499" t="s">
        <v>34</v>
      </c>
      <c r="U1499" t="s">
        <v>85</v>
      </c>
      <c r="V1499">
        <v>81</v>
      </c>
      <c r="W1499">
        <v>83</v>
      </c>
      <c r="X1499">
        <v>123</v>
      </c>
      <c r="Y1499">
        <v>121</v>
      </c>
      <c r="Z1499">
        <v>196</v>
      </c>
      <c r="AA1499">
        <v>194</v>
      </c>
      <c r="AB1499" t="s">
        <v>234</v>
      </c>
      <c r="AC1499" t="s">
        <v>188</v>
      </c>
      <c r="AD1499" t="s">
        <v>609</v>
      </c>
      <c r="AE1499" t="s">
        <v>183</v>
      </c>
      <c r="AF1499">
        <v>0</v>
      </c>
    </row>
    <row r="1500" spans="1:32">
      <c r="A1500">
        <v>436</v>
      </c>
      <c r="B1500">
        <v>812</v>
      </c>
      <c r="C1500" t="s">
        <v>626</v>
      </c>
      <c r="D1500" t="s">
        <v>1411</v>
      </c>
      <c r="E1500" t="s">
        <v>2165</v>
      </c>
      <c r="F1500" t="s">
        <v>6</v>
      </c>
      <c r="G1500" t="s">
        <v>1667</v>
      </c>
      <c r="H1500" t="s">
        <v>220</v>
      </c>
      <c r="I1500" t="s">
        <v>237</v>
      </c>
      <c r="J1500" t="s">
        <v>215</v>
      </c>
      <c r="K1500" t="s">
        <v>979</v>
      </c>
      <c r="L1500" s="84">
        <v>42618</v>
      </c>
      <c r="M1500" t="s">
        <v>352</v>
      </c>
      <c r="N1500" t="s">
        <v>980</v>
      </c>
      <c r="O1500">
        <v>2</v>
      </c>
      <c r="P1500" t="s">
        <v>981</v>
      </c>
      <c r="Q1500" t="s">
        <v>982</v>
      </c>
      <c r="R1500" t="s">
        <v>983</v>
      </c>
      <c r="S1500" t="s">
        <v>984</v>
      </c>
      <c r="T1500" t="s">
        <v>34</v>
      </c>
      <c r="U1500" t="s">
        <v>79</v>
      </c>
      <c r="V1500">
        <v>77</v>
      </c>
      <c r="W1500">
        <v>83</v>
      </c>
      <c r="X1500">
        <v>123</v>
      </c>
      <c r="Y1500">
        <v>116</v>
      </c>
      <c r="Z1500">
        <v>196</v>
      </c>
      <c r="AA1500">
        <v>187</v>
      </c>
      <c r="AB1500" t="s">
        <v>1049</v>
      </c>
      <c r="AC1500" t="s">
        <v>226</v>
      </c>
      <c r="AD1500" t="s">
        <v>609</v>
      </c>
      <c r="AE1500" t="s">
        <v>183</v>
      </c>
      <c r="AF1500">
        <v>0</v>
      </c>
    </row>
    <row r="1501" spans="1:32">
      <c r="A1501">
        <v>436</v>
      </c>
      <c r="B1501">
        <v>812</v>
      </c>
      <c r="C1501" t="s">
        <v>626</v>
      </c>
      <c r="D1501" t="s">
        <v>1411</v>
      </c>
      <c r="E1501" t="s">
        <v>2165</v>
      </c>
      <c r="F1501" t="s">
        <v>7</v>
      </c>
      <c r="G1501" t="s">
        <v>1669</v>
      </c>
      <c r="H1501" t="s">
        <v>275</v>
      </c>
      <c r="I1501" t="s">
        <v>274</v>
      </c>
      <c r="J1501" t="s">
        <v>238</v>
      </c>
      <c r="K1501" t="s">
        <v>979</v>
      </c>
      <c r="L1501" s="84">
        <v>42618</v>
      </c>
      <c r="M1501" t="s">
        <v>352</v>
      </c>
      <c r="N1501" t="s">
        <v>980</v>
      </c>
      <c r="O1501">
        <v>2</v>
      </c>
      <c r="P1501" t="s">
        <v>981</v>
      </c>
      <c r="Q1501" t="s">
        <v>982</v>
      </c>
      <c r="R1501" t="s">
        <v>983</v>
      </c>
      <c r="S1501" t="s">
        <v>984</v>
      </c>
      <c r="T1501" t="s">
        <v>32</v>
      </c>
      <c r="U1501" t="s">
        <v>79</v>
      </c>
      <c r="V1501">
        <v>77</v>
      </c>
      <c r="W1501">
        <v>83</v>
      </c>
      <c r="X1501">
        <v>123</v>
      </c>
      <c r="Y1501">
        <v>116</v>
      </c>
      <c r="Z1501">
        <v>196</v>
      </c>
      <c r="AA1501">
        <v>187</v>
      </c>
      <c r="AB1501" t="s">
        <v>1049</v>
      </c>
      <c r="AC1501" t="s">
        <v>226</v>
      </c>
      <c r="AD1501" t="s">
        <v>609</v>
      </c>
      <c r="AE1501" t="s">
        <v>183</v>
      </c>
      <c r="AF1501">
        <v>0</v>
      </c>
    </row>
    <row r="1502" spans="1:32">
      <c r="A1502">
        <v>436</v>
      </c>
      <c r="B1502">
        <v>812</v>
      </c>
      <c r="C1502" t="s">
        <v>626</v>
      </c>
      <c r="D1502" t="s">
        <v>1411</v>
      </c>
      <c r="E1502" t="s">
        <v>2165</v>
      </c>
      <c r="F1502" t="s">
        <v>8</v>
      </c>
      <c r="G1502" t="s">
        <v>1668</v>
      </c>
      <c r="H1502" t="s">
        <v>237</v>
      </c>
      <c r="I1502" t="s">
        <v>171</v>
      </c>
      <c r="J1502" t="s">
        <v>236</v>
      </c>
      <c r="K1502" t="s">
        <v>979</v>
      </c>
      <c r="L1502" s="84">
        <v>42618</v>
      </c>
      <c r="M1502" t="s">
        <v>352</v>
      </c>
      <c r="N1502" t="s">
        <v>980</v>
      </c>
      <c r="O1502">
        <v>2</v>
      </c>
      <c r="P1502" t="s">
        <v>981</v>
      </c>
      <c r="Q1502" t="s">
        <v>982</v>
      </c>
      <c r="R1502" t="s">
        <v>983</v>
      </c>
      <c r="S1502" t="s">
        <v>984</v>
      </c>
      <c r="T1502" t="s">
        <v>31</v>
      </c>
      <c r="U1502" t="s">
        <v>79</v>
      </c>
      <c r="V1502">
        <v>77</v>
      </c>
      <c r="W1502">
        <v>83</v>
      </c>
      <c r="X1502">
        <v>123</v>
      </c>
      <c r="Y1502">
        <v>116</v>
      </c>
      <c r="Z1502">
        <v>196</v>
      </c>
      <c r="AA1502">
        <v>187</v>
      </c>
      <c r="AB1502" t="s">
        <v>1049</v>
      </c>
      <c r="AC1502" t="s">
        <v>226</v>
      </c>
      <c r="AD1502" t="s">
        <v>609</v>
      </c>
      <c r="AE1502" t="s">
        <v>183</v>
      </c>
      <c r="AF1502">
        <v>0</v>
      </c>
    </row>
    <row r="1503" spans="1:32">
      <c r="A1503">
        <v>436</v>
      </c>
      <c r="B1503">
        <v>812</v>
      </c>
      <c r="C1503" t="s">
        <v>626</v>
      </c>
      <c r="D1503" t="s">
        <v>1411</v>
      </c>
      <c r="E1503" t="s">
        <v>2165</v>
      </c>
      <c r="F1503" t="s">
        <v>5</v>
      </c>
      <c r="G1503" t="s">
        <v>1666</v>
      </c>
      <c r="H1503" t="s">
        <v>243</v>
      </c>
      <c r="I1503" t="s">
        <v>223</v>
      </c>
      <c r="J1503" t="s">
        <v>228</v>
      </c>
      <c r="K1503" t="s">
        <v>979</v>
      </c>
      <c r="L1503" s="84">
        <v>42618</v>
      </c>
      <c r="M1503" t="s">
        <v>352</v>
      </c>
      <c r="N1503" t="s">
        <v>980</v>
      </c>
      <c r="O1503">
        <v>2</v>
      </c>
      <c r="P1503" t="s">
        <v>981</v>
      </c>
      <c r="Q1503" t="s">
        <v>982</v>
      </c>
      <c r="R1503" t="s">
        <v>983</v>
      </c>
      <c r="S1503" t="s">
        <v>984</v>
      </c>
      <c r="T1503" t="s">
        <v>33</v>
      </c>
      <c r="U1503" t="s">
        <v>79</v>
      </c>
      <c r="V1503">
        <v>77</v>
      </c>
      <c r="W1503">
        <v>83</v>
      </c>
      <c r="X1503">
        <v>123</v>
      </c>
      <c r="Y1503">
        <v>116</v>
      </c>
      <c r="Z1503">
        <v>196</v>
      </c>
      <c r="AA1503">
        <v>187</v>
      </c>
      <c r="AB1503" t="s">
        <v>1049</v>
      </c>
      <c r="AC1503" t="s">
        <v>226</v>
      </c>
      <c r="AD1503" t="s">
        <v>609</v>
      </c>
      <c r="AE1503" t="s">
        <v>183</v>
      </c>
      <c r="AF1503">
        <v>0</v>
      </c>
    </row>
    <row r="1504" spans="1:32">
      <c r="A1504">
        <v>436</v>
      </c>
      <c r="B1504">
        <v>812</v>
      </c>
      <c r="C1504" t="s">
        <v>626</v>
      </c>
      <c r="D1504" t="s">
        <v>1411</v>
      </c>
      <c r="E1504" t="s">
        <v>2165</v>
      </c>
      <c r="F1504" t="s">
        <v>197</v>
      </c>
      <c r="G1504" t="s">
        <v>1663</v>
      </c>
      <c r="H1504" t="s">
        <v>188</v>
      </c>
      <c r="I1504" t="s">
        <v>212</v>
      </c>
      <c r="J1504" t="s">
        <v>245</v>
      </c>
      <c r="K1504" t="s">
        <v>979</v>
      </c>
      <c r="L1504" s="84">
        <v>42618</v>
      </c>
      <c r="M1504" t="s">
        <v>352</v>
      </c>
      <c r="N1504" t="s">
        <v>980</v>
      </c>
      <c r="O1504">
        <v>2</v>
      </c>
      <c r="P1504" t="s">
        <v>981</v>
      </c>
      <c r="Q1504" t="s">
        <v>982</v>
      </c>
      <c r="R1504" t="s">
        <v>983</v>
      </c>
      <c r="S1504" t="s">
        <v>984</v>
      </c>
      <c r="T1504" t="s">
        <v>38</v>
      </c>
      <c r="U1504" t="s">
        <v>79</v>
      </c>
      <c r="V1504">
        <v>77</v>
      </c>
      <c r="W1504">
        <v>83</v>
      </c>
      <c r="X1504">
        <v>123</v>
      </c>
      <c r="Y1504">
        <v>116</v>
      </c>
      <c r="Z1504">
        <v>196</v>
      </c>
      <c r="AA1504">
        <v>187</v>
      </c>
      <c r="AB1504" t="s">
        <v>1049</v>
      </c>
      <c r="AC1504" t="s">
        <v>226</v>
      </c>
      <c r="AD1504" t="s">
        <v>609</v>
      </c>
      <c r="AE1504" t="s">
        <v>183</v>
      </c>
      <c r="AF1504">
        <v>0</v>
      </c>
    </row>
    <row r="1505" spans="1:32">
      <c r="A1505">
        <v>436</v>
      </c>
      <c r="B1505">
        <v>812</v>
      </c>
      <c r="C1505" t="s">
        <v>626</v>
      </c>
      <c r="D1505" t="s">
        <v>1411</v>
      </c>
      <c r="E1505" t="s">
        <v>2165</v>
      </c>
      <c r="F1505" t="s">
        <v>193</v>
      </c>
      <c r="G1505" t="s">
        <v>1665</v>
      </c>
      <c r="H1505" t="s">
        <v>192</v>
      </c>
      <c r="I1505" t="s">
        <v>212</v>
      </c>
      <c r="J1505" t="s">
        <v>212</v>
      </c>
      <c r="K1505" t="s">
        <v>979</v>
      </c>
      <c r="L1505" s="84">
        <v>42618</v>
      </c>
      <c r="M1505" t="s">
        <v>352</v>
      </c>
      <c r="N1505" t="s">
        <v>980</v>
      </c>
      <c r="O1505">
        <v>2</v>
      </c>
      <c r="P1505" t="s">
        <v>981</v>
      </c>
      <c r="Q1505" t="s">
        <v>982</v>
      </c>
      <c r="R1505" t="s">
        <v>983</v>
      </c>
      <c r="S1505" t="s">
        <v>984</v>
      </c>
      <c r="T1505" t="s">
        <v>36</v>
      </c>
      <c r="U1505" t="s">
        <v>79</v>
      </c>
      <c r="V1505">
        <v>77</v>
      </c>
      <c r="W1505">
        <v>83</v>
      </c>
      <c r="X1505">
        <v>123</v>
      </c>
      <c r="Y1505">
        <v>116</v>
      </c>
      <c r="Z1505">
        <v>196</v>
      </c>
      <c r="AA1505">
        <v>187</v>
      </c>
      <c r="AB1505" t="s">
        <v>1049</v>
      </c>
      <c r="AC1505" t="s">
        <v>226</v>
      </c>
      <c r="AD1505" t="s">
        <v>609</v>
      </c>
      <c r="AE1505" t="s">
        <v>183</v>
      </c>
      <c r="AF1505">
        <v>0</v>
      </c>
    </row>
    <row r="1506" spans="1:32">
      <c r="A1506">
        <v>436</v>
      </c>
      <c r="B1506">
        <v>812</v>
      </c>
      <c r="C1506" t="s">
        <v>626</v>
      </c>
      <c r="D1506" t="s">
        <v>1411</v>
      </c>
      <c r="E1506" t="s">
        <v>2165</v>
      </c>
      <c r="F1506" t="s">
        <v>37</v>
      </c>
      <c r="G1506" t="s">
        <v>1664</v>
      </c>
      <c r="H1506" t="s">
        <v>192</v>
      </c>
      <c r="I1506" t="s">
        <v>212</v>
      </c>
      <c r="J1506" t="s">
        <v>192</v>
      </c>
      <c r="K1506" t="s">
        <v>979</v>
      </c>
      <c r="L1506" s="84">
        <v>42618</v>
      </c>
      <c r="M1506" t="s">
        <v>352</v>
      </c>
      <c r="N1506" t="s">
        <v>980</v>
      </c>
      <c r="O1506">
        <v>2</v>
      </c>
      <c r="P1506" t="s">
        <v>981</v>
      </c>
      <c r="Q1506" t="s">
        <v>982</v>
      </c>
      <c r="R1506" t="s">
        <v>983</v>
      </c>
      <c r="S1506" t="s">
        <v>984</v>
      </c>
      <c r="T1506" t="s">
        <v>37</v>
      </c>
      <c r="U1506" t="s">
        <v>79</v>
      </c>
      <c r="V1506">
        <v>77</v>
      </c>
      <c r="W1506">
        <v>83</v>
      </c>
      <c r="X1506">
        <v>123</v>
      </c>
      <c r="Y1506">
        <v>116</v>
      </c>
      <c r="Z1506">
        <v>196</v>
      </c>
      <c r="AA1506">
        <v>187</v>
      </c>
      <c r="AB1506" t="s">
        <v>1049</v>
      </c>
      <c r="AC1506" t="s">
        <v>226</v>
      </c>
      <c r="AD1506" t="s">
        <v>609</v>
      </c>
      <c r="AE1506" t="s">
        <v>183</v>
      </c>
      <c r="AF1506">
        <v>0</v>
      </c>
    </row>
    <row r="1507" spans="1:32">
      <c r="A1507">
        <v>437</v>
      </c>
      <c r="B1507">
        <v>829</v>
      </c>
      <c r="C1507" t="s">
        <v>988</v>
      </c>
      <c r="D1507" t="s">
        <v>1411</v>
      </c>
      <c r="E1507" t="s">
        <v>2165</v>
      </c>
      <c r="F1507" t="s">
        <v>37</v>
      </c>
      <c r="G1507" t="s">
        <v>1675</v>
      </c>
      <c r="H1507" t="s">
        <v>192</v>
      </c>
      <c r="I1507" t="s">
        <v>212</v>
      </c>
      <c r="J1507" t="s">
        <v>192</v>
      </c>
      <c r="K1507" t="s">
        <v>989</v>
      </c>
      <c r="L1507" s="84">
        <v>41850</v>
      </c>
      <c r="M1507" t="s">
        <v>203</v>
      </c>
      <c r="N1507" t="s">
        <v>338</v>
      </c>
      <c r="O1507">
        <v>2</v>
      </c>
      <c r="P1507" t="s">
        <v>990</v>
      </c>
      <c r="Q1507" t="s">
        <v>421</v>
      </c>
      <c r="R1507" t="s">
        <v>991</v>
      </c>
      <c r="S1507" t="s">
        <v>992</v>
      </c>
      <c r="T1507" t="s">
        <v>37</v>
      </c>
      <c r="U1507" t="s">
        <v>79</v>
      </c>
      <c r="V1507">
        <v>68</v>
      </c>
      <c r="W1507">
        <v>83</v>
      </c>
      <c r="X1507">
        <v>123</v>
      </c>
      <c r="Y1507">
        <v>104</v>
      </c>
      <c r="Z1507">
        <v>196</v>
      </c>
      <c r="AA1507">
        <v>170</v>
      </c>
      <c r="AB1507" t="s">
        <v>2754</v>
      </c>
      <c r="AC1507" t="s">
        <v>171</v>
      </c>
      <c r="AD1507" t="s">
        <v>609</v>
      </c>
      <c r="AE1507" t="s">
        <v>183</v>
      </c>
      <c r="AF1507">
        <v>0</v>
      </c>
    </row>
    <row r="1508" spans="1:32">
      <c r="A1508">
        <v>437</v>
      </c>
      <c r="B1508">
        <v>829</v>
      </c>
      <c r="C1508" t="s">
        <v>988</v>
      </c>
      <c r="D1508" t="s">
        <v>1411</v>
      </c>
      <c r="E1508" t="s">
        <v>2165</v>
      </c>
      <c r="F1508" t="s">
        <v>193</v>
      </c>
      <c r="G1508" t="s">
        <v>1674</v>
      </c>
      <c r="H1508" t="s">
        <v>192</v>
      </c>
      <c r="I1508" t="s">
        <v>212</v>
      </c>
      <c r="J1508" t="s">
        <v>212</v>
      </c>
      <c r="K1508" t="s">
        <v>989</v>
      </c>
      <c r="L1508" s="84">
        <v>41850</v>
      </c>
      <c r="M1508" t="s">
        <v>203</v>
      </c>
      <c r="N1508" t="s">
        <v>338</v>
      </c>
      <c r="O1508">
        <v>2</v>
      </c>
      <c r="P1508" t="s">
        <v>990</v>
      </c>
      <c r="Q1508" t="s">
        <v>421</v>
      </c>
      <c r="R1508" t="s">
        <v>991</v>
      </c>
      <c r="S1508" t="s">
        <v>992</v>
      </c>
      <c r="T1508" t="s">
        <v>36</v>
      </c>
      <c r="U1508" t="s">
        <v>79</v>
      </c>
      <c r="V1508">
        <v>68</v>
      </c>
      <c r="W1508">
        <v>83</v>
      </c>
      <c r="X1508">
        <v>123</v>
      </c>
      <c r="Y1508">
        <v>104</v>
      </c>
      <c r="Z1508">
        <v>196</v>
      </c>
      <c r="AA1508">
        <v>170</v>
      </c>
      <c r="AB1508" t="s">
        <v>2754</v>
      </c>
      <c r="AC1508" t="s">
        <v>171</v>
      </c>
      <c r="AD1508" t="s">
        <v>609</v>
      </c>
      <c r="AE1508" t="s">
        <v>183</v>
      </c>
      <c r="AF1508">
        <v>0</v>
      </c>
    </row>
    <row r="1509" spans="1:32">
      <c r="A1509">
        <v>437</v>
      </c>
      <c r="B1509">
        <v>829</v>
      </c>
      <c r="C1509" t="s">
        <v>988</v>
      </c>
      <c r="D1509" t="s">
        <v>1411</v>
      </c>
      <c r="E1509" t="s">
        <v>2165</v>
      </c>
      <c r="F1509" t="s">
        <v>197</v>
      </c>
      <c r="G1509" t="s">
        <v>1676</v>
      </c>
      <c r="H1509" t="s">
        <v>188</v>
      </c>
      <c r="I1509" t="s">
        <v>212</v>
      </c>
      <c r="J1509" t="s">
        <v>245</v>
      </c>
      <c r="K1509" t="s">
        <v>989</v>
      </c>
      <c r="L1509" s="84">
        <v>41850</v>
      </c>
      <c r="M1509" t="s">
        <v>203</v>
      </c>
      <c r="N1509" t="s">
        <v>338</v>
      </c>
      <c r="O1509">
        <v>2</v>
      </c>
      <c r="P1509" t="s">
        <v>990</v>
      </c>
      <c r="Q1509" t="s">
        <v>421</v>
      </c>
      <c r="R1509" t="s">
        <v>991</v>
      </c>
      <c r="S1509" t="s">
        <v>992</v>
      </c>
      <c r="T1509" t="s">
        <v>38</v>
      </c>
      <c r="U1509" t="s">
        <v>79</v>
      </c>
      <c r="V1509">
        <v>68</v>
      </c>
      <c r="W1509">
        <v>83</v>
      </c>
      <c r="X1509">
        <v>123</v>
      </c>
      <c r="Y1509">
        <v>104</v>
      </c>
      <c r="Z1509">
        <v>196</v>
      </c>
      <c r="AA1509">
        <v>170</v>
      </c>
      <c r="AB1509" t="s">
        <v>2754</v>
      </c>
      <c r="AC1509" t="s">
        <v>171</v>
      </c>
      <c r="AD1509" t="s">
        <v>609</v>
      </c>
      <c r="AE1509" t="s">
        <v>183</v>
      </c>
      <c r="AF1509">
        <v>0</v>
      </c>
    </row>
    <row r="1510" spans="1:32">
      <c r="A1510">
        <v>437</v>
      </c>
      <c r="B1510">
        <v>829</v>
      </c>
      <c r="C1510" t="s">
        <v>988</v>
      </c>
      <c r="D1510" t="s">
        <v>1411</v>
      </c>
      <c r="E1510" t="s">
        <v>2165</v>
      </c>
      <c r="F1510" t="s">
        <v>5</v>
      </c>
      <c r="G1510" t="s">
        <v>1673</v>
      </c>
      <c r="H1510" t="s">
        <v>275</v>
      </c>
      <c r="I1510" t="s">
        <v>217</v>
      </c>
      <c r="J1510" t="s">
        <v>239</v>
      </c>
      <c r="K1510" t="s">
        <v>989</v>
      </c>
      <c r="L1510" s="84">
        <v>41850</v>
      </c>
      <c r="M1510" t="s">
        <v>203</v>
      </c>
      <c r="N1510" t="s">
        <v>338</v>
      </c>
      <c r="O1510">
        <v>2</v>
      </c>
      <c r="P1510" t="s">
        <v>990</v>
      </c>
      <c r="Q1510" t="s">
        <v>421</v>
      </c>
      <c r="R1510" t="s">
        <v>991</v>
      </c>
      <c r="S1510" t="s">
        <v>992</v>
      </c>
      <c r="T1510" t="s">
        <v>33</v>
      </c>
      <c r="U1510" t="s">
        <v>79</v>
      </c>
      <c r="V1510">
        <v>68</v>
      </c>
      <c r="W1510">
        <v>83</v>
      </c>
      <c r="X1510">
        <v>123</v>
      </c>
      <c r="Y1510">
        <v>104</v>
      </c>
      <c r="Z1510">
        <v>196</v>
      </c>
      <c r="AA1510">
        <v>170</v>
      </c>
      <c r="AB1510" t="s">
        <v>2754</v>
      </c>
      <c r="AC1510" t="s">
        <v>171</v>
      </c>
      <c r="AD1510" t="s">
        <v>609</v>
      </c>
      <c r="AE1510" t="s">
        <v>183</v>
      </c>
      <c r="AF1510">
        <v>0</v>
      </c>
    </row>
    <row r="1511" spans="1:32">
      <c r="A1511">
        <v>437</v>
      </c>
      <c r="B1511">
        <v>829</v>
      </c>
      <c r="C1511" t="s">
        <v>988</v>
      </c>
      <c r="D1511" t="s">
        <v>1411</v>
      </c>
      <c r="E1511" t="s">
        <v>2165</v>
      </c>
      <c r="F1511" t="s">
        <v>8</v>
      </c>
      <c r="G1511" t="s">
        <v>1671</v>
      </c>
      <c r="H1511" t="s">
        <v>260</v>
      </c>
      <c r="I1511" t="s">
        <v>226</v>
      </c>
      <c r="J1511" t="s">
        <v>297</v>
      </c>
      <c r="K1511" t="s">
        <v>989</v>
      </c>
      <c r="L1511" s="84">
        <v>41850</v>
      </c>
      <c r="M1511" t="s">
        <v>203</v>
      </c>
      <c r="N1511" t="s">
        <v>338</v>
      </c>
      <c r="O1511">
        <v>2</v>
      </c>
      <c r="P1511" t="s">
        <v>990</v>
      </c>
      <c r="Q1511" t="s">
        <v>421</v>
      </c>
      <c r="R1511" t="s">
        <v>991</v>
      </c>
      <c r="S1511" t="s">
        <v>992</v>
      </c>
      <c r="T1511" t="s">
        <v>31</v>
      </c>
      <c r="U1511" t="s">
        <v>79</v>
      </c>
      <c r="V1511">
        <v>68</v>
      </c>
      <c r="W1511">
        <v>83</v>
      </c>
      <c r="X1511">
        <v>123</v>
      </c>
      <c r="Y1511">
        <v>104</v>
      </c>
      <c r="Z1511">
        <v>196</v>
      </c>
      <c r="AA1511">
        <v>170</v>
      </c>
      <c r="AB1511" t="s">
        <v>2754</v>
      </c>
      <c r="AC1511" t="s">
        <v>171</v>
      </c>
      <c r="AD1511" t="s">
        <v>609</v>
      </c>
      <c r="AE1511" t="s">
        <v>183</v>
      </c>
      <c r="AF1511">
        <v>0</v>
      </c>
    </row>
    <row r="1512" spans="1:32">
      <c r="A1512">
        <v>437</v>
      </c>
      <c r="B1512">
        <v>829</v>
      </c>
      <c r="C1512" t="s">
        <v>988</v>
      </c>
      <c r="D1512" t="s">
        <v>1411</v>
      </c>
      <c r="E1512" t="s">
        <v>2165</v>
      </c>
      <c r="F1512" t="s">
        <v>7</v>
      </c>
      <c r="G1512" t="s">
        <v>1670</v>
      </c>
      <c r="H1512" t="s">
        <v>497</v>
      </c>
      <c r="I1512" t="s">
        <v>218</v>
      </c>
      <c r="J1512" t="s">
        <v>297</v>
      </c>
      <c r="K1512" t="s">
        <v>989</v>
      </c>
      <c r="L1512" s="84">
        <v>41850</v>
      </c>
      <c r="M1512" t="s">
        <v>203</v>
      </c>
      <c r="N1512" t="s">
        <v>338</v>
      </c>
      <c r="O1512">
        <v>2</v>
      </c>
      <c r="P1512" t="s">
        <v>990</v>
      </c>
      <c r="Q1512" t="s">
        <v>421</v>
      </c>
      <c r="R1512" t="s">
        <v>991</v>
      </c>
      <c r="S1512" t="s">
        <v>992</v>
      </c>
      <c r="T1512" t="s">
        <v>32</v>
      </c>
      <c r="U1512" t="s">
        <v>79</v>
      </c>
      <c r="V1512">
        <v>68</v>
      </c>
      <c r="W1512">
        <v>83</v>
      </c>
      <c r="X1512">
        <v>123</v>
      </c>
      <c r="Y1512">
        <v>104</v>
      </c>
      <c r="Z1512">
        <v>196</v>
      </c>
      <c r="AA1512">
        <v>170</v>
      </c>
      <c r="AB1512" t="s">
        <v>2754</v>
      </c>
      <c r="AC1512" t="s">
        <v>171</v>
      </c>
      <c r="AD1512" t="s">
        <v>609</v>
      </c>
      <c r="AE1512" t="s">
        <v>183</v>
      </c>
      <c r="AF1512">
        <v>0</v>
      </c>
    </row>
    <row r="1513" spans="1:32">
      <c r="A1513">
        <v>437</v>
      </c>
      <c r="B1513">
        <v>829</v>
      </c>
      <c r="C1513" t="s">
        <v>988</v>
      </c>
      <c r="D1513" t="s">
        <v>1411</v>
      </c>
      <c r="E1513" t="s">
        <v>2165</v>
      </c>
      <c r="F1513" t="s">
        <v>6</v>
      </c>
      <c r="G1513" t="s">
        <v>1672</v>
      </c>
      <c r="H1513" t="s">
        <v>215</v>
      </c>
      <c r="I1513" t="s">
        <v>238</v>
      </c>
      <c r="J1513" t="s">
        <v>260</v>
      </c>
      <c r="K1513" t="s">
        <v>989</v>
      </c>
      <c r="L1513" s="84">
        <v>41850</v>
      </c>
      <c r="M1513" t="s">
        <v>203</v>
      </c>
      <c r="N1513" t="s">
        <v>338</v>
      </c>
      <c r="O1513">
        <v>2</v>
      </c>
      <c r="P1513" t="s">
        <v>990</v>
      </c>
      <c r="Q1513" t="s">
        <v>421</v>
      </c>
      <c r="R1513" t="s">
        <v>991</v>
      </c>
      <c r="S1513" t="s">
        <v>992</v>
      </c>
      <c r="T1513" t="s">
        <v>34</v>
      </c>
      <c r="U1513" t="s">
        <v>79</v>
      </c>
      <c r="V1513">
        <v>68</v>
      </c>
      <c r="W1513">
        <v>83</v>
      </c>
      <c r="X1513">
        <v>123</v>
      </c>
      <c r="Y1513">
        <v>104</v>
      </c>
      <c r="Z1513">
        <v>196</v>
      </c>
      <c r="AA1513">
        <v>170</v>
      </c>
      <c r="AB1513" t="s">
        <v>2754</v>
      </c>
      <c r="AC1513" t="s">
        <v>171</v>
      </c>
      <c r="AD1513" t="s">
        <v>609</v>
      </c>
      <c r="AE1513" t="s">
        <v>183</v>
      </c>
      <c r="AF1513">
        <v>0</v>
      </c>
    </row>
    <row r="1514" spans="1:32">
      <c r="A1514">
        <v>438</v>
      </c>
      <c r="B1514">
        <v>798</v>
      </c>
      <c r="C1514" t="s">
        <v>998</v>
      </c>
      <c r="D1514" t="s">
        <v>1411</v>
      </c>
      <c r="E1514" t="s">
        <v>2165</v>
      </c>
      <c r="F1514" t="s">
        <v>6</v>
      </c>
      <c r="G1514" t="s">
        <v>1681</v>
      </c>
      <c r="H1514" t="s">
        <v>221</v>
      </c>
      <c r="I1514" t="s">
        <v>236</v>
      </c>
      <c r="J1514" t="s">
        <v>220</v>
      </c>
      <c r="K1514" t="s">
        <v>1000</v>
      </c>
      <c r="L1514" s="84">
        <v>41886</v>
      </c>
      <c r="M1514" t="s">
        <v>541</v>
      </c>
      <c r="N1514" t="s">
        <v>1001</v>
      </c>
      <c r="O1514">
        <v>3</v>
      </c>
      <c r="P1514" t="s">
        <v>1002</v>
      </c>
      <c r="Q1514" t="s">
        <v>1003</v>
      </c>
      <c r="R1514" t="s">
        <v>1004</v>
      </c>
      <c r="S1514" t="s">
        <v>1005</v>
      </c>
      <c r="T1514" t="s">
        <v>34</v>
      </c>
      <c r="U1514" t="s">
        <v>80</v>
      </c>
      <c r="V1514">
        <v>74</v>
      </c>
      <c r="W1514">
        <v>83</v>
      </c>
      <c r="X1514">
        <v>123</v>
      </c>
      <c r="Y1514">
        <v>108</v>
      </c>
      <c r="Z1514">
        <v>196</v>
      </c>
      <c r="AA1514">
        <v>174</v>
      </c>
      <c r="AB1514" t="s">
        <v>413</v>
      </c>
      <c r="AC1514" t="s">
        <v>192</v>
      </c>
      <c r="AD1514" t="s">
        <v>609</v>
      </c>
      <c r="AE1514" t="s">
        <v>183</v>
      </c>
      <c r="AF1514">
        <v>0</v>
      </c>
    </row>
    <row r="1515" spans="1:32">
      <c r="A1515">
        <v>438</v>
      </c>
      <c r="B1515">
        <v>798</v>
      </c>
      <c r="C1515" t="s">
        <v>998</v>
      </c>
      <c r="D1515" t="s">
        <v>1411</v>
      </c>
      <c r="E1515" t="s">
        <v>2165</v>
      </c>
      <c r="F1515" t="s">
        <v>7</v>
      </c>
      <c r="G1515" t="s">
        <v>1683</v>
      </c>
      <c r="H1515" t="s">
        <v>238</v>
      </c>
      <c r="I1515" t="s">
        <v>256</v>
      </c>
      <c r="J1515" t="s">
        <v>185</v>
      </c>
      <c r="K1515" t="s">
        <v>1000</v>
      </c>
      <c r="L1515" s="84">
        <v>41886</v>
      </c>
      <c r="M1515" t="s">
        <v>541</v>
      </c>
      <c r="N1515" t="s">
        <v>1001</v>
      </c>
      <c r="O1515">
        <v>3</v>
      </c>
      <c r="P1515" t="s">
        <v>1002</v>
      </c>
      <c r="Q1515" t="s">
        <v>1003</v>
      </c>
      <c r="R1515" t="s">
        <v>1004</v>
      </c>
      <c r="S1515" t="s">
        <v>1005</v>
      </c>
      <c r="T1515" t="s">
        <v>32</v>
      </c>
      <c r="U1515" t="s">
        <v>80</v>
      </c>
      <c r="V1515">
        <v>74</v>
      </c>
      <c r="W1515">
        <v>83</v>
      </c>
      <c r="X1515">
        <v>123</v>
      </c>
      <c r="Y1515">
        <v>108</v>
      </c>
      <c r="Z1515">
        <v>196</v>
      </c>
      <c r="AA1515">
        <v>174</v>
      </c>
      <c r="AB1515" t="s">
        <v>413</v>
      </c>
      <c r="AC1515" t="s">
        <v>192</v>
      </c>
      <c r="AD1515" t="s">
        <v>609</v>
      </c>
      <c r="AE1515" t="s">
        <v>183</v>
      </c>
      <c r="AF1515">
        <v>0</v>
      </c>
    </row>
    <row r="1516" spans="1:32">
      <c r="A1516">
        <v>438</v>
      </c>
      <c r="B1516">
        <v>798</v>
      </c>
      <c r="C1516" t="s">
        <v>998</v>
      </c>
      <c r="D1516" t="s">
        <v>1411</v>
      </c>
      <c r="E1516" t="s">
        <v>2165</v>
      </c>
      <c r="F1516" t="s">
        <v>8</v>
      </c>
      <c r="G1516" t="s">
        <v>1682</v>
      </c>
      <c r="H1516" t="s">
        <v>220</v>
      </c>
      <c r="I1516" t="s">
        <v>256</v>
      </c>
      <c r="J1516" t="s">
        <v>236</v>
      </c>
      <c r="K1516" t="s">
        <v>1000</v>
      </c>
      <c r="L1516" s="84">
        <v>41886</v>
      </c>
      <c r="M1516" t="s">
        <v>541</v>
      </c>
      <c r="N1516" t="s">
        <v>1001</v>
      </c>
      <c r="O1516">
        <v>3</v>
      </c>
      <c r="P1516" t="s">
        <v>1002</v>
      </c>
      <c r="Q1516" t="s">
        <v>1003</v>
      </c>
      <c r="R1516" t="s">
        <v>1004</v>
      </c>
      <c r="S1516" t="s">
        <v>1005</v>
      </c>
      <c r="T1516" t="s">
        <v>31</v>
      </c>
      <c r="U1516" t="s">
        <v>80</v>
      </c>
      <c r="V1516">
        <v>74</v>
      </c>
      <c r="W1516">
        <v>83</v>
      </c>
      <c r="X1516">
        <v>123</v>
      </c>
      <c r="Y1516">
        <v>108</v>
      </c>
      <c r="Z1516">
        <v>196</v>
      </c>
      <c r="AA1516">
        <v>174</v>
      </c>
      <c r="AB1516" t="s">
        <v>413</v>
      </c>
      <c r="AC1516" t="s">
        <v>192</v>
      </c>
      <c r="AD1516" t="s">
        <v>609</v>
      </c>
      <c r="AE1516" t="s">
        <v>183</v>
      </c>
      <c r="AF1516">
        <v>0</v>
      </c>
    </row>
    <row r="1517" spans="1:32">
      <c r="A1517">
        <v>438</v>
      </c>
      <c r="B1517">
        <v>798</v>
      </c>
      <c r="C1517" t="s">
        <v>998</v>
      </c>
      <c r="D1517" t="s">
        <v>1411</v>
      </c>
      <c r="E1517" t="s">
        <v>2165</v>
      </c>
      <c r="F1517" t="s">
        <v>5</v>
      </c>
      <c r="G1517" t="s">
        <v>1680</v>
      </c>
      <c r="H1517" t="s">
        <v>274</v>
      </c>
      <c r="I1517" t="s">
        <v>216</v>
      </c>
      <c r="J1517" t="s">
        <v>212</v>
      </c>
      <c r="K1517" t="s">
        <v>1000</v>
      </c>
      <c r="L1517" s="84">
        <v>41886</v>
      </c>
      <c r="M1517" t="s">
        <v>541</v>
      </c>
      <c r="N1517" t="s">
        <v>1001</v>
      </c>
      <c r="O1517">
        <v>3</v>
      </c>
      <c r="P1517" t="s">
        <v>1002</v>
      </c>
      <c r="Q1517" t="s">
        <v>1003</v>
      </c>
      <c r="R1517" t="s">
        <v>1004</v>
      </c>
      <c r="S1517" t="s">
        <v>1005</v>
      </c>
      <c r="T1517" t="s">
        <v>33</v>
      </c>
      <c r="U1517" t="s">
        <v>80</v>
      </c>
      <c r="V1517">
        <v>74</v>
      </c>
      <c r="W1517">
        <v>83</v>
      </c>
      <c r="X1517">
        <v>123</v>
      </c>
      <c r="Y1517">
        <v>108</v>
      </c>
      <c r="Z1517">
        <v>196</v>
      </c>
      <c r="AA1517">
        <v>174</v>
      </c>
      <c r="AB1517" t="s">
        <v>413</v>
      </c>
      <c r="AC1517" t="s">
        <v>192</v>
      </c>
      <c r="AD1517" t="s">
        <v>609</v>
      </c>
      <c r="AE1517" t="s">
        <v>183</v>
      </c>
      <c r="AF1517">
        <v>0</v>
      </c>
    </row>
    <row r="1518" spans="1:32">
      <c r="A1518">
        <v>438</v>
      </c>
      <c r="B1518">
        <v>798</v>
      </c>
      <c r="C1518" t="s">
        <v>998</v>
      </c>
      <c r="D1518" t="s">
        <v>1411</v>
      </c>
      <c r="E1518" t="s">
        <v>2165</v>
      </c>
      <c r="F1518" t="s">
        <v>197</v>
      </c>
      <c r="G1518" t="s">
        <v>1677</v>
      </c>
      <c r="H1518" t="s">
        <v>188</v>
      </c>
      <c r="I1518" t="s">
        <v>212</v>
      </c>
      <c r="J1518" t="s">
        <v>2144</v>
      </c>
      <c r="K1518" t="s">
        <v>1000</v>
      </c>
      <c r="L1518" s="84">
        <v>41886</v>
      </c>
      <c r="M1518" t="s">
        <v>541</v>
      </c>
      <c r="N1518" t="s">
        <v>1001</v>
      </c>
      <c r="O1518">
        <v>3</v>
      </c>
      <c r="P1518" t="s">
        <v>1002</v>
      </c>
      <c r="Q1518" t="s">
        <v>1003</v>
      </c>
      <c r="R1518" t="s">
        <v>1004</v>
      </c>
      <c r="S1518" t="s">
        <v>1005</v>
      </c>
      <c r="T1518" t="s">
        <v>38</v>
      </c>
      <c r="U1518" t="s">
        <v>80</v>
      </c>
      <c r="V1518">
        <v>74</v>
      </c>
      <c r="W1518">
        <v>83</v>
      </c>
      <c r="X1518">
        <v>123</v>
      </c>
      <c r="Y1518">
        <v>108</v>
      </c>
      <c r="Z1518">
        <v>196</v>
      </c>
      <c r="AA1518">
        <v>174</v>
      </c>
      <c r="AB1518" t="s">
        <v>413</v>
      </c>
      <c r="AC1518" t="s">
        <v>192</v>
      </c>
      <c r="AD1518" t="s">
        <v>609</v>
      </c>
      <c r="AE1518" t="s">
        <v>183</v>
      </c>
      <c r="AF1518">
        <v>0</v>
      </c>
    </row>
    <row r="1519" spans="1:32">
      <c r="A1519">
        <v>438</v>
      </c>
      <c r="B1519">
        <v>798</v>
      </c>
      <c r="C1519" t="s">
        <v>998</v>
      </c>
      <c r="D1519" t="s">
        <v>1411</v>
      </c>
      <c r="E1519" t="s">
        <v>2165</v>
      </c>
      <c r="F1519" t="s">
        <v>193</v>
      </c>
      <c r="G1519" t="s">
        <v>1679</v>
      </c>
      <c r="H1519" t="s">
        <v>192</v>
      </c>
      <c r="I1519" t="s">
        <v>212</v>
      </c>
      <c r="J1519" t="s">
        <v>212</v>
      </c>
      <c r="K1519" t="s">
        <v>1000</v>
      </c>
      <c r="L1519" s="84">
        <v>41886</v>
      </c>
      <c r="M1519" t="s">
        <v>541</v>
      </c>
      <c r="N1519" t="s">
        <v>1001</v>
      </c>
      <c r="O1519">
        <v>3</v>
      </c>
      <c r="P1519" t="s">
        <v>1002</v>
      </c>
      <c r="Q1519" t="s">
        <v>1003</v>
      </c>
      <c r="R1519" t="s">
        <v>1004</v>
      </c>
      <c r="S1519" t="s">
        <v>1005</v>
      </c>
      <c r="T1519" t="s">
        <v>36</v>
      </c>
      <c r="U1519" t="s">
        <v>80</v>
      </c>
      <c r="V1519">
        <v>74</v>
      </c>
      <c r="W1519">
        <v>83</v>
      </c>
      <c r="X1519">
        <v>123</v>
      </c>
      <c r="Y1519">
        <v>108</v>
      </c>
      <c r="Z1519">
        <v>196</v>
      </c>
      <c r="AA1519">
        <v>174</v>
      </c>
      <c r="AB1519" t="s">
        <v>413</v>
      </c>
      <c r="AC1519" t="s">
        <v>192</v>
      </c>
      <c r="AD1519" t="s">
        <v>609</v>
      </c>
      <c r="AE1519" t="s">
        <v>183</v>
      </c>
      <c r="AF1519">
        <v>0</v>
      </c>
    </row>
    <row r="1520" spans="1:32">
      <c r="A1520">
        <v>438</v>
      </c>
      <c r="B1520">
        <v>798</v>
      </c>
      <c r="C1520" t="s">
        <v>998</v>
      </c>
      <c r="D1520" t="s">
        <v>1411</v>
      </c>
      <c r="E1520" t="s">
        <v>2165</v>
      </c>
      <c r="F1520" t="s">
        <v>37</v>
      </c>
      <c r="G1520" t="s">
        <v>1678</v>
      </c>
      <c r="H1520" t="s">
        <v>192</v>
      </c>
      <c r="I1520" t="s">
        <v>212</v>
      </c>
      <c r="J1520" t="s">
        <v>192</v>
      </c>
      <c r="K1520" t="s">
        <v>1000</v>
      </c>
      <c r="L1520" s="84">
        <v>41886</v>
      </c>
      <c r="M1520" t="s">
        <v>541</v>
      </c>
      <c r="N1520" t="s">
        <v>1001</v>
      </c>
      <c r="O1520">
        <v>3</v>
      </c>
      <c r="P1520" t="s">
        <v>1002</v>
      </c>
      <c r="Q1520" t="s">
        <v>1003</v>
      </c>
      <c r="R1520" t="s">
        <v>1004</v>
      </c>
      <c r="S1520" t="s">
        <v>1005</v>
      </c>
      <c r="T1520" t="s">
        <v>37</v>
      </c>
      <c r="U1520" t="s">
        <v>80</v>
      </c>
      <c r="V1520">
        <v>74</v>
      </c>
      <c r="W1520">
        <v>83</v>
      </c>
      <c r="X1520">
        <v>123</v>
      </c>
      <c r="Y1520">
        <v>108</v>
      </c>
      <c r="Z1520">
        <v>196</v>
      </c>
      <c r="AA1520">
        <v>174</v>
      </c>
      <c r="AB1520" t="s">
        <v>413</v>
      </c>
      <c r="AC1520" t="s">
        <v>192</v>
      </c>
      <c r="AD1520" t="s">
        <v>609</v>
      </c>
      <c r="AE1520" t="s">
        <v>183</v>
      </c>
      <c r="AF1520">
        <v>0</v>
      </c>
    </row>
    <row r="1521" spans="1:32">
      <c r="A1521">
        <v>439</v>
      </c>
      <c r="B1521">
        <v>974</v>
      </c>
      <c r="C1521" t="s">
        <v>1009</v>
      </c>
      <c r="D1521" t="s">
        <v>1411</v>
      </c>
      <c r="E1521" t="s">
        <v>2165</v>
      </c>
      <c r="F1521" t="s">
        <v>37</v>
      </c>
      <c r="G1521" t="s">
        <v>1689</v>
      </c>
      <c r="H1521" t="s">
        <v>192</v>
      </c>
      <c r="I1521" t="s">
        <v>212</v>
      </c>
      <c r="J1521" t="s">
        <v>192</v>
      </c>
      <c r="K1521" t="s">
        <v>1010</v>
      </c>
      <c r="L1521" s="84">
        <v>41726</v>
      </c>
      <c r="M1521" t="s">
        <v>325</v>
      </c>
      <c r="N1521" t="s">
        <v>665</v>
      </c>
      <c r="O1521">
        <v>3</v>
      </c>
      <c r="P1521" t="s">
        <v>1011</v>
      </c>
      <c r="Q1521" t="s">
        <v>1012</v>
      </c>
      <c r="R1521" t="s">
        <v>1013</v>
      </c>
      <c r="S1521" t="s">
        <v>1400</v>
      </c>
      <c r="T1521" t="s">
        <v>37</v>
      </c>
      <c r="U1521" t="s">
        <v>80</v>
      </c>
      <c r="V1521">
        <v>61</v>
      </c>
      <c r="W1521">
        <v>83</v>
      </c>
      <c r="X1521">
        <v>123</v>
      </c>
      <c r="Y1521">
        <v>94</v>
      </c>
      <c r="Z1521">
        <v>196</v>
      </c>
      <c r="AA1521">
        <v>157</v>
      </c>
      <c r="AB1521" t="s">
        <v>696</v>
      </c>
      <c r="AC1521" t="s">
        <v>223</v>
      </c>
      <c r="AD1521" t="s">
        <v>210</v>
      </c>
      <c r="AE1521" t="s">
        <v>183</v>
      </c>
      <c r="AF1521">
        <v>0</v>
      </c>
    </row>
    <row r="1522" spans="1:32">
      <c r="A1522">
        <v>439</v>
      </c>
      <c r="B1522">
        <v>974</v>
      </c>
      <c r="C1522" t="s">
        <v>1009</v>
      </c>
      <c r="D1522" t="s">
        <v>1411</v>
      </c>
      <c r="E1522" t="s">
        <v>2165</v>
      </c>
      <c r="F1522" t="s">
        <v>193</v>
      </c>
      <c r="G1522" t="s">
        <v>1688</v>
      </c>
      <c r="H1522" t="s">
        <v>192</v>
      </c>
      <c r="I1522" t="s">
        <v>212</v>
      </c>
      <c r="J1522" t="s">
        <v>212</v>
      </c>
      <c r="K1522" t="s">
        <v>1010</v>
      </c>
      <c r="L1522" s="84">
        <v>41726</v>
      </c>
      <c r="M1522" t="s">
        <v>325</v>
      </c>
      <c r="N1522" t="s">
        <v>665</v>
      </c>
      <c r="O1522">
        <v>3</v>
      </c>
      <c r="P1522" t="s">
        <v>1011</v>
      </c>
      <c r="Q1522" t="s">
        <v>1012</v>
      </c>
      <c r="R1522" t="s">
        <v>1013</v>
      </c>
      <c r="S1522" t="s">
        <v>1400</v>
      </c>
      <c r="T1522" t="s">
        <v>36</v>
      </c>
      <c r="U1522" t="s">
        <v>80</v>
      </c>
      <c r="V1522">
        <v>61</v>
      </c>
      <c r="W1522">
        <v>83</v>
      </c>
      <c r="X1522">
        <v>123</v>
      </c>
      <c r="Y1522">
        <v>94</v>
      </c>
      <c r="Z1522">
        <v>196</v>
      </c>
      <c r="AA1522">
        <v>157</v>
      </c>
      <c r="AB1522" t="s">
        <v>696</v>
      </c>
      <c r="AC1522" t="s">
        <v>223</v>
      </c>
      <c r="AD1522" t="s">
        <v>210</v>
      </c>
      <c r="AE1522" t="s">
        <v>183</v>
      </c>
      <c r="AF1522">
        <v>0</v>
      </c>
    </row>
    <row r="1523" spans="1:32">
      <c r="A1523">
        <v>439</v>
      </c>
      <c r="B1523">
        <v>974</v>
      </c>
      <c r="C1523" t="s">
        <v>1009</v>
      </c>
      <c r="D1523" t="s">
        <v>1411</v>
      </c>
      <c r="E1523" t="s">
        <v>2165</v>
      </c>
      <c r="F1523" t="s">
        <v>197</v>
      </c>
      <c r="G1523" t="s">
        <v>1690</v>
      </c>
      <c r="H1523" t="s">
        <v>192</v>
      </c>
      <c r="I1523" t="s">
        <v>212</v>
      </c>
      <c r="J1523" t="s">
        <v>245</v>
      </c>
      <c r="K1523" t="s">
        <v>1010</v>
      </c>
      <c r="L1523" s="84">
        <v>41726</v>
      </c>
      <c r="M1523" t="s">
        <v>325</v>
      </c>
      <c r="N1523" t="s">
        <v>665</v>
      </c>
      <c r="O1523">
        <v>3</v>
      </c>
      <c r="P1523" t="s">
        <v>1011</v>
      </c>
      <c r="Q1523" t="s">
        <v>1012</v>
      </c>
      <c r="R1523" t="s">
        <v>1013</v>
      </c>
      <c r="S1523" t="s">
        <v>1400</v>
      </c>
      <c r="T1523" t="s">
        <v>38</v>
      </c>
      <c r="U1523" t="s">
        <v>80</v>
      </c>
      <c r="V1523">
        <v>61</v>
      </c>
      <c r="W1523">
        <v>83</v>
      </c>
      <c r="X1523">
        <v>123</v>
      </c>
      <c r="Y1523">
        <v>94</v>
      </c>
      <c r="Z1523">
        <v>196</v>
      </c>
      <c r="AA1523">
        <v>157</v>
      </c>
      <c r="AB1523" t="s">
        <v>696</v>
      </c>
      <c r="AC1523" t="s">
        <v>223</v>
      </c>
      <c r="AD1523" t="s">
        <v>210</v>
      </c>
      <c r="AE1523" t="s">
        <v>183</v>
      </c>
      <c r="AF1523">
        <v>0</v>
      </c>
    </row>
    <row r="1524" spans="1:32">
      <c r="A1524">
        <v>439</v>
      </c>
      <c r="B1524">
        <v>974</v>
      </c>
      <c r="C1524" t="s">
        <v>1009</v>
      </c>
      <c r="D1524" t="s">
        <v>1411</v>
      </c>
      <c r="E1524" t="s">
        <v>2165</v>
      </c>
      <c r="F1524" t="s">
        <v>5</v>
      </c>
      <c r="G1524" t="s">
        <v>1687</v>
      </c>
      <c r="H1524" t="s">
        <v>185</v>
      </c>
      <c r="I1524" t="s">
        <v>237</v>
      </c>
      <c r="J1524" t="s">
        <v>181</v>
      </c>
      <c r="K1524" t="s">
        <v>1010</v>
      </c>
      <c r="L1524" s="84">
        <v>41726</v>
      </c>
      <c r="M1524" t="s">
        <v>325</v>
      </c>
      <c r="N1524" t="s">
        <v>665</v>
      </c>
      <c r="O1524">
        <v>3</v>
      </c>
      <c r="P1524" t="s">
        <v>1011</v>
      </c>
      <c r="Q1524" t="s">
        <v>1012</v>
      </c>
      <c r="R1524" t="s">
        <v>1013</v>
      </c>
      <c r="S1524" t="s">
        <v>1400</v>
      </c>
      <c r="T1524" t="s">
        <v>33</v>
      </c>
      <c r="U1524" t="s">
        <v>80</v>
      </c>
      <c r="V1524">
        <v>61</v>
      </c>
      <c r="W1524">
        <v>83</v>
      </c>
      <c r="X1524">
        <v>123</v>
      </c>
      <c r="Y1524">
        <v>94</v>
      </c>
      <c r="Z1524">
        <v>196</v>
      </c>
      <c r="AA1524">
        <v>157</v>
      </c>
      <c r="AB1524" t="s">
        <v>696</v>
      </c>
      <c r="AC1524" t="s">
        <v>223</v>
      </c>
      <c r="AD1524" t="s">
        <v>210</v>
      </c>
      <c r="AE1524" t="s">
        <v>183</v>
      </c>
      <c r="AF1524">
        <v>0</v>
      </c>
    </row>
    <row r="1525" spans="1:32">
      <c r="A1525">
        <v>439</v>
      </c>
      <c r="B1525">
        <v>974</v>
      </c>
      <c r="C1525" t="s">
        <v>1009</v>
      </c>
      <c r="D1525" t="s">
        <v>1411</v>
      </c>
      <c r="E1525" t="s">
        <v>2165</v>
      </c>
      <c r="F1525" t="s">
        <v>8</v>
      </c>
      <c r="G1525" t="s">
        <v>1685</v>
      </c>
      <c r="H1525" t="s">
        <v>236</v>
      </c>
      <c r="I1525" t="s">
        <v>256</v>
      </c>
      <c r="J1525" t="s">
        <v>238</v>
      </c>
      <c r="K1525" t="s">
        <v>1010</v>
      </c>
      <c r="L1525" s="84">
        <v>41726</v>
      </c>
      <c r="M1525" t="s">
        <v>325</v>
      </c>
      <c r="N1525" t="s">
        <v>665</v>
      </c>
      <c r="O1525">
        <v>3</v>
      </c>
      <c r="P1525" t="s">
        <v>1011</v>
      </c>
      <c r="Q1525" t="s">
        <v>1012</v>
      </c>
      <c r="R1525" t="s">
        <v>1013</v>
      </c>
      <c r="S1525" t="s">
        <v>1400</v>
      </c>
      <c r="T1525" t="s">
        <v>31</v>
      </c>
      <c r="U1525" t="s">
        <v>80</v>
      </c>
      <c r="V1525">
        <v>61</v>
      </c>
      <c r="W1525">
        <v>83</v>
      </c>
      <c r="X1525">
        <v>123</v>
      </c>
      <c r="Y1525">
        <v>94</v>
      </c>
      <c r="Z1525">
        <v>196</v>
      </c>
      <c r="AA1525">
        <v>157</v>
      </c>
      <c r="AB1525" t="s">
        <v>696</v>
      </c>
      <c r="AC1525" t="s">
        <v>223</v>
      </c>
      <c r="AD1525" t="s">
        <v>210</v>
      </c>
      <c r="AE1525" t="s">
        <v>183</v>
      </c>
      <c r="AF1525">
        <v>0</v>
      </c>
    </row>
    <row r="1526" spans="1:32">
      <c r="A1526">
        <v>439</v>
      </c>
      <c r="B1526">
        <v>974</v>
      </c>
      <c r="C1526" t="s">
        <v>1009</v>
      </c>
      <c r="D1526" t="s">
        <v>1411</v>
      </c>
      <c r="E1526" t="s">
        <v>2165</v>
      </c>
      <c r="F1526" t="s">
        <v>7</v>
      </c>
      <c r="G1526" t="s">
        <v>1684</v>
      </c>
      <c r="H1526" t="s">
        <v>185</v>
      </c>
      <c r="I1526" t="s">
        <v>226</v>
      </c>
      <c r="J1526" t="s">
        <v>256</v>
      </c>
      <c r="K1526" t="s">
        <v>1010</v>
      </c>
      <c r="L1526" s="84">
        <v>41726</v>
      </c>
      <c r="M1526" t="s">
        <v>325</v>
      </c>
      <c r="N1526" t="s">
        <v>665</v>
      </c>
      <c r="O1526">
        <v>3</v>
      </c>
      <c r="P1526" t="s">
        <v>1011</v>
      </c>
      <c r="Q1526" t="s">
        <v>1012</v>
      </c>
      <c r="R1526" t="s">
        <v>1013</v>
      </c>
      <c r="S1526" t="s">
        <v>1400</v>
      </c>
      <c r="T1526" t="s">
        <v>32</v>
      </c>
      <c r="U1526" t="s">
        <v>80</v>
      </c>
      <c r="V1526">
        <v>61</v>
      </c>
      <c r="W1526">
        <v>83</v>
      </c>
      <c r="X1526">
        <v>123</v>
      </c>
      <c r="Y1526">
        <v>94</v>
      </c>
      <c r="Z1526">
        <v>196</v>
      </c>
      <c r="AA1526">
        <v>157</v>
      </c>
      <c r="AB1526" t="s">
        <v>696</v>
      </c>
      <c r="AC1526" t="s">
        <v>223</v>
      </c>
      <c r="AD1526" t="s">
        <v>210</v>
      </c>
      <c r="AE1526" t="s">
        <v>183</v>
      </c>
      <c r="AF1526">
        <v>0</v>
      </c>
    </row>
    <row r="1527" spans="1:32">
      <c r="A1527">
        <v>439</v>
      </c>
      <c r="B1527">
        <v>974</v>
      </c>
      <c r="C1527" t="s">
        <v>1009</v>
      </c>
      <c r="D1527" t="s">
        <v>1411</v>
      </c>
      <c r="E1527" t="s">
        <v>2165</v>
      </c>
      <c r="F1527" t="s">
        <v>6</v>
      </c>
      <c r="G1527" t="s">
        <v>1686</v>
      </c>
      <c r="H1527" t="s">
        <v>226</v>
      </c>
      <c r="I1527" t="s">
        <v>185</v>
      </c>
      <c r="J1527" t="s">
        <v>274</v>
      </c>
      <c r="K1527" t="s">
        <v>1010</v>
      </c>
      <c r="L1527" s="84">
        <v>41726</v>
      </c>
      <c r="M1527" t="s">
        <v>325</v>
      </c>
      <c r="N1527" t="s">
        <v>665</v>
      </c>
      <c r="O1527">
        <v>3</v>
      </c>
      <c r="P1527" t="s">
        <v>1011</v>
      </c>
      <c r="Q1527" t="s">
        <v>1012</v>
      </c>
      <c r="R1527" t="s">
        <v>1013</v>
      </c>
      <c r="S1527" t="s">
        <v>1400</v>
      </c>
      <c r="T1527" t="s">
        <v>34</v>
      </c>
      <c r="U1527" t="s">
        <v>80</v>
      </c>
      <c r="V1527">
        <v>61</v>
      </c>
      <c r="W1527">
        <v>83</v>
      </c>
      <c r="X1527">
        <v>123</v>
      </c>
      <c r="Y1527">
        <v>94</v>
      </c>
      <c r="Z1527">
        <v>196</v>
      </c>
      <c r="AA1527">
        <v>157</v>
      </c>
      <c r="AB1527" t="s">
        <v>696</v>
      </c>
      <c r="AC1527" t="s">
        <v>223</v>
      </c>
      <c r="AD1527" t="s">
        <v>210</v>
      </c>
      <c r="AE1527" t="s">
        <v>183</v>
      </c>
      <c r="AF1527">
        <v>0</v>
      </c>
    </row>
    <row r="1528" spans="1:32">
      <c r="A1528">
        <v>440</v>
      </c>
      <c r="B1528">
        <v>956</v>
      </c>
      <c r="C1528" t="s">
        <v>1402</v>
      </c>
      <c r="D1528" t="s">
        <v>1411</v>
      </c>
      <c r="E1528" t="s">
        <v>2165</v>
      </c>
      <c r="F1528" t="s">
        <v>6</v>
      </c>
      <c r="G1528" t="s">
        <v>1695</v>
      </c>
      <c r="H1528" t="s">
        <v>212</v>
      </c>
      <c r="I1528" t="s">
        <v>403</v>
      </c>
      <c r="J1528" t="s">
        <v>181</v>
      </c>
      <c r="K1528" t="s">
        <v>1019</v>
      </c>
      <c r="L1528" s="84">
        <v>42334</v>
      </c>
      <c r="M1528" t="s">
        <v>325</v>
      </c>
      <c r="N1528" t="s">
        <v>1020</v>
      </c>
      <c r="O1528">
        <v>3</v>
      </c>
      <c r="P1528" t="s">
        <v>1021</v>
      </c>
      <c r="Q1528" t="s">
        <v>1403</v>
      </c>
      <c r="R1528" t="s">
        <v>1022</v>
      </c>
      <c r="S1528" t="s">
        <v>1023</v>
      </c>
      <c r="T1528" t="s">
        <v>34</v>
      </c>
      <c r="U1528" t="s">
        <v>80</v>
      </c>
      <c r="V1528">
        <v>56</v>
      </c>
      <c r="W1528">
        <v>83</v>
      </c>
      <c r="X1528">
        <v>123</v>
      </c>
      <c r="Y1528">
        <v>82</v>
      </c>
      <c r="Z1528">
        <v>196</v>
      </c>
      <c r="AA1528">
        <v>121</v>
      </c>
      <c r="AB1528" t="s">
        <v>2546</v>
      </c>
      <c r="AC1528" t="s">
        <v>226</v>
      </c>
      <c r="AD1528" t="s">
        <v>210</v>
      </c>
      <c r="AE1528" t="s">
        <v>183</v>
      </c>
      <c r="AF1528">
        <v>2</v>
      </c>
    </row>
    <row r="1529" spans="1:32">
      <c r="A1529">
        <v>440</v>
      </c>
      <c r="B1529">
        <v>956</v>
      </c>
      <c r="C1529" t="s">
        <v>1402</v>
      </c>
      <c r="D1529" t="s">
        <v>1411</v>
      </c>
      <c r="E1529" t="s">
        <v>2165</v>
      </c>
      <c r="F1529" t="s">
        <v>7</v>
      </c>
      <c r="G1529" t="s">
        <v>1697</v>
      </c>
      <c r="H1529" t="s">
        <v>173</v>
      </c>
      <c r="I1529" t="s">
        <v>407</v>
      </c>
      <c r="J1529" t="s">
        <v>376</v>
      </c>
      <c r="K1529" t="s">
        <v>1019</v>
      </c>
      <c r="L1529" s="84">
        <v>42334</v>
      </c>
      <c r="M1529" t="s">
        <v>325</v>
      </c>
      <c r="N1529" t="s">
        <v>1020</v>
      </c>
      <c r="O1529">
        <v>3</v>
      </c>
      <c r="P1529" t="s">
        <v>1021</v>
      </c>
      <c r="Q1529" t="s">
        <v>1403</v>
      </c>
      <c r="R1529" t="s">
        <v>1022</v>
      </c>
      <c r="S1529" t="s">
        <v>1023</v>
      </c>
      <c r="T1529" t="s">
        <v>32</v>
      </c>
      <c r="U1529" t="s">
        <v>80</v>
      </c>
      <c r="V1529">
        <v>56</v>
      </c>
      <c r="W1529">
        <v>83</v>
      </c>
      <c r="X1529">
        <v>123</v>
      </c>
      <c r="Y1529">
        <v>82</v>
      </c>
      <c r="Z1529">
        <v>196</v>
      </c>
      <c r="AA1529">
        <v>121</v>
      </c>
      <c r="AB1529" t="s">
        <v>2546</v>
      </c>
      <c r="AC1529" t="s">
        <v>226</v>
      </c>
      <c r="AD1529" t="s">
        <v>210</v>
      </c>
      <c r="AE1529" t="s">
        <v>183</v>
      </c>
      <c r="AF1529">
        <v>2</v>
      </c>
    </row>
    <row r="1530" spans="1:32">
      <c r="A1530">
        <v>440</v>
      </c>
      <c r="B1530">
        <v>956</v>
      </c>
      <c r="C1530" t="s">
        <v>1402</v>
      </c>
      <c r="D1530" t="s">
        <v>1411</v>
      </c>
      <c r="E1530" t="s">
        <v>2165</v>
      </c>
      <c r="F1530" t="s">
        <v>8</v>
      </c>
      <c r="G1530" t="s">
        <v>1696</v>
      </c>
      <c r="H1530" t="s">
        <v>172</v>
      </c>
      <c r="I1530" t="s">
        <v>227</v>
      </c>
      <c r="J1530" t="s">
        <v>216</v>
      </c>
      <c r="K1530" t="s">
        <v>1019</v>
      </c>
      <c r="L1530" s="84">
        <v>42334</v>
      </c>
      <c r="M1530" t="s">
        <v>325</v>
      </c>
      <c r="N1530" t="s">
        <v>1020</v>
      </c>
      <c r="O1530">
        <v>3</v>
      </c>
      <c r="P1530" t="s">
        <v>1021</v>
      </c>
      <c r="Q1530" t="s">
        <v>1403</v>
      </c>
      <c r="R1530" t="s">
        <v>1022</v>
      </c>
      <c r="S1530" t="s">
        <v>1023</v>
      </c>
      <c r="T1530" t="s">
        <v>31</v>
      </c>
      <c r="U1530" t="s">
        <v>80</v>
      </c>
      <c r="V1530">
        <v>56</v>
      </c>
      <c r="W1530">
        <v>83</v>
      </c>
      <c r="X1530">
        <v>123</v>
      </c>
      <c r="Y1530">
        <v>82</v>
      </c>
      <c r="Z1530">
        <v>196</v>
      </c>
      <c r="AA1530">
        <v>121</v>
      </c>
      <c r="AB1530" t="s">
        <v>2546</v>
      </c>
      <c r="AC1530" t="s">
        <v>226</v>
      </c>
      <c r="AD1530" t="s">
        <v>210</v>
      </c>
      <c r="AE1530" t="s">
        <v>183</v>
      </c>
      <c r="AF1530">
        <v>2</v>
      </c>
    </row>
    <row r="1531" spans="1:32">
      <c r="A1531">
        <v>440</v>
      </c>
      <c r="B1531">
        <v>956</v>
      </c>
      <c r="C1531" t="s">
        <v>1402</v>
      </c>
      <c r="D1531" t="s">
        <v>1411</v>
      </c>
      <c r="E1531" t="s">
        <v>2165</v>
      </c>
      <c r="F1531" t="s">
        <v>5</v>
      </c>
      <c r="G1531" t="s">
        <v>1694</v>
      </c>
      <c r="H1531" t="s">
        <v>462</v>
      </c>
      <c r="I1531" t="s">
        <v>324</v>
      </c>
      <c r="J1531" t="s">
        <v>376</v>
      </c>
      <c r="K1531" t="s">
        <v>1019</v>
      </c>
      <c r="L1531" s="84">
        <v>42334</v>
      </c>
      <c r="M1531" t="s">
        <v>325</v>
      </c>
      <c r="N1531" t="s">
        <v>1020</v>
      </c>
      <c r="O1531">
        <v>3</v>
      </c>
      <c r="P1531" t="s">
        <v>1021</v>
      </c>
      <c r="Q1531" t="s">
        <v>1403</v>
      </c>
      <c r="R1531" t="s">
        <v>1022</v>
      </c>
      <c r="S1531" t="s">
        <v>1023</v>
      </c>
      <c r="T1531" t="s">
        <v>33</v>
      </c>
      <c r="U1531" t="s">
        <v>80</v>
      </c>
      <c r="V1531">
        <v>56</v>
      </c>
      <c r="W1531">
        <v>83</v>
      </c>
      <c r="X1531">
        <v>123</v>
      </c>
      <c r="Y1531">
        <v>82</v>
      </c>
      <c r="Z1531">
        <v>196</v>
      </c>
      <c r="AA1531">
        <v>121</v>
      </c>
      <c r="AB1531" t="s">
        <v>2546</v>
      </c>
      <c r="AC1531" t="s">
        <v>226</v>
      </c>
      <c r="AD1531" t="s">
        <v>210</v>
      </c>
      <c r="AE1531" t="s">
        <v>183</v>
      </c>
      <c r="AF1531">
        <v>2</v>
      </c>
    </row>
    <row r="1532" spans="1:32">
      <c r="A1532">
        <v>440</v>
      </c>
      <c r="B1532">
        <v>956</v>
      </c>
      <c r="C1532" t="s">
        <v>1402</v>
      </c>
      <c r="D1532" t="s">
        <v>1411</v>
      </c>
      <c r="E1532" t="s">
        <v>2165</v>
      </c>
      <c r="F1532" t="s">
        <v>197</v>
      </c>
      <c r="G1532" t="s">
        <v>1691</v>
      </c>
      <c r="H1532" t="s">
        <v>192</v>
      </c>
      <c r="I1532" t="s">
        <v>212</v>
      </c>
      <c r="J1532" t="s">
        <v>280</v>
      </c>
      <c r="K1532" t="s">
        <v>1019</v>
      </c>
      <c r="L1532" s="84">
        <v>42334</v>
      </c>
      <c r="M1532" t="s">
        <v>325</v>
      </c>
      <c r="N1532" t="s">
        <v>1020</v>
      </c>
      <c r="O1532">
        <v>3</v>
      </c>
      <c r="P1532" t="s">
        <v>1021</v>
      </c>
      <c r="Q1532" t="s">
        <v>1403</v>
      </c>
      <c r="R1532" t="s">
        <v>1022</v>
      </c>
      <c r="S1532" t="s">
        <v>1023</v>
      </c>
      <c r="T1532" t="s">
        <v>38</v>
      </c>
      <c r="U1532" t="s">
        <v>80</v>
      </c>
      <c r="V1532">
        <v>56</v>
      </c>
      <c r="W1532">
        <v>83</v>
      </c>
      <c r="X1532">
        <v>123</v>
      </c>
      <c r="Y1532">
        <v>82</v>
      </c>
      <c r="Z1532">
        <v>196</v>
      </c>
      <c r="AA1532">
        <v>121</v>
      </c>
      <c r="AB1532" t="s">
        <v>2546</v>
      </c>
      <c r="AC1532" t="s">
        <v>226</v>
      </c>
      <c r="AD1532" t="s">
        <v>210</v>
      </c>
      <c r="AE1532" t="s">
        <v>183</v>
      </c>
      <c r="AF1532">
        <v>2</v>
      </c>
    </row>
    <row r="1533" spans="1:32">
      <c r="A1533">
        <v>440</v>
      </c>
      <c r="B1533">
        <v>956</v>
      </c>
      <c r="C1533" t="s">
        <v>1402</v>
      </c>
      <c r="D1533" t="s">
        <v>1411</v>
      </c>
      <c r="E1533" t="s">
        <v>2165</v>
      </c>
      <c r="F1533" t="s">
        <v>193</v>
      </c>
      <c r="G1533" t="s">
        <v>1693</v>
      </c>
      <c r="H1533" t="s">
        <v>192</v>
      </c>
      <c r="I1533" t="s">
        <v>212</v>
      </c>
      <c r="J1533" t="s">
        <v>223</v>
      </c>
      <c r="K1533" t="s">
        <v>1019</v>
      </c>
      <c r="L1533" s="84">
        <v>42334</v>
      </c>
      <c r="M1533" t="s">
        <v>325</v>
      </c>
      <c r="N1533" t="s">
        <v>1020</v>
      </c>
      <c r="O1533">
        <v>3</v>
      </c>
      <c r="P1533" t="s">
        <v>1021</v>
      </c>
      <c r="Q1533" t="s">
        <v>1403</v>
      </c>
      <c r="R1533" t="s">
        <v>1022</v>
      </c>
      <c r="S1533" t="s">
        <v>1023</v>
      </c>
      <c r="T1533" t="s">
        <v>36</v>
      </c>
      <c r="U1533" t="s">
        <v>80</v>
      </c>
      <c r="V1533">
        <v>56</v>
      </c>
      <c r="W1533">
        <v>83</v>
      </c>
      <c r="X1533">
        <v>123</v>
      </c>
      <c r="Y1533">
        <v>82</v>
      </c>
      <c r="Z1533">
        <v>196</v>
      </c>
      <c r="AA1533">
        <v>121</v>
      </c>
      <c r="AB1533" t="s">
        <v>2546</v>
      </c>
      <c r="AC1533" t="s">
        <v>226</v>
      </c>
      <c r="AD1533" t="s">
        <v>210</v>
      </c>
      <c r="AE1533" t="s">
        <v>183</v>
      </c>
      <c r="AF1533">
        <v>2</v>
      </c>
    </row>
    <row r="1534" spans="1:32">
      <c r="A1534">
        <v>440</v>
      </c>
      <c r="B1534">
        <v>956</v>
      </c>
      <c r="C1534" t="s">
        <v>1402</v>
      </c>
      <c r="D1534" t="s">
        <v>1411</v>
      </c>
      <c r="E1534" t="s">
        <v>2165</v>
      </c>
      <c r="F1534" t="s">
        <v>37</v>
      </c>
      <c r="G1534" t="s">
        <v>1692</v>
      </c>
      <c r="H1534" t="s">
        <v>192</v>
      </c>
      <c r="I1534" t="s">
        <v>212</v>
      </c>
      <c r="J1534" t="s">
        <v>192</v>
      </c>
      <c r="K1534" t="s">
        <v>1019</v>
      </c>
      <c r="L1534" s="84">
        <v>42334</v>
      </c>
      <c r="M1534" t="s">
        <v>325</v>
      </c>
      <c r="N1534" t="s">
        <v>1020</v>
      </c>
      <c r="O1534">
        <v>3</v>
      </c>
      <c r="P1534" t="s">
        <v>1021</v>
      </c>
      <c r="Q1534" t="s">
        <v>1403</v>
      </c>
      <c r="R1534" t="s">
        <v>1022</v>
      </c>
      <c r="S1534" t="s">
        <v>1023</v>
      </c>
      <c r="T1534" t="s">
        <v>37</v>
      </c>
      <c r="U1534" t="s">
        <v>80</v>
      </c>
      <c r="V1534">
        <v>56</v>
      </c>
      <c r="W1534">
        <v>83</v>
      </c>
      <c r="X1534">
        <v>123</v>
      </c>
      <c r="Y1534">
        <v>82</v>
      </c>
      <c r="Z1534">
        <v>196</v>
      </c>
      <c r="AA1534">
        <v>121</v>
      </c>
      <c r="AB1534" t="s">
        <v>2546</v>
      </c>
      <c r="AC1534" t="s">
        <v>226</v>
      </c>
      <c r="AD1534" t="s">
        <v>210</v>
      </c>
      <c r="AE1534" t="s">
        <v>183</v>
      </c>
      <c r="AF1534">
        <v>2</v>
      </c>
    </row>
    <row r="1535" spans="1:32">
      <c r="A1535">
        <v>441</v>
      </c>
      <c r="B1535">
        <v>1181</v>
      </c>
      <c r="C1535" t="s">
        <v>2755</v>
      </c>
      <c r="D1535" t="s">
        <v>1411</v>
      </c>
      <c r="E1535" t="s">
        <v>2165</v>
      </c>
      <c r="F1535" t="s">
        <v>37</v>
      </c>
      <c r="G1535" t="s">
        <v>2756</v>
      </c>
      <c r="H1535" t="s">
        <v>192</v>
      </c>
      <c r="I1535" t="s">
        <v>212</v>
      </c>
      <c r="J1535" t="s">
        <v>192</v>
      </c>
      <c r="K1535" t="s">
        <v>2757</v>
      </c>
      <c r="L1535" s="84">
        <v>42552</v>
      </c>
      <c r="M1535" t="s">
        <v>381</v>
      </c>
      <c r="N1535" t="s">
        <v>2758</v>
      </c>
      <c r="O1535">
        <v>2</v>
      </c>
      <c r="P1535" t="s">
        <v>878</v>
      </c>
      <c r="Q1535" t="s">
        <v>2393</v>
      </c>
      <c r="R1535" t="s">
        <v>2759</v>
      </c>
      <c r="S1535" t="s">
        <v>2760</v>
      </c>
      <c r="T1535" t="s">
        <v>37</v>
      </c>
      <c r="U1535" t="s">
        <v>79</v>
      </c>
      <c r="V1535">
        <v>50</v>
      </c>
      <c r="W1535">
        <v>83</v>
      </c>
      <c r="X1535">
        <v>123</v>
      </c>
      <c r="Y1535">
        <v>83</v>
      </c>
      <c r="Z1535">
        <v>196</v>
      </c>
      <c r="AA1535">
        <v>148</v>
      </c>
      <c r="AB1535" t="s">
        <v>1236</v>
      </c>
      <c r="AC1535" t="s">
        <v>256</v>
      </c>
      <c r="AD1535" t="s">
        <v>210</v>
      </c>
      <c r="AE1535" t="s">
        <v>183</v>
      </c>
      <c r="AF1535">
        <v>0</v>
      </c>
    </row>
    <row r="1536" spans="1:32">
      <c r="A1536">
        <v>441</v>
      </c>
      <c r="B1536">
        <v>1181</v>
      </c>
      <c r="C1536" t="s">
        <v>2755</v>
      </c>
      <c r="D1536" t="s">
        <v>1411</v>
      </c>
      <c r="E1536" t="s">
        <v>2165</v>
      </c>
      <c r="F1536" t="s">
        <v>193</v>
      </c>
      <c r="G1536" t="s">
        <v>2761</v>
      </c>
      <c r="H1536" t="s">
        <v>192</v>
      </c>
      <c r="I1536" t="s">
        <v>212</v>
      </c>
      <c r="J1536" t="s">
        <v>192</v>
      </c>
      <c r="K1536" t="s">
        <v>2757</v>
      </c>
      <c r="L1536" s="84">
        <v>42552</v>
      </c>
      <c r="M1536" t="s">
        <v>381</v>
      </c>
      <c r="N1536" t="s">
        <v>2758</v>
      </c>
      <c r="O1536">
        <v>2</v>
      </c>
      <c r="P1536" t="s">
        <v>878</v>
      </c>
      <c r="Q1536" t="s">
        <v>2393</v>
      </c>
      <c r="R1536" t="s">
        <v>2759</v>
      </c>
      <c r="S1536" t="s">
        <v>2760</v>
      </c>
      <c r="T1536" t="s">
        <v>36</v>
      </c>
      <c r="U1536" t="s">
        <v>79</v>
      </c>
      <c r="V1536">
        <v>50</v>
      </c>
      <c r="W1536">
        <v>83</v>
      </c>
      <c r="X1536">
        <v>123</v>
      </c>
      <c r="Y1536">
        <v>83</v>
      </c>
      <c r="Z1536">
        <v>196</v>
      </c>
      <c r="AA1536">
        <v>148</v>
      </c>
      <c r="AB1536" t="s">
        <v>1236</v>
      </c>
      <c r="AC1536" t="s">
        <v>256</v>
      </c>
      <c r="AD1536" t="s">
        <v>210</v>
      </c>
      <c r="AE1536" t="s">
        <v>183</v>
      </c>
      <c r="AF1536">
        <v>0</v>
      </c>
    </row>
    <row r="1537" spans="1:32">
      <c r="A1537">
        <v>441</v>
      </c>
      <c r="B1537">
        <v>1181</v>
      </c>
      <c r="C1537" t="s">
        <v>2755</v>
      </c>
      <c r="D1537" t="s">
        <v>1411</v>
      </c>
      <c r="E1537" t="s">
        <v>2165</v>
      </c>
      <c r="F1537" t="s">
        <v>197</v>
      </c>
      <c r="G1537" t="s">
        <v>2762</v>
      </c>
      <c r="H1537" t="s">
        <v>192</v>
      </c>
      <c r="I1537" t="s">
        <v>212</v>
      </c>
      <c r="J1537" t="s">
        <v>2725</v>
      </c>
      <c r="K1537" t="s">
        <v>2757</v>
      </c>
      <c r="L1537" s="84">
        <v>42552</v>
      </c>
      <c r="M1537" t="s">
        <v>381</v>
      </c>
      <c r="N1537" t="s">
        <v>2758</v>
      </c>
      <c r="O1537">
        <v>2</v>
      </c>
      <c r="P1537" t="s">
        <v>878</v>
      </c>
      <c r="Q1537" t="s">
        <v>2393</v>
      </c>
      <c r="R1537" t="s">
        <v>2759</v>
      </c>
      <c r="S1537" t="s">
        <v>2760</v>
      </c>
      <c r="T1537" t="s">
        <v>38</v>
      </c>
      <c r="U1537" t="s">
        <v>79</v>
      </c>
      <c r="V1537">
        <v>50</v>
      </c>
      <c r="W1537">
        <v>83</v>
      </c>
      <c r="X1537">
        <v>123</v>
      </c>
      <c r="Y1537">
        <v>83</v>
      </c>
      <c r="Z1537">
        <v>196</v>
      </c>
      <c r="AA1537">
        <v>148</v>
      </c>
      <c r="AB1537" t="s">
        <v>1236</v>
      </c>
      <c r="AC1537" t="s">
        <v>256</v>
      </c>
      <c r="AD1537" t="s">
        <v>210</v>
      </c>
      <c r="AE1537" t="s">
        <v>183</v>
      </c>
      <c r="AF1537">
        <v>0</v>
      </c>
    </row>
    <row r="1538" spans="1:32">
      <c r="A1538">
        <v>441</v>
      </c>
      <c r="B1538">
        <v>1181</v>
      </c>
      <c r="C1538" t="s">
        <v>2755</v>
      </c>
      <c r="D1538" t="s">
        <v>1411</v>
      </c>
      <c r="E1538" t="s">
        <v>2165</v>
      </c>
      <c r="F1538" t="s">
        <v>5</v>
      </c>
      <c r="G1538" t="s">
        <v>2763</v>
      </c>
      <c r="H1538" t="s">
        <v>185</v>
      </c>
      <c r="I1538" t="s">
        <v>260</v>
      </c>
      <c r="J1538" t="s">
        <v>221</v>
      </c>
      <c r="K1538" t="s">
        <v>2757</v>
      </c>
      <c r="L1538" s="84">
        <v>42552</v>
      </c>
      <c r="M1538" t="s">
        <v>381</v>
      </c>
      <c r="N1538" t="s">
        <v>2758</v>
      </c>
      <c r="O1538">
        <v>2</v>
      </c>
      <c r="P1538" t="s">
        <v>878</v>
      </c>
      <c r="Q1538" t="s">
        <v>2393</v>
      </c>
      <c r="R1538" t="s">
        <v>2759</v>
      </c>
      <c r="S1538" t="s">
        <v>2760</v>
      </c>
      <c r="T1538" t="s">
        <v>33</v>
      </c>
      <c r="U1538" t="s">
        <v>79</v>
      </c>
      <c r="V1538">
        <v>50</v>
      </c>
      <c r="W1538">
        <v>83</v>
      </c>
      <c r="X1538">
        <v>123</v>
      </c>
      <c r="Y1538">
        <v>83</v>
      </c>
      <c r="Z1538">
        <v>196</v>
      </c>
      <c r="AA1538">
        <v>148</v>
      </c>
      <c r="AB1538" t="s">
        <v>1236</v>
      </c>
      <c r="AC1538" t="s">
        <v>256</v>
      </c>
      <c r="AD1538" t="s">
        <v>210</v>
      </c>
      <c r="AE1538" t="s">
        <v>183</v>
      </c>
      <c r="AF1538">
        <v>0</v>
      </c>
    </row>
    <row r="1539" spans="1:32">
      <c r="A1539">
        <v>441</v>
      </c>
      <c r="B1539">
        <v>1181</v>
      </c>
      <c r="C1539" t="s">
        <v>2755</v>
      </c>
      <c r="D1539" t="s">
        <v>1411</v>
      </c>
      <c r="E1539" t="s">
        <v>2165</v>
      </c>
      <c r="F1539" t="s">
        <v>8</v>
      </c>
      <c r="G1539" t="s">
        <v>2764</v>
      </c>
      <c r="H1539" t="s">
        <v>260</v>
      </c>
      <c r="I1539" t="s">
        <v>171</v>
      </c>
      <c r="J1539" t="s">
        <v>216</v>
      </c>
      <c r="K1539" t="s">
        <v>2757</v>
      </c>
      <c r="L1539" s="84">
        <v>42552</v>
      </c>
      <c r="M1539" t="s">
        <v>381</v>
      </c>
      <c r="N1539" t="s">
        <v>2758</v>
      </c>
      <c r="O1539">
        <v>2</v>
      </c>
      <c r="P1539" t="s">
        <v>878</v>
      </c>
      <c r="Q1539" t="s">
        <v>2393</v>
      </c>
      <c r="R1539" t="s">
        <v>2759</v>
      </c>
      <c r="S1539" t="s">
        <v>2760</v>
      </c>
      <c r="T1539" t="s">
        <v>31</v>
      </c>
      <c r="U1539" t="s">
        <v>79</v>
      </c>
      <c r="V1539">
        <v>50</v>
      </c>
      <c r="W1539">
        <v>83</v>
      </c>
      <c r="X1539">
        <v>123</v>
      </c>
      <c r="Y1539">
        <v>83</v>
      </c>
      <c r="Z1539">
        <v>196</v>
      </c>
      <c r="AA1539">
        <v>148</v>
      </c>
      <c r="AB1539" t="s">
        <v>1236</v>
      </c>
      <c r="AC1539" t="s">
        <v>256</v>
      </c>
      <c r="AD1539" t="s">
        <v>210</v>
      </c>
      <c r="AE1539" t="s">
        <v>183</v>
      </c>
      <c r="AF1539">
        <v>0</v>
      </c>
    </row>
    <row r="1540" spans="1:32">
      <c r="A1540">
        <v>441</v>
      </c>
      <c r="B1540">
        <v>1181</v>
      </c>
      <c r="C1540" t="s">
        <v>2755</v>
      </c>
      <c r="D1540" t="s">
        <v>1411</v>
      </c>
      <c r="E1540" t="s">
        <v>2165</v>
      </c>
      <c r="F1540" t="s">
        <v>7</v>
      </c>
      <c r="G1540" t="s">
        <v>2765</v>
      </c>
      <c r="H1540" t="s">
        <v>215</v>
      </c>
      <c r="I1540" t="s">
        <v>238</v>
      </c>
      <c r="J1540" t="s">
        <v>221</v>
      </c>
      <c r="K1540" t="s">
        <v>2757</v>
      </c>
      <c r="L1540" s="84">
        <v>42552</v>
      </c>
      <c r="M1540" t="s">
        <v>381</v>
      </c>
      <c r="N1540" t="s">
        <v>2758</v>
      </c>
      <c r="O1540">
        <v>2</v>
      </c>
      <c r="P1540" t="s">
        <v>878</v>
      </c>
      <c r="Q1540" t="s">
        <v>2393</v>
      </c>
      <c r="R1540" t="s">
        <v>2759</v>
      </c>
      <c r="S1540" t="s">
        <v>2760</v>
      </c>
      <c r="T1540" t="s">
        <v>32</v>
      </c>
      <c r="U1540" t="s">
        <v>79</v>
      </c>
      <c r="V1540">
        <v>50</v>
      </c>
      <c r="W1540">
        <v>83</v>
      </c>
      <c r="X1540">
        <v>123</v>
      </c>
      <c r="Y1540">
        <v>83</v>
      </c>
      <c r="Z1540">
        <v>196</v>
      </c>
      <c r="AA1540">
        <v>148</v>
      </c>
      <c r="AB1540" t="s">
        <v>1236</v>
      </c>
      <c r="AC1540" t="s">
        <v>256</v>
      </c>
      <c r="AD1540" t="s">
        <v>210</v>
      </c>
      <c r="AE1540" t="s">
        <v>183</v>
      </c>
      <c r="AF1540">
        <v>0</v>
      </c>
    </row>
    <row r="1541" spans="1:32">
      <c r="A1541">
        <v>441</v>
      </c>
      <c r="B1541">
        <v>1181</v>
      </c>
      <c r="C1541" t="s">
        <v>2755</v>
      </c>
      <c r="D1541" t="s">
        <v>1411</v>
      </c>
      <c r="E1541" t="s">
        <v>2165</v>
      </c>
      <c r="F1541" t="s">
        <v>6</v>
      </c>
      <c r="G1541" t="s">
        <v>2766</v>
      </c>
      <c r="H1541" t="s">
        <v>275</v>
      </c>
      <c r="I1541" t="s">
        <v>236</v>
      </c>
      <c r="J1541" t="s">
        <v>191</v>
      </c>
      <c r="K1541" t="s">
        <v>2757</v>
      </c>
      <c r="L1541" s="84">
        <v>42552</v>
      </c>
      <c r="M1541" t="s">
        <v>381</v>
      </c>
      <c r="N1541" t="s">
        <v>2758</v>
      </c>
      <c r="O1541">
        <v>2</v>
      </c>
      <c r="P1541" t="s">
        <v>878</v>
      </c>
      <c r="Q1541" t="s">
        <v>2393</v>
      </c>
      <c r="R1541" t="s">
        <v>2759</v>
      </c>
      <c r="S1541" t="s">
        <v>2760</v>
      </c>
      <c r="T1541" t="s">
        <v>34</v>
      </c>
      <c r="U1541" t="s">
        <v>79</v>
      </c>
      <c r="V1541">
        <v>50</v>
      </c>
      <c r="W1541">
        <v>83</v>
      </c>
      <c r="X1541">
        <v>123</v>
      </c>
      <c r="Y1541">
        <v>83</v>
      </c>
      <c r="Z1541">
        <v>196</v>
      </c>
      <c r="AA1541">
        <v>148</v>
      </c>
      <c r="AB1541" t="s">
        <v>1236</v>
      </c>
      <c r="AC1541" t="s">
        <v>256</v>
      </c>
      <c r="AD1541" t="s">
        <v>210</v>
      </c>
      <c r="AE1541" t="s">
        <v>183</v>
      </c>
      <c r="AF1541">
        <v>0</v>
      </c>
    </row>
    <row r="1542" spans="1:32">
      <c r="A1542">
        <v>442</v>
      </c>
      <c r="B1542">
        <v>1082</v>
      </c>
      <c r="C1542" t="s">
        <v>2028</v>
      </c>
      <c r="D1542" t="s">
        <v>1411</v>
      </c>
      <c r="E1542" t="s">
        <v>2165</v>
      </c>
      <c r="F1542" t="s">
        <v>6</v>
      </c>
      <c r="G1542" t="s">
        <v>2767</v>
      </c>
      <c r="H1542" t="s">
        <v>237</v>
      </c>
      <c r="I1542" t="s">
        <v>403</v>
      </c>
      <c r="J1542" t="s">
        <v>376</v>
      </c>
      <c r="K1542" t="s">
        <v>2029</v>
      </c>
      <c r="L1542" s="84">
        <v>42543</v>
      </c>
      <c r="M1542" t="s">
        <v>381</v>
      </c>
      <c r="N1542" t="s">
        <v>365</v>
      </c>
      <c r="O1542">
        <v>1</v>
      </c>
      <c r="P1542" t="s">
        <v>2030</v>
      </c>
      <c r="Q1542" t="s">
        <v>2031</v>
      </c>
      <c r="R1542" t="s">
        <v>2078</v>
      </c>
      <c r="S1542" t="s">
        <v>2079</v>
      </c>
      <c r="T1542" t="s">
        <v>34</v>
      </c>
      <c r="U1542" t="s">
        <v>78</v>
      </c>
      <c r="V1542">
        <v>66</v>
      </c>
      <c r="W1542">
        <v>83</v>
      </c>
      <c r="X1542">
        <v>123</v>
      </c>
      <c r="Y1542">
        <v>104</v>
      </c>
      <c r="Z1542">
        <v>196</v>
      </c>
      <c r="AA1542">
        <v>169</v>
      </c>
      <c r="AB1542" t="s">
        <v>234</v>
      </c>
      <c r="AC1542" t="s">
        <v>188</v>
      </c>
      <c r="AD1542" t="s">
        <v>609</v>
      </c>
      <c r="AE1542" t="s">
        <v>183</v>
      </c>
      <c r="AF1542">
        <v>1</v>
      </c>
    </row>
    <row r="1543" spans="1:32">
      <c r="A1543">
        <v>442</v>
      </c>
      <c r="B1543">
        <v>1082</v>
      </c>
      <c r="C1543" t="s">
        <v>2028</v>
      </c>
      <c r="D1543" t="s">
        <v>1411</v>
      </c>
      <c r="E1543" t="s">
        <v>2165</v>
      </c>
      <c r="F1543" t="s">
        <v>7</v>
      </c>
      <c r="G1543" t="s">
        <v>2768</v>
      </c>
      <c r="H1543" t="s">
        <v>173</v>
      </c>
      <c r="I1543" t="s">
        <v>243</v>
      </c>
      <c r="J1543" t="s">
        <v>187</v>
      </c>
      <c r="K1543" t="s">
        <v>2029</v>
      </c>
      <c r="L1543" s="84">
        <v>42543</v>
      </c>
      <c r="M1543" t="s">
        <v>381</v>
      </c>
      <c r="N1543" t="s">
        <v>365</v>
      </c>
      <c r="O1543">
        <v>1</v>
      </c>
      <c r="P1543" t="s">
        <v>2030</v>
      </c>
      <c r="Q1543" t="s">
        <v>2031</v>
      </c>
      <c r="R1543" t="s">
        <v>2078</v>
      </c>
      <c r="S1543" t="s">
        <v>2079</v>
      </c>
      <c r="T1543" t="s">
        <v>32</v>
      </c>
      <c r="U1543" t="s">
        <v>78</v>
      </c>
      <c r="V1543">
        <v>66</v>
      </c>
      <c r="W1543">
        <v>83</v>
      </c>
      <c r="X1543">
        <v>123</v>
      </c>
      <c r="Y1543">
        <v>104</v>
      </c>
      <c r="Z1543">
        <v>196</v>
      </c>
      <c r="AA1543">
        <v>169</v>
      </c>
      <c r="AB1543" t="s">
        <v>234</v>
      </c>
      <c r="AC1543" t="s">
        <v>188</v>
      </c>
      <c r="AD1543" t="s">
        <v>609</v>
      </c>
      <c r="AE1543" t="s">
        <v>183</v>
      </c>
      <c r="AF1543">
        <v>1</v>
      </c>
    </row>
    <row r="1544" spans="1:32">
      <c r="A1544">
        <v>442</v>
      </c>
      <c r="B1544">
        <v>1082</v>
      </c>
      <c r="C1544" t="s">
        <v>2028</v>
      </c>
      <c r="D1544" t="s">
        <v>1411</v>
      </c>
      <c r="E1544" t="s">
        <v>2165</v>
      </c>
      <c r="F1544" t="s">
        <v>8</v>
      </c>
      <c r="G1544" t="s">
        <v>2769</v>
      </c>
      <c r="H1544" t="s">
        <v>374</v>
      </c>
      <c r="I1544" t="s">
        <v>227</v>
      </c>
      <c r="J1544" t="s">
        <v>436</v>
      </c>
      <c r="K1544" t="s">
        <v>2029</v>
      </c>
      <c r="L1544" s="84">
        <v>42543</v>
      </c>
      <c r="M1544" t="s">
        <v>381</v>
      </c>
      <c r="N1544" t="s">
        <v>365</v>
      </c>
      <c r="O1544">
        <v>1</v>
      </c>
      <c r="P1544" t="s">
        <v>2030</v>
      </c>
      <c r="Q1544" t="s">
        <v>2031</v>
      </c>
      <c r="R1544" t="s">
        <v>2078</v>
      </c>
      <c r="S1544" t="s">
        <v>2079</v>
      </c>
      <c r="T1544" t="s">
        <v>31</v>
      </c>
      <c r="U1544" t="s">
        <v>78</v>
      </c>
      <c r="V1544">
        <v>66</v>
      </c>
      <c r="W1544">
        <v>83</v>
      </c>
      <c r="X1544">
        <v>123</v>
      </c>
      <c r="Y1544">
        <v>104</v>
      </c>
      <c r="Z1544">
        <v>196</v>
      </c>
      <c r="AA1544">
        <v>169</v>
      </c>
      <c r="AB1544" t="s">
        <v>234</v>
      </c>
      <c r="AC1544" t="s">
        <v>188</v>
      </c>
      <c r="AD1544" t="s">
        <v>609</v>
      </c>
      <c r="AE1544" t="s">
        <v>183</v>
      </c>
      <c r="AF1544">
        <v>1</v>
      </c>
    </row>
    <row r="1545" spans="1:32">
      <c r="A1545">
        <v>442</v>
      </c>
      <c r="B1545">
        <v>1082</v>
      </c>
      <c r="C1545" t="s">
        <v>2028</v>
      </c>
      <c r="D1545" t="s">
        <v>1411</v>
      </c>
      <c r="E1545" t="s">
        <v>2165</v>
      </c>
      <c r="F1545" t="s">
        <v>5</v>
      </c>
      <c r="G1545" t="s">
        <v>2770</v>
      </c>
      <c r="H1545" t="s">
        <v>243</v>
      </c>
      <c r="I1545" t="s">
        <v>376</v>
      </c>
      <c r="J1545" t="s">
        <v>374</v>
      </c>
      <c r="K1545" t="s">
        <v>2029</v>
      </c>
      <c r="L1545" s="84">
        <v>42543</v>
      </c>
      <c r="M1545" t="s">
        <v>381</v>
      </c>
      <c r="N1545" t="s">
        <v>365</v>
      </c>
      <c r="O1545">
        <v>1</v>
      </c>
      <c r="P1545" t="s">
        <v>2030</v>
      </c>
      <c r="Q1545" t="s">
        <v>2031</v>
      </c>
      <c r="R1545" t="s">
        <v>2078</v>
      </c>
      <c r="S1545" t="s">
        <v>2079</v>
      </c>
      <c r="T1545" t="s">
        <v>33</v>
      </c>
      <c r="U1545" t="s">
        <v>78</v>
      </c>
      <c r="V1545">
        <v>66</v>
      </c>
      <c r="W1545">
        <v>83</v>
      </c>
      <c r="X1545">
        <v>123</v>
      </c>
      <c r="Y1545">
        <v>104</v>
      </c>
      <c r="Z1545">
        <v>196</v>
      </c>
      <c r="AA1545">
        <v>169</v>
      </c>
      <c r="AB1545" t="s">
        <v>234</v>
      </c>
      <c r="AC1545" t="s">
        <v>188</v>
      </c>
      <c r="AD1545" t="s">
        <v>609</v>
      </c>
      <c r="AE1545" t="s">
        <v>183</v>
      </c>
      <c r="AF1545">
        <v>1</v>
      </c>
    </row>
    <row r="1546" spans="1:32">
      <c r="A1546">
        <v>442</v>
      </c>
      <c r="B1546">
        <v>1082</v>
      </c>
      <c r="C1546" t="s">
        <v>2028</v>
      </c>
      <c r="D1546" t="s">
        <v>1411</v>
      </c>
      <c r="E1546" t="s">
        <v>2165</v>
      </c>
      <c r="F1546" t="s">
        <v>197</v>
      </c>
      <c r="G1546" t="s">
        <v>2771</v>
      </c>
      <c r="H1546" t="s">
        <v>192</v>
      </c>
      <c r="I1546" t="s">
        <v>212</v>
      </c>
      <c r="J1546" t="s">
        <v>2144</v>
      </c>
      <c r="K1546" t="s">
        <v>2029</v>
      </c>
      <c r="L1546" s="84">
        <v>42543</v>
      </c>
      <c r="M1546" t="s">
        <v>381</v>
      </c>
      <c r="N1546" t="s">
        <v>365</v>
      </c>
      <c r="O1546">
        <v>1</v>
      </c>
      <c r="P1546" t="s">
        <v>2030</v>
      </c>
      <c r="Q1546" t="s">
        <v>2031</v>
      </c>
      <c r="R1546" t="s">
        <v>2078</v>
      </c>
      <c r="S1546" t="s">
        <v>2079</v>
      </c>
      <c r="T1546" t="s">
        <v>38</v>
      </c>
      <c r="U1546" t="s">
        <v>78</v>
      </c>
      <c r="V1546">
        <v>66</v>
      </c>
      <c r="W1546">
        <v>83</v>
      </c>
      <c r="X1546">
        <v>123</v>
      </c>
      <c r="Y1546">
        <v>104</v>
      </c>
      <c r="Z1546">
        <v>196</v>
      </c>
      <c r="AA1546">
        <v>169</v>
      </c>
      <c r="AB1546" t="s">
        <v>234</v>
      </c>
      <c r="AC1546" t="s">
        <v>188</v>
      </c>
      <c r="AD1546" t="s">
        <v>609</v>
      </c>
      <c r="AE1546" t="s">
        <v>183</v>
      </c>
      <c r="AF1546">
        <v>1</v>
      </c>
    </row>
    <row r="1547" spans="1:32">
      <c r="A1547">
        <v>442</v>
      </c>
      <c r="B1547">
        <v>1082</v>
      </c>
      <c r="C1547" t="s">
        <v>2028</v>
      </c>
      <c r="D1547" t="s">
        <v>1411</v>
      </c>
      <c r="E1547" t="s">
        <v>2165</v>
      </c>
      <c r="F1547" t="s">
        <v>193</v>
      </c>
      <c r="G1547" t="s">
        <v>2772</v>
      </c>
      <c r="H1547" t="s">
        <v>192</v>
      </c>
      <c r="I1547" t="s">
        <v>212</v>
      </c>
      <c r="J1547" t="s">
        <v>212</v>
      </c>
      <c r="K1547" t="s">
        <v>2029</v>
      </c>
      <c r="L1547" s="84">
        <v>42543</v>
      </c>
      <c r="M1547" t="s">
        <v>381</v>
      </c>
      <c r="N1547" t="s">
        <v>365</v>
      </c>
      <c r="O1547">
        <v>1</v>
      </c>
      <c r="P1547" t="s">
        <v>2030</v>
      </c>
      <c r="Q1547" t="s">
        <v>2031</v>
      </c>
      <c r="R1547" t="s">
        <v>2078</v>
      </c>
      <c r="S1547" t="s">
        <v>2079</v>
      </c>
      <c r="T1547" t="s">
        <v>36</v>
      </c>
      <c r="U1547" t="s">
        <v>78</v>
      </c>
      <c r="V1547">
        <v>66</v>
      </c>
      <c r="W1547">
        <v>83</v>
      </c>
      <c r="X1547">
        <v>123</v>
      </c>
      <c r="Y1547">
        <v>104</v>
      </c>
      <c r="Z1547">
        <v>196</v>
      </c>
      <c r="AA1547">
        <v>169</v>
      </c>
      <c r="AB1547" t="s">
        <v>234</v>
      </c>
      <c r="AC1547" t="s">
        <v>188</v>
      </c>
      <c r="AD1547" t="s">
        <v>609</v>
      </c>
      <c r="AE1547" t="s">
        <v>183</v>
      </c>
      <c r="AF1547">
        <v>1</v>
      </c>
    </row>
    <row r="1548" spans="1:32">
      <c r="A1548">
        <v>442</v>
      </c>
      <c r="B1548">
        <v>1082</v>
      </c>
      <c r="C1548" t="s">
        <v>2028</v>
      </c>
      <c r="D1548" t="s">
        <v>1411</v>
      </c>
      <c r="E1548" t="s">
        <v>2165</v>
      </c>
      <c r="F1548" t="s">
        <v>37</v>
      </c>
      <c r="G1548" t="s">
        <v>2773</v>
      </c>
      <c r="H1548" t="s">
        <v>192</v>
      </c>
      <c r="I1548" t="s">
        <v>212</v>
      </c>
      <c r="J1548" t="s">
        <v>192</v>
      </c>
      <c r="K1548" t="s">
        <v>2029</v>
      </c>
      <c r="L1548" s="84">
        <v>42543</v>
      </c>
      <c r="M1548" t="s">
        <v>381</v>
      </c>
      <c r="N1548" t="s">
        <v>365</v>
      </c>
      <c r="O1548">
        <v>1</v>
      </c>
      <c r="P1548" t="s">
        <v>2030</v>
      </c>
      <c r="Q1548" t="s">
        <v>2031</v>
      </c>
      <c r="R1548" t="s">
        <v>2078</v>
      </c>
      <c r="S1548" t="s">
        <v>2079</v>
      </c>
      <c r="T1548" t="s">
        <v>37</v>
      </c>
      <c r="U1548" t="s">
        <v>78</v>
      </c>
      <c r="V1548">
        <v>66</v>
      </c>
      <c r="W1548">
        <v>83</v>
      </c>
      <c r="X1548">
        <v>123</v>
      </c>
      <c r="Y1548">
        <v>104</v>
      </c>
      <c r="Z1548">
        <v>196</v>
      </c>
      <c r="AA1548">
        <v>169</v>
      </c>
      <c r="AB1548" t="s">
        <v>234</v>
      </c>
      <c r="AC1548" t="s">
        <v>188</v>
      </c>
      <c r="AD1548" t="s">
        <v>609</v>
      </c>
      <c r="AE1548" t="s">
        <v>183</v>
      </c>
      <c r="AF1548">
        <v>1</v>
      </c>
    </row>
    <row r="1549" spans="1:32">
      <c r="A1549">
        <v>443</v>
      </c>
      <c r="B1549">
        <v>975</v>
      </c>
      <c r="C1549" t="s">
        <v>1342</v>
      </c>
      <c r="D1549" t="s">
        <v>1411</v>
      </c>
      <c r="E1549" t="s">
        <v>2165</v>
      </c>
      <c r="F1549" t="s">
        <v>37</v>
      </c>
      <c r="G1549" t="s">
        <v>2774</v>
      </c>
      <c r="H1549" t="s">
        <v>192</v>
      </c>
      <c r="I1549" t="s">
        <v>212</v>
      </c>
      <c r="J1549" t="s">
        <v>192</v>
      </c>
      <c r="K1549" t="s">
        <v>1343</v>
      </c>
      <c r="L1549" s="84">
        <v>41163</v>
      </c>
      <c r="M1549" t="s">
        <v>325</v>
      </c>
      <c r="N1549" t="s">
        <v>1410</v>
      </c>
      <c r="O1549">
        <v>2</v>
      </c>
      <c r="P1549" t="s">
        <v>1344</v>
      </c>
      <c r="Q1549" t="s">
        <v>1345</v>
      </c>
      <c r="R1549" t="s">
        <v>1346</v>
      </c>
      <c r="S1549" t="s">
        <v>1347</v>
      </c>
      <c r="T1549" t="s">
        <v>37</v>
      </c>
      <c r="U1549" t="s">
        <v>79</v>
      </c>
      <c r="V1549">
        <v>45</v>
      </c>
      <c r="W1549">
        <v>83</v>
      </c>
      <c r="X1549">
        <v>123</v>
      </c>
      <c r="Y1549">
        <v>73</v>
      </c>
      <c r="Z1549">
        <v>196</v>
      </c>
      <c r="AA1549">
        <v>118</v>
      </c>
      <c r="AB1549" t="s">
        <v>2775</v>
      </c>
      <c r="AC1549" t="s">
        <v>297</v>
      </c>
      <c r="AD1549" t="s">
        <v>272</v>
      </c>
      <c r="AE1549" t="s">
        <v>183</v>
      </c>
      <c r="AF1549">
        <v>4</v>
      </c>
    </row>
    <row r="1550" spans="1:32">
      <c r="A1550">
        <v>443</v>
      </c>
      <c r="B1550">
        <v>975</v>
      </c>
      <c r="C1550" t="s">
        <v>1342</v>
      </c>
      <c r="D1550" t="s">
        <v>1411</v>
      </c>
      <c r="E1550" t="s">
        <v>2165</v>
      </c>
      <c r="F1550" t="s">
        <v>193</v>
      </c>
      <c r="G1550" t="s">
        <v>2776</v>
      </c>
      <c r="H1550" t="s">
        <v>192</v>
      </c>
      <c r="I1550" t="s">
        <v>212</v>
      </c>
      <c r="J1550" t="s">
        <v>212</v>
      </c>
      <c r="K1550" t="s">
        <v>1343</v>
      </c>
      <c r="L1550" s="84">
        <v>41163</v>
      </c>
      <c r="M1550" t="s">
        <v>325</v>
      </c>
      <c r="N1550" t="s">
        <v>1410</v>
      </c>
      <c r="O1550">
        <v>2</v>
      </c>
      <c r="P1550" t="s">
        <v>1344</v>
      </c>
      <c r="Q1550" t="s">
        <v>1345</v>
      </c>
      <c r="R1550" t="s">
        <v>1346</v>
      </c>
      <c r="S1550" t="s">
        <v>1347</v>
      </c>
      <c r="T1550" t="s">
        <v>36</v>
      </c>
      <c r="U1550" t="s">
        <v>79</v>
      </c>
      <c r="V1550">
        <v>45</v>
      </c>
      <c r="W1550">
        <v>83</v>
      </c>
      <c r="X1550">
        <v>123</v>
      </c>
      <c r="Y1550">
        <v>73</v>
      </c>
      <c r="Z1550">
        <v>196</v>
      </c>
      <c r="AA1550">
        <v>118</v>
      </c>
      <c r="AB1550" t="s">
        <v>2775</v>
      </c>
      <c r="AC1550" t="s">
        <v>297</v>
      </c>
      <c r="AD1550" t="s">
        <v>272</v>
      </c>
      <c r="AE1550" t="s">
        <v>183</v>
      </c>
      <c r="AF1550">
        <v>4</v>
      </c>
    </row>
    <row r="1551" spans="1:32">
      <c r="A1551">
        <v>443</v>
      </c>
      <c r="B1551">
        <v>975</v>
      </c>
      <c r="C1551" t="s">
        <v>1342</v>
      </c>
      <c r="D1551" t="s">
        <v>1411</v>
      </c>
      <c r="E1551" t="s">
        <v>2165</v>
      </c>
      <c r="F1551" t="s">
        <v>197</v>
      </c>
      <c r="G1551" t="s">
        <v>2777</v>
      </c>
      <c r="H1551" t="s">
        <v>192</v>
      </c>
      <c r="I1551" t="s">
        <v>212</v>
      </c>
      <c r="J1551" t="s">
        <v>2144</v>
      </c>
      <c r="K1551" t="s">
        <v>1343</v>
      </c>
      <c r="L1551" s="84">
        <v>41163</v>
      </c>
      <c r="M1551" t="s">
        <v>325</v>
      </c>
      <c r="N1551" t="s">
        <v>1410</v>
      </c>
      <c r="O1551">
        <v>2</v>
      </c>
      <c r="P1551" t="s">
        <v>1344</v>
      </c>
      <c r="Q1551" t="s">
        <v>1345</v>
      </c>
      <c r="R1551" t="s">
        <v>1346</v>
      </c>
      <c r="S1551" t="s">
        <v>1347</v>
      </c>
      <c r="T1551" t="s">
        <v>38</v>
      </c>
      <c r="U1551" t="s">
        <v>79</v>
      </c>
      <c r="V1551">
        <v>45</v>
      </c>
      <c r="W1551">
        <v>83</v>
      </c>
      <c r="X1551">
        <v>123</v>
      </c>
      <c r="Y1551">
        <v>73</v>
      </c>
      <c r="Z1551">
        <v>196</v>
      </c>
      <c r="AA1551">
        <v>118</v>
      </c>
      <c r="AB1551" t="s">
        <v>2775</v>
      </c>
      <c r="AC1551" t="s">
        <v>297</v>
      </c>
      <c r="AD1551" t="s">
        <v>272</v>
      </c>
      <c r="AE1551" t="s">
        <v>183</v>
      </c>
      <c r="AF1551">
        <v>4</v>
      </c>
    </row>
    <row r="1552" spans="1:32">
      <c r="A1552">
        <v>443</v>
      </c>
      <c r="B1552">
        <v>975</v>
      </c>
      <c r="C1552" t="s">
        <v>1342</v>
      </c>
      <c r="D1552" t="s">
        <v>1411</v>
      </c>
      <c r="E1552" t="s">
        <v>2165</v>
      </c>
      <c r="F1552" t="s">
        <v>5</v>
      </c>
      <c r="G1552" t="s">
        <v>2778</v>
      </c>
      <c r="H1552" t="s">
        <v>324</v>
      </c>
      <c r="I1552" t="s">
        <v>181</v>
      </c>
      <c r="J1552" t="s">
        <v>415</v>
      </c>
      <c r="K1552" t="s">
        <v>1343</v>
      </c>
      <c r="L1552" s="84">
        <v>41163</v>
      </c>
      <c r="M1552" t="s">
        <v>325</v>
      </c>
      <c r="N1552" t="s">
        <v>1410</v>
      </c>
      <c r="O1552">
        <v>2</v>
      </c>
      <c r="P1552" t="s">
        <v>1344</v>
      </c>
      <c r="Q1552" t="s">
        <v>1345</v>
      </c>
      <c r="R1552" t="s">
        <v>1346</v>
      </c>
      <c r="S1552" t="s">
        <v>1347</v>
      </c>
      <c r="T1552" t="s">
        <v>33</v>
      </c>
      <c r="U1552" t="s">
        <v>79</v>
      </c>
      <c r="V1552">
        <v>45</v>
      </c>
      <c r="W1552">
        <v>83</v>
      </c>
      <c r="X1552">
        <v>123</v>
      </c>
      <c r="Y1552">
        <v>73</v>
      </c>
      <c r="Z1552">
        <v>196</v>
      </c>
      <c r="AA1552">
        <v>118</v>
      </c>
      <c r="AB1552" t="s">
        <v>2775</v>
      </c>
      <c r="AC1552" t="s">
        <v>297</v>
      </c>
      <c r="AD1552" t="s">
        <v>272</v>
      </c>
      <c r="AE1552" t="s">
        <v>183</v>
      </c>
      <c r="AF1552">
        <v>4</v>
      </c>
    </row>
    <row r="1553" spans="1:32">
      <c r="A1553">
        <v>443</v>
      </c>
      <c r="B1553">
        <v>975</v>
      </c>
      <c r="C1553" t="s">
        <v>1342</v>
      </c>
      <c r="D1553" t="s">
        <v>1411</v>
      </c>
      <c r="E1553" t="s">
        <v>2165</v>
      </c>
      <c r="F1553" t="s">
        <v>8</v>
      </c>
      <c r="G1553" t="s">
        <v>2779</v>
      </c>
      <c r="H1553" t="s">
        <v>172</v>
      </c>
      <c r="I1553" t="s">
        <v>376</v>
      </c>
      <c r="J1553" t="s">
        <v>376</v>
      </c>
      <c r="K1553" t="s">
        <v>1343</v>
      </c>
      <c r="L1553" s="84">
        <v>41163</v>
      </c>
      <c r="M1553" t="s">
        <v>325</v>
      </c>
      <c r="N1553" t="s">
        <v>1410</v>
      </c>
      <c r="O1553">
        <v>2</v>
      </c>
      <c r="P1553" t="s">
        <v>1344</v>
      </c>
      <c r="Q1553" t="s">
        <v>1345</v>
      </c>
      <c r="R1553" t="s">
        <v>1346</v>
      </c>
      <c r="S1553" t="s">
        <v>1347</v>
      </c>
      <c r="T1553" t="s">
        <v>31</v>
      </c>
      <c r="U1553" t="s">
        <v>79</v>
      </c>
      <c r="V1553">
        <v>45</v>
      </c>
      <c r="W1553">
        <v>83</v>
      </c>
      <c r="X1553">
        <v>123</v>
      </c>
      <c r="Y1553">
        <v>73</v>
      </c>
      <c r="Z1553">
        <v>196</v>
      </c>
      <c r="AA1553">
        <v>118</v>
      </c>
      <c r="AB1553" t="s">
        <v>2775</v>
      </c>
      <c r="AC1553" t="s">
        <v>297</v>
      </c>
      <c r="AD1553" t="s">
        <v>272</v>
      </c>
      <c r="AE1553" t="s">
        <v>183</v>
      </c>
      <c r="AF1553">
        <v>4</v>
      </c>
    </row>
    <row r="1554" spans="1:32">
      <c r="A1554">
        <v>443</v>
      </c>
      <c r="B1554">
        <v>975</v>
      </c>
      <c r="C1554" t="s">
        <v>1342</v>
      </c>
      <c r="D1554" t="s">
        <v>1411</v>
      </c>
      <c r="E1554" t="s">
        <v>2165</v>
      </c>
      <c r="F1554" t="s">
        <v>7</v>
      </c>
      <c r="G1554" t="s">
        <v>2780</v>
      </c>
      <c r="H1554" t="s">
        <v>734</v>
      </c>
      <c r="I1554" t="s">
        <v>374</v>
      </c>
      <c r="J1554" t="s">
        <v>462</v>
      </c>
      <c r="K1554" t="s">
        <v>1343</v>
      </c>
      <c r="L1554" s="84">
        <v>41163</v>
      </c>
      <c r="M1554" t="s">
        <v>325</v>
      </c>
      <c r="N1554" t="s">
        <v>1410</v>
      </c>
      <c r="O1554">
        <v>2</v>
      </c>
      <c r="P1554" t="s">
        <v>1344</v>
      </c>
      <c r="Q1554" t="s">
        <v>1345</v>
      </c>
      <c r="R1554" t="s">
        <v>1346</v>
      </c>
      <c r="S1554" t="s">
        <v>1347</v>
      </c>
      <c r="T1554" t="s">
        <v>32</v>
      </c>
      <c r="U1554" t="s">
        <v>79</v>
      </c>
      <c r="V1554">
        <v>45</v>
      </c>
      <c r="W1554">
        <v>83</v>
      </c>
      <c r="X1554">
        <v>123</v>
      </c>
      <c r="Y1554">
        <v>73</v>
      </c>
      <c r="Z1554">
        <v>196</v>
      </c>
      <c r="AA1554">
        <v>118</v>
      </c>
      <c r="AB1554" t="s">
        <v>2775</v>
      </c>
      <c r="AC1554" t="s">
        <v>297</v>
      </c>
      <c r="AD1554" t="s">
        <v>272</v>
      </c>
      <c r="AE1554" t="s">
        <v>183</v>
      </c>
      <c r="AF1554">
        <v>4</v>
      </c>
    </row>
    <row r="1555" spans="1:32">
      <c r="A1555">
        <v>443</v>
      </c>
      <c r="B1555">
        <v>975</v>
      </c>
      <c r="C1555" t="s">
        <v>1342</v>
      </c>
      <c r="D1555" t="s">
        <v>1411</v>
      </c>
      <c r="E1555" t="s">
        <v>2165</v>
      </c>
      <c r="F1555" t="s">
        <v>6</v>
      </c>
      <c r="G1555" t="s">
        <v>2781</v>
      </c>
      <c r="H1555" t="s">
        <v>324</v>
      </c>
      <c r="I1555" t="s">
        <v>415</v>
      </c>
      <c r="J1555" t="s">
        <v>403</v>
      </c>
      <c r="K1555" t="s">
        <v>1343</v>
      </c>
      <c r="L1555" s="84">
        <v>41163</v>
      </c>
      <c r="M1555" t="s">
        <v>325</v>
      </c>
      <c r="N1555" t="s">
        <v>1410</v>
      </c>
      <c r="O1555">
        <v>2</v>
      </c>
      <c r="P1555" t="s">
        <v>1344</v>
      </c>
      <c r="Q1555" t="s">
        <v>1345</v>
      </c>
      <c r="R1555" t="s">
        <v>1346</v>
      </c>
      <c r="S1555" t="s">
        <v>1347</v>
      </c>
      <c r="T1555" t="s">
        <v>34</v>
      </c>
      <c r="U1555" t="s">
        <v>79</v>
      </c>
      <c r="V1555">
        <v>45</v>
      </c>
      <c r="W1555">
        <v>83</v>
      </c>
      <c r="X1555">
        <v>123</v>
      </c>
      <c r="Y1555">
        <v>73</v>
      </c>
      <c r="Z1555">
        <v>196</v>
      </c>
      <c r="AA1555">
        <v>118</v>
      </c>
      <c r="AB1555" t="s">
        <v>2775</v>
      </c>
      <c r="AC1555" t="s">
        <v>297</v>
      </c>
      <c r="AD1555" t="s">
        <v>272</v>
      </c>
      <c r="AE1555" t="s">
        <v>183</v>
      </c>
      <c r="AF1555">
        <v>4</v>
      </c>
    </row>
    <row r="1556" spans="1:32">
      <c r="A1556">
        <v>444</v>
      </c>
      <c r="B1556">
        <v>801</v>
      </c>
      <c r="C1556" t="s">
        <v>1031</v>
      </c>
      <c r="D1556" t="s">
        <v>1411</v>
      </c>
      <c r="E1556" t="s">
        <v>2165</v>
      </c>
      <c r="F1556" t="s">
        <v>6</v>
      </c>
      <c r="G1556" t="s">
        <v>2782</v>
      </c>
      <c r="H1556" t="s">
        <v>186</v>
      </c>
      <c r="I1556" t="s">
        <v>407</v>
      </c>
      <c r="J1556" t="s">
        <v>329</v>
      </c>
      <c r="K1556" t="s">
        <v>1033</v>
      </c>
      <c r="L1556" s="84">
        <v>42236</v>
      </c>
      <c r="M1556" t="s">
        <v>352</v>
      </c>
      <c r="N1556" t="s">
        <v>1034</v>
      </c>
      <c r="O1556">
        <v>3</v>
      </c>
      <c r="P1556" t="s">
        <v>1035</v>
      </c>
      <c r="Q1556" t="s">
        <v>1036</v>
      </c>
      <c r="R1556" t="s">
        <v>1037</v>
      </c>
      <c r="S1556" t="s">
        <v>1038</v>
      </c>
      <c r="T1556" t="s">
        <v>34</v>
      </c>
      <c r="U1556" t="s">
        <v>80</v>
      </c>
      <c r="V1556">
        <v>46</v>
      </c>
      <c r="W1556">
        <v>83</v>
      </c>
      <c r="X1556">
        <v>123</v>
      </c>
      <c r="Y1556">
        <v>78</v>
      </c>
      <c r="Z1556">
        <v>196</v>
      </c>
      <c r="AA1556">
        <v>136</v>
      </c>
      <c r="AB1556" t="s">
        <v>1069</v>
      </c>
      <c r="AC1556" t="s">
        <v>216</v>
      </c>
      <c r="AD1556" t="s">
        <v>210</v>
      </c>
      <c r="AE1556" t="s">
        <v>183</v>
      </c>
      <c r="AF1556">
        <v>2</v>
      </c>
    </row>
    <row r="1557" spans="1:32">
      <c r="A1557">
        <v>444</v>
      </c>
      <c r="B1557">
        <v>801</v>
      </c>
      <c r="C1557" t="s">
        <v>1031</v>
      </c>
      <c r="D1557" t="s">
        <v>1411</v>
      </c>
      <c r="E1557" t="s">
        <v>2165</v>
      </c>
      <c r="F1557" t="s">
        <v>7</v>
      </c>
      <c r="G1557" t="s">
        <v>2783</v>
      </c>
      <c r="H1557" t="s">
        <v>173</v>
      </c>
      <c r="I1557" t="s">
        <v>407</v>
      </c>
      <c r="J1557" t="s">
        <v>374</v>
      </c>
      <c r="K1557" t="s">
        <v>1033</v>
      </c>
      <c r="L1557" s="84">
        <v>42236</v>
      </c>
      <c r="M1557" t="s">
        <v>352</v>
      </c>
      <c r="N1557" t="s">
        <v>1034</v>
      </c>
      <c r="O1557">
        <v>3</v>
      </c>
      <c r="P1557" t="s">
        <v>1035</v>
      </c>
      <c r="Q1557" t="s">
        <v>1036</v>
      </c>
      <c r="R1557" t="s">
        <v>1037</v>
      </c>
      <c r="S1557" t="s">
        <v>1038</v>
      </c>
      <c r="T1557" t="s">
        <v>32</v>
      </c>
      <c r="U1557" t="s">
        <v>80</v>
      </c>
      <c r="V1557">
        <v>46</v>
      </c>
      <c r="W1557">
        <v>83</v>
      </c>
      <c r="X1557">
        <v>123</v>
      </c>
      <c r="Y1557">
        <v>78</v>
      </c>
      <c r="Z1557">
        <v>196</v>
      </c>
      <c r="AA1557">
        <v>136</v>
      </c>
      <c r="AB1557" t="s">
        <v>1069</v>
      </c>
      <c r="AC1557" t="s">
        <v>216</v>
      </c>
      <c r="AD1557" t="s">
        <v>210</v>
      </c>
      <c r="AE1557" t="s">
        <v>183</v>
      </c>
      <c r="AF1557">
        <v>2</v>
      </c>
    </row>
    <row r="1558" spans="1:32">
      <c r="A1558">
        <v>444</v>
      </c>
      <c r="B1558">
        <v>801</v>
      </c>
      <c r="C1558" t="s">
        <v>1031</v>
      </c>
      <c r="D1558" t="s">
        <v>1411</v>
      </c>
      <c r="E1558" t="s">
        <v>2165</v>
      </c>
      <c r="F1558" t="s">
        <v>8</v>
      </c>
      <c r="G1558" t="s">
        <v>2784</v>
      </c>
      <c r="H1558" t="s">
        <v>243</v>
      </c>
      <c r="I1558" t="s">
        <v>415</v>
      </c>
      <c r="J1558" t="s">
        <v>187</v>
      </c>
      <c r="K1558" t="s">
        <v>1033</v>
      </c>
      <c r="L1558" s="84">
        <v>42236</v>
      </c>
      <c r="M1558" t="s">
        <v>352</v>
      </c>
      <c r="N1558" t="s">
        <v>1034</v>
      </c>
      <c r="O1558">
        <v>3</v>
      </c>
      <c r="P1558" t="s">
        <v>1035</v>
      </c>
      <c r="Q1558" t="s">
        <v>1036</v>
      </c>
      <c r="R1558" t="s">
        <v>1037</v>
      </c>
      <c r="S1558" t="s">
        <v>1038</v>
      </c>
      <c r="T1558" t="s">
        <v>31</v>
      </c>
      <c r="U1558" t="s">
        <v>80</v>
      </c>
      <c r="V1558">
        <v>46</v>
      </c>
      <c r="W1558">
        <v>83</v>
      </c>
      <c r="X1558">
        <v>123</v>
      </c>
      <c r="Y1558">
        <v>78</v>
      </c>
      <c r="Z1558">
        <v>196</v>
      </c>
      <c r="AA1558">
        <v>136</v>
      </c>
      <c r="AB1558" t="s">
        <v>1069</v>
      </c>
      <c r="AC1558" t="s">
        <v>216</v>
      </c>
      <c r="AD1558" t="s">
        <v>210</v>
      </c>
      <c r="AE1558" t="s">
        <v>183</v>
      </c>
      <c r="AF1558">
        <v>2</v>
      </c>
    </row>
    <row r="1559" spans="1:32">
      <c r="A1559">
        <v>444</v>
      </c>
      <c r="B1559">
        <v>801</v>
      </c>
      <c r="C1559" t="s">
        <v>1031</v>
      </c>
      <c r="D1559" t="s">
        <v>1411</v>
      </c>
      <c r="E1559" t="s">
        <v>2165</v>
      </c>
      <c r="F1559" t="s">
        <v>5</v>
      </c>
      <c r="G1559" t="s">
        <v>2785</v>
      </c>
      <c r="H1559" t="s">
        <v>324</v>
      </c>
      <c r="I1559" t="s">
        <v>227</v>
      </c>
      <c r="J1559" t="s">
        <v>227</v>
      </c>
      <c r="K1559" t="s">
        <v>1033</v>
      </c>
      <c r="L1559" s="84">
        <v>42236</v>
      </c>
      <c r="M1559" t="s">
        <v>352</v>
      </c>
      <c r="N1559" t="s">
        <v>1034</v>
      </c>
      <c r="O1559">
        <v>3</v>
      </c>
      <c r="P1559" t="s">
        <v>1035</v>
      </c>
      <c r="Q1559" t="s">
        <v>1036</v>
      </c>
      <c r="R1559" t="s">
        <v>1037</v>
      </c>
      <c r="S1559" t="s">
        <v>1038</v>
      </c>
      <c r="T1559" t="s">
        <v>33</v>
      </c>
      <c r="U1559" t="s">
        <v>80</v>
      </c>
      <c r="V1559">
        <v>46</v>
      </c>
      <c r="W1559">
        <v>83</v>
      </c>
      <c r="X1559">
        <v>123</v>
      </c>
      <c r="Y1559">
        <v>78</v>
      </c>
      <c r="Z1559">
        <v>196</v>
      </c>
      <c r="AA1559">
        <v>136</v>
      </c>
      <c r="AB1559" t="s">
        <v>1069</v>
      </c>
      <c r="AC1559" t="s">
        <v>216</v>
      </c>
      <c r="AD1559" t="s">
        <v>210</v>
      </c>
      <c r="AE1559" t="s">
        <v>183</v>
      </c>
      <c r="AF1559">
        <v>2</v>
      </c>
    </row>
    <row r="1560" spans="1:32">
      <c r="A1560">
        <v>444</v>
      </c>
      <c r="B1560">
        <v>801</v>
      </c>
      <c r="C1560" t="s">
        <v>1031</v>
      </c>
      <c r="D1560" t="s">
        <v>1411</v>
      </c>
      <c r="E1560" t="s">
        <v>2165</v>
      </c>
      <c r="F1560" t="s">
        <v>197</v>
      </c>
      <c r="G1560" t="s">
        <v>2786</v>
      </c>
      <c r="H1560" t="s">
        <v>192</v>
      </c>
      <c r="I1560" t="s">
        <v>212</v>
      </c>
      <c r="J1560" t="s">
        <v>2144</v>
      </c>
      <c r="K1560" t="s">
        <v>1033</v>
      </c>
      <c r="L1560" s="84">
        <v>42236</v>
      </c>
      <c r="M1560" t="s">
        <v>352</v>
      </c>
      <c r="N1560" t="s">
        <v>1034</v>
      </c>
      <c r="O1560">
        <v>3</v>
      </c>
      <c r="P1560" t="s">
        <v>1035</v>
      </c>
      <c r="Q1560" t="s">
        <v>1036</v>
      </c>
      <c r="R1560" t="s">
        <v>1037</v>
      </c>
      <c r="S1560" t="s">
        <v>1038</v>
      </c>
      <c r="T1560" t="s">
        <v>38</v>
      </c>
      <c r="U1560" t="s">
        <v>80</v>
      </c>
      <c r="V1560">
        <v>46</v>
      </c>
      <c r="W1560">
        <v>83</v>
      </c>
      <c r="X1560">
        <v>123</v>
      </c>
      <c r="Y1560">
        <v>78</v>
      </c>
      <c r="Z1560">
        <v>196</v>
      </c>
      <c r="AA1560">
        <v>136</v>
      </c>
      <c r="AB1560" t="s">
        <v>1069</v>
      </c>
      <c r="AC1560" t="s">
        <v>216</v>
      </c>
      <c r="AD1560" t="s">
        <v>210</v>
      </c>
      <c r="AE1560" t="s">
        <v>183</v>
      </c>
      <c r="AF1560">
        <v>2</v>
      </c>
    </row>
    <row r="1561" spans="1:32">
      <c r="A1561">
        <v>444</v>
      </c>
      <c r="B1561">
        <v>801</v>
      </c>
      <c r="C1561" t="s">
        <v>1031</v>
      </c>
      <c r="D1561" t="s">
        <v>1411</v>
      </c>
      <c r="E1561" t="s">
        <v>2165</v>
      </c>
      <c r="F1561" t="s">
        <v>193</v>
      </c>
      <c r="G1561" t="s">
        <v>2787</v>
      </c>
      <c r="H1561" t="s">
        <v>192</v>
      </c>
      <c r="I1561" t="s">
        <v>212</v>
      </c>
      <c r="J1561" t="s">
        <v>212</v>
      </c>
      <c r="K1561" t="s">
        <v>1033</v>
      </c>
      <c r="L1561" s="84">
        <v>42236</v>
      </c>
      <c r="M1561" t="s">
        <v>352</v>
      </c>
      <c r="N1561" t="s">
        <v>1034</v>
      </c>
      <c r="O1561">
        <v>3</v>
      </c>
      <c r="P1561" t="s">
        <v>1035</v>
      </c>
      <c r="Q1561" t="s">
        <v>1036</v>
      </c>
      <c r="R1561" t="s">
        <v>1037</v>
      </c>
      <c r="S1561" t="s">
        <v>1038</v>
      </c>
      <c r="T1561" t="s">
        <v>36</v>
      </c>
      <c r="U1561" t="s">
        <v>80</v>
      </c>
      <c r="V1561">
        <v>46</v>
      </c>
      <c r="W1561">
        <v>83</v>
      </c>
      <c r="X1561">
        <v>123</v>
      </c>
      <c r="Y1561">
        <v>78</v>
      </c>
      <c r="Z1561">
        <v>196</v>
      </c>
      <c r="AA1561">
        <v>136</v>
      </c>
      <c r="AB1561" t="s">
        <v>1069</v>
      </c>
      <c r="AC1561" t="s">
        <v>216</v>
      </c>
      <c r="AD1561" t="s">
        <v>210</v>
      </c>
      <c r="AE1561" t="s">
        <v>183</v>
      </c>
      <c r="AF1561">
        <v>2</v>
      </c>
    </row>
    <row r="1562" spans="1:32">
      <c r="A1562">
        <v>444</v>
      </c>
      <c r="B1562">
        <v>801</v>
      </c>
      <c r="C1562" t="s">
        <v>1031</v>
      </c>
      <c r="D1562" t="s">
        <v>1411</v>
      </c>
      <c r="E1562" t="s">
        <v>2165</v>
      </c>
      <c r="F1562" t="s">
        <v>37</v>
      </c>
      <c r="G1562" t="s">
        <v>2788</v>
      </c>
      <c r="H1562" t="s">
        <v>192</v>
      </c>
      <c r="I1562" t="s">
        <v>212</v>
      </c>
      <c r="J1562" t="s">
        <v>192</v>
      </c>
      <c r="K1562" t="s">
        <v>1033</v>
      </c>
      <c r="L1562" s="84">
        <v>42236</v>
      </c>
      <c r="M1562" t="s">
        <v>352</v>
      </c>
      <c r="N1562" t="s">
        <v>1034</v>
      </c>
      <c r="O1562">
        <v>3</v>
      </c>
      <c r="P1562" t="s">
        <v>1035</v>
      </c>
      <c r="Q1562" t="s">
        <v>1036</v>
      </c>
      <c r="R1562" t="s">
        <v>1037</v>
      </c>
      <c r="S1562" t="s">
        <v>1038</v>
      </c>
      <c r="T1562" t="s">
        <v>37</v>
      </c>
      <c r="U1562" t="s">
        <v>80</v>
      </c>
      <c r="V1562">
        <v>46</v>
      </c>
      <c r="W1562">
        <v>83</v>
      </c>
      <c r="X1562">
        <v>123</v>
      </c>
      <c r="Y1562">
        <v>78</v>
      </c>
      <c r="Z1562">
        <v>196</v>
      </c>
      <c r="AA1562">
        <v>136</v>
      </c>
      <c r="AB1562" t="s">
        <v>1069</v>
      </c>
      <c r="AC1562" t="s">
        <v>216</v>
      </c>
      <c r="AD1562" t="s">
        <v>210</v>
      </c>
      <c r="AE1562" t="s">
        <v>183</v>
      </c>
      <c r="AF1562">
        <v>2</v>
      </c>
    </row>
    <row r="1563" spans="1:32">
      <c r="A1563">
        <v>445</v>
      </c>
      <c r="B1563">
        <v>1142</v>
      </c>
      <c r="C1563" t="s">
        <v>2789</v>
      </c>
      <c r="D1563" t="s">
        <v>1411</v>
      </c>
      <c r="E1563" t="s">
        <v>2165</v>
      </c>
      <c r="F1563" t="s">
        <v>37</v>
      </c>
      <c r="G1563" t="s">
        <v>2790</v>
      </c>
      <c r="H1563" t="s">
        <v>192</v>
      </c>
      <c r="I1563" t="s">
        <v>212</v>
      </c>
      <c r="J1563" t="s">
        <v>192</v>
      </c>
      <c r="K1563" t="s">
        <v>2791</v>
      </c>
      <c r="L1563" s="84">
        <v>42272</v>
      </c>
      <c r="M1563" t="s">
        <v>381</v>
      </c>
      <c r="N1563" t="s">
        <v>665</v>
      </c>
      <c r="O1563">
        <v>3</v>
      </c>
      <c r="P1563" t="s">
        <v>2792</v>
      </c>
      <c r="Q1563" t="s">
        <v>2793</v>
      </c>
      <c r="R1563" t="s">
        <v>2794</v>
      </c>
      <c r="S1563" t="s">
        <v>2795</v>
      </c>
      <c r="T1563" t="s">
        <v>37</v>
      </c>
      <c r="U1563" t="s">
        <v>80</v>
      </c>
      <c r="V1563">
        <v>59</v>
      </c>
      <c r="W1563">
        <v>83</v>
      </c>
      <c r="X1563">
        <v>123</v>
      </c>
      <c r="Y1563">
        <v>95</v>
      </c>
      <c r="Z1563">
        <v>196</v>
      </c>
      <c r="AA1563">
        <v>159</v>
      </c>
      <c r="AB1563" t="s">
        <v>398</v>
      </c>
      <c r="AC1563" t="s">
        <v>223</v>
      </c>
      <c r="AD1563" t="s">
        <v>609</v>
      </c>
      <c r="AE1563" t="s">
        <v>183</v>
      </c>
      <c r="AF1563">
        <v>0</v>
      </c>
    </row>
    <row r="1564" spans="1:32">
      <c r="A1564">
        <v>445</v>
      </c>
      <c r="B1564">
        <v>1142</v>
      </c>
      <c r="C1564" t="s">
        <v>2789</v>
      </c>
      <c r="D1564" t="s">
        <v>1411</v>
      </c>
      <c r="E1564" t="s">
        <v>2165</v>
      </c>
      <c r="F1564" t="s">
        <v>193</v>
      </c>
      <c r="G1564" t="s">
        <v>2796</v>
      </c>
      <c r="H1564" t="s">
        <v>192</v>
      </c>
      <c r="I1564" t="s">
        <v>212</v>
      </c>
      <c r="J1564" t="s">
        <v>212</v>
      </c>
      <c r="K1564" t="s">
        <v>2791</v>
      </c>
      <c r="L1564" s="84">
        <v>42272</v>
      </c>
      <c r="M1564" t="s">
        <v>381</v>
      </c>
      <c r="N1564" t="s">
        <v>665</v>
      </c>
      <c r="O1564">
        <v>3</v>
      </c>
      <c r="P1564" t="s">
        <v>2792</v>
      </c>
      <c r="Q1564" t="s">
        <v>2793</v>
      </c>
      <c r="R1564" t="s">
        <v>2794</v>
      </c>
      <c r="S1564" t="s">
        <v>2795</v>
      </c>
      <c r="T1564" t="s">
        <v>36</v>
      </c>
      <c r="U1564" t="s">
        <v>80</v>
      </c>
      <c r="V1564">
        <v>59</v>
      </c>
      <c r="W1564">
        <v>83</v>
      </c>
      <c r="X1564">
        <v>123</v>
      </c>
      <c r="Y1564">
        <v>95</v>
      </c>
      <c r="Z1564">
        <v>196</v>
      </c>
      <c r="AA1564">
        <v>159</v>
      </c>
      <c r="AB1564" t="s">
        <v>398</v>
      </c>
      <c r="AC1564" t="s">
        <v>223</v>
      </c>
      <c r="AD1564" t="s">
        <v>609</v>
      </c>
      <c r="AE1564" t="s">
        <v>183</v>
      </c>
      <c r="AF1564">
        <v>0</v>
      </c>
    </row>
    <row r="1565" spans="1:32">
      <c r="A1565">
        <v>445</v>
      </c>
      <c r="B1565">
        <v>1142</v>
      </c>
      <c r="C1565" t="s">
        <v>2789</v>
      </c>
      <c r="D1565" t="s">
        <v>1411</v>
      </c>
      <c r="E1565" t="s">
        <v>2165</v>
      </c>
      <c r="F1565" t="s">
        <v>197</v>
      </c>
      <c r="G1565" t="s">
        <v>2797</v>
      </c>
      <c r="H1565" t="s">
        <v>192</v>
      </c>
      <c r="I1565" t="s">
        <v>212</v>
      </c>
      <c r="J1565" t="s">
        <v>280</v>
      </c>
      <c r="K1565" t="s">
        <v>2791</v>
      </c>
      <c r="L1565" s="84">
        <v>42272</v>
      </c>
      <c r="M1565" t="s">
        <v>381</v>
      </c>
      <c r="N1565" t="s">
        <v>665</v>
      </c>
      <c r="O1565">
        <v>3</v>
      </c>
      <c r="P1565" t="s">
        <v>2792</v>
      </c>
      <c r="Q1565" t="s">
        <v>2793</v>
      </c>
      <c r="R1565" t="s">
        <v>2794</v>
      </c>
      <c r="S1565" t="s">
        <v>2795</v>
      </c>
      <c r="T1565" t="s">
        <v>38</v>
      </c>
      <c r="U1565" t="s">
        <v>80</v>
      </c>
      <c r="V1565">
        <v>59</v>
      </c>
      <c r="W1565">
        <v>83</v>
      </c>
      <c r="X1565">
        <v>123</v>
      </c>
      <c r="Y1565">
        <v>95</v>
      </c>
      <c r="Z1565">
        <v>196</v>
      </c>
      <c r="AA1565">
        <v>159</v>
      </c>
      <c r="AB1565" t="s">
        <v>398</v>
      </c>
      <c r="AC1565" t="s">
        <v>223</v>
      </c>
      <c r="AD1565" t="s">
        <v>609</v>
      </c>
      <c r="AE1565" t="s">
        <v>183</v>
      </c>
      <c r="AF1565">
        <v>0</v>
      </c>
    </row>
    <row r="1566" spans="1:32">
      <c r="A1566">
        <v>445</v>
      </c>
      <c r="B1566">
        <v>1142</v>
      </c>
      <c r="C1566" t="s">
        <v>2789</v>
      </c>
      <c r="D1566" t="s">
        <v>1411</v>
      </c>
      <c r="E1566" t="s">
        <v>2165</v>
      </c>
      <c r="F1566" t="s">
        <v>5</v>
      </c>
      <c r="G1566" t="s">
        <v>2798</v>
      </c>
      <c r="H1566" t="s">
        <v>256</v>
      </c>
      <c r="I1566" t="s">
        <v>181</v>
      </c>
      <c r="J1566" t="s">
        <v>376</v>
      </c>
      <c r="K1566" t="s">
        <v>2791</v>
      </c>
      <c r="L1566" s="84">
        <v>42272</v>
      </c>
      <c r="M1566" t="s">
        <v>381</v>
      </c>
      <c r="N1566" t="s">
        <v>665</v>
      </c>
      <c r="O1566">
        <v>3</v>
      </c>
      <c r="P1566" t="s">
        <v>2792</v>
      </c>
      <c r="Q1566" t="s">
        <v>2793</v>
      </c>
      <c r="R1566" t="s">
        <v>2794</v>
      </c>
      <c r="S1566" t="s">
        <v>2795</v>
      </c>
      <c r="T1566" t="s">
        <v>33</v>
      </c>
      <c r="U1566" t="s">
        <v>80</v>
      </c>
      <c r="V1566">
        <v>59</v>
      </c>
      <c r="W1566">
        <v>83</v>
      </c>
      <c r="X1566">
        <v>123</v>
      </c>
      <c r="Y1566">
        <v>95</v>
      </c>
      <c r="Z1566">
        <v>196</v>
      </c>
      <c r="AA1566">
        <v>159</v>
      </c>
      <c r="AB1566" t="s">
        <v>398</v>
      </c>
      <c r="AC1566" t="s">
        <v>223</v>
      </c>
      <c r="AD1566" t="s">
        <v>609</v>
      </c>
      <c r="AE1566" t="s">
        <v>183</v>
      </c>
      <c r="AF1566">
        <v>0</v>
      </c>
    </row>
    <row r="1567" spans="1:32">
      <c r="A1567">
        <v>445</v>
      </c>
      <c r="B1567">
        <v>1142</v>
      </c>
      <c r="C1567" t="s">
        <v>2789</v>
      </c>
      <c r="D1567" t="s">
        <v>1411</v>
      </c>
      <c r="E1567" t="s">
        <v>2165</v>
      </c>
      <c r="F1567" t="s">
        <v>8</v>
      </c>
      <c r="G1567" t="s">
        <v>2799</v>
      </c>
      <c r="H1567" t="s">
        <v>236</v>
      </c>
      <c r="I1567" t="s">
        <v>173</v>
      </c>
      <c r="J1567" t="s">
        <v>243</v>
      </c>
      <c r="K1567" t="s">
        <v>2791</v>
      </c>
      <c r="L1567" s="84">
        <v>42272</v>
      </c>
      <c r="M1567" t="s">
        <v>381</v>
      </c>
      <c r="N1567" t="s">
        <v>665</v>
      </c>
      <c r="O1567">
        <v>3</v>
      </c>
      <c r="P1567" t="s">
        <v>2792</v>
      </c>
      <c r="Q1567" t="s">
        <v>2793</v>
      </c>
      <c r="R1567" t="s">
        <v>2794</v>
      </c>
      <c r="S1567" t="s">
        <v>2795</v>
      </c>
      <c r="T1567" t="s">
        <v>31</v>
      </c>
      <c r="U1567" t="s">
        <v>80</v>
      </c>
      <c r="V1567">
        <v>59</v>
      </c>
      <c r="W1567">
        <v>83</v>
      </c>
      <c r="X1567">
        <v>123</v>
      </c>
      <c r="Y1567">
        <v>95</v>
      </c>
      <c r="Z1567">
        <v>196</v>
      </c>
      <c r="AA1567">
        <v>159</v>
      </c>
      <c r="AB1567" t="s">
        <v>398</v>
      </c>
      <c r="AC1567" t="s">
        <v>223</v>
      </c>
      <c r="AD1567" t="s">
        <v>609</v>
      </c>
      <c r="AE1567" t="s">
        <v>183</v>
      </c>
      <c r="AF1567">
        <v>0</v>
      </c>
    </row>
    <row r="1568" spans="1:32">
      <c r="A1568">
        <v>445</v>
      </c>
      <c r="B1568">
        <v>1142</v>
      </c>
      <c r="C1568" t="s">
        <v>2789</v>
      </c>
      <c r="D1568" t="s">
        <v>1411</v>
      </c>
      <c r="E1568" t="s">
        <v>2165</v>
      </c>
      <c r="F1568" t="s">
        <v>7</v>
      </c>
      <c r="G1568" t="s">
        <v>2800</v>
      </c>
      <c r="H1568" t="s">
        <v>256</v>
      </c>
      <c r="I1568" t="s">
        <v>223</v>
      </c>
      <c r="J1568" t="s">
        <v>243</v>
      </c>
      <c r="K1568" t="s">
        <v>2791</v>
      </c>
      <c r="L1568" s="84">
        <v>42272</v>
      </c>
      <c r="M1568" t="s">
        <v>381</v>
      </c>
      <c r="N1568" t="s">
        <v>665</v>
      </c>
      <c r="O1568">
        <v>3</v>
      </c>
      <c r="P1568" t="s">
        <v>2792</v>
      </c>
      <c r="Q1568" t="s">
        <v>2793</v>
      </c>
      <c r="R1568" t="s">
        <v>2794</v>
      </c>
      <c r="S1568" t="s">
        <v>2795</v>
      </c>
      <c r="T1568" t="s">
        <v>32</v>
      </c>
      <c r="U1568" t="s">
        <v>80</v>
      </c>
      <c r="V1568">
        <v>59</v>
      </c>
      <c r="W1568">
        <v>83</v>
      </c>
      <c r="X1568">
        <v>123</v>
      </c>
      <c r="Y1568">
        <v>95</v>
      </c>
      <c r="Z1568">
        <v>196</v>
      </c>
      <c r="AA1568">
        <v>159</v>
      </c>
      <c r="AB1568" t="s">
        <v>398</v>
      </c>
      <c r="AC1568" t="s">
        <v>223</v>
      </c>
      <c r="AD1568" t="s">
        <v>609</v>
      </c>
      <c r="AE1568" t="s">
        <v>183</v>
      </c>
      <c r="AF1568">
        <v>0</v>
      </c>
    </row>
    <row r="1569" spans="1:32">
      <c r="A1569">
        <v>445</v>
      </c>
      <c r="B1569">
        <v>1142</v>
      </c>
      <c r="C1569" t="s">
        <v>2789</v>
      </c>
      <c r="D1569" t="s">
        <v>1411</v>
      </c>
      <c r="E1569" t="s">
        <v>2165</v>
      </c>
      <c r="F1569" t="s">
        <v>6</v>
      </c>
      <c r="G1569" t="s">
        <v>2801</v>
      </c>
      <c r="H1569" t="s">
        <v>228</v>
      </c>
      <c r="I1569" t="s">
        <v>330</v>
      </c>
      <c r="J1569" t="s">
        <v>237</v>
      </c>
      <c r="K1569" t="s">
        <v>2791</v>
      </c>
      <c r="L1569" s="84">
        <v>42272</v>
      </c>
      <c r="M1569" t="s">
        <v>381</v>
      </c>
      <c r="N1569" t="s">
        <v>665</v>
      </c>
      <c r="O1569">
        <v>3</v>
      </c>
      <c r="P1569" t="s">
        <v>2792</v>
      </c>
      <c r="Q1569" t="s">
        <v>2793</v>
      </c>
      <c r="R1569" t="s">
        <v>2794</v>
      </c>
      <c r="S1569" t="s">
        <v>2795</v>
      </c>
      <c r="T1569" t="s">
        <v>34</v>
      </c>
      <c r="U1569" t="s">
        <v>80</v>
      </c>
      <c r="V1569">
        <v>59</v>
      </c>
      <c r="W1569">
        <v>83</v>
      </c>
      <c r="X1569">
        <v>123</v>
      </c>
      <c r="Y1569">
        <v>95</v>
      </c>
      <c r="Z1569">
        <v>196</v>
      </c>
      <c r="AA1569">
        <v>159</v>
      </c>
      <c r="AB1569" t="s">
        <v>398</v>
      </c>
      <c r="AC1569" t="s">
        <v>223</v>
      </c>
      <c r="AD1569" t="s">
        <v>609</v>
      </c>
      <c r="AE1569" t="s">
        <v>183</v>
      </c>
      <c r="AF1569"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4" tint="-0.499984740745262"/>
  </sheetPr>
  <dimension ref="A1:AG73"/>
  <sheetViews>
    <sheetView tabSelected="1" zoomScale="90" zoomScaleNormal="90" zoomScalePageLayoutView="90" workbookViewId="0">
      <selection activeCell="S14" sqref="S14:U14"/>
    </sheetView>
  </sheetViews>
  <sheetFormatPr defaultRowHeight="12.75"/>
  <cols>
    <col min="1" max="1" width="1.140625" style="37" customWidth="1"/>
    <col min="2" max="2" width="9.140625" style="37"/>
    <col min="3" max="3" width="10.42578125" style="37" customWidth="1"/>
    <col min="4" max="4" width="4" style="37" customWidth="1"/>
    <col min="5" max="5" width="3.5703125" style="37" customWidth="1"/>
    <col min="6" max="6" width="0.85546875" style="37" hidden="1" customWidth="1"/>
    <col min="7" max="7" width="4" style="37" customWidth="1"/>
    <col min="8" max="8" width="4.85546875" style="37" customWidth="1"/>
    <col min="9" max="9" width="0.140625" style="37" hidden="1" customWidth="1"/>
    <col min="10" max="10" width="3.7109375" style="37" customWidth="1"/>
    <col min="11" max="11" width="5.28515625" style="37" customWidth="1"/>
    <col min="12" max="12" width="1" style="37" hidden="1" customWidth="1"/>
    <col min="13" max="13" width="3.85546875" style="37" customWidth="1"/>
    <col min="14" max="14" width="3.7109375" style="37" customWidth="1"/>
    <col min="15" max="15" width="0.42578125" style="37" customWidth="1"/>
    <col min="16" max="17" width="4" style="37" customWidth="1"/>
    <col min="18" max="18" width="1.28515625" style="37" hidden="1" customWidth="1"/>
    <col min="19" max="19" width="3.85546875" style="37" customWidth="1"/>
    <col min="20" max="20" width="4.5703125" style="37" customWidth="1"/>
    <col min="21" max="21" width="4.28515625" style="37" hidden="1" customWidth="1"/>
    <col min="22" max="22" width="7.42578125" style="37" customWidth="1"/>
    <col min="23" max="23" width="8.42578125" style="37" customWidth="1"/>
    <col min="24" max="24" width="8.28515625" style="37" customWidth="1"/>
    <col min="25" max="25" width="7.42578125" style="37" customWidth="1"/>
    <col min="26" max="26" width="5.7109375" style="37" customWidth="1"/>
    <col min="27" max="27" width="6.85546875" style="37" customWidth="1"/>
    <col min="28" max="28" width="12.42578125" style="37" customWidth="1"/>
    <col min="29" max="29" width="13.5703125" style="37" customWidth="1"/>
    <col min="30" max="30" width="1" style="37" customWidth="1"/>
    <col min="31" max="16384" width="9.140625" style="37"/>
  </cols>
  <sheetData>
    <row r="1" spans="1:33" s="5" customFormat="1" ht="31.5">
      <c r="A1" s="1"/>
      <c r="B1" s="27"/>
      <c r="C1" s="2"/>
      <c r="D1" s="72" t="s">
        <v>16</v>
      </c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3"/>
    </row>
    <row r="2" spans="1:33" s="5" customFormat="1" ht="18.75">
      <c r="A2" s="4"/>
      <c r="J2" s="28" t="s">
        <v>18</v>
      </c>
      <c r="AD2" s="6"/>
    </row>
    <row r="3" spans="1:33" s="5" customFormat="1" ht="9.75" customHeight="1" thickBot="1">
      <c r="A3" s="4"/>
      <c r="K3" s="16"/>
      <c r="AD3" s="6"/>
    </row>
    <row r="4" spans="1:33" s="5" customFormat="1" ht="4.5" customHeight="1">
      <c r="A4" s="4"/>
      <c r="N4"/>
      <c r="O4" s="153" t="s">
        <v>19</v>
      </c>
      <c r="P4" s="154"/>
      <c r="Q4" s="154"/>
      <c r="R4" s="154"/>
      <c r="S4" s="154"/>
      <c r="T4" s="154"/>
      <c r="U4" s="154"/>
      <c r="V4" s="154"/>
      <c r="W4" s="155"/>
      <c r="AD4" s="6"/>
    </row>
    <row r="5" spans="1:33" s="5" customFormat="1" ht="18.75">
      <c r="A5" s="4"/>
      <c r="J5" s="225"/>
      <c r="K5" s="225"/>
      <c r="L5" s="225"/>
      <c r="N5"/>
      <c r="O5" s="210"/>
      <c r="P5" s="211"/>
      <c r="Q5" s="211"/>
      <c r="R5" s="211"/>
      <c r="S5" s="211"/>
      <c r="T5" s="211"/>
      <c r="U5" s="211"/>
      <c r="V5" s="211"/>
      <c r="W5" s="212"/>
      <c r="AD5" s="6"/>
    </row>
    <row r="6" spans="1:33" s="5" customFormat="1" ht="6" customHeight="1" thickBot="1">
      <c r="A6" s="4"/>
      <c r="B6" s="17"/>
      <c r="O6" s="213"/>
      <c r="P6" s="214"/>
      <c r="Q6" s="214"/>
      <c r="R6" s="214"/>
      <c r="S6" s="214"/>
      <c r="T6" s="214"/>
      <c r="U6" s="214"/>
      <c r="V6" s="214"/>
      <c r="W6" s="215"/>
      <c r="AD6" s="6"/>
    </row>
    <row r="7" spans="1:33" s="5" customFormat="1" ht="18" customHeight="1">
      <c r="A7" s="4"/>
      <c r="B7" s="18"/>
      <c r="AD7" s="6"/>
    </row>
    <row r="8" spans="1:33" s="11" customFormat="1" ht="19.5" thickBot="1">
      <c r="A8" s="12"/>
      <c r="B8" s="29" t="s">
        <v>113</v>
      </c>
      <c r="C8" s="15" t="str">
        <f>VLOOKUP(Z8,Sheet1!$1:$1048576,3,0)</f>
        <v>VAISHNAVI YADAV</v>
      </c>
      <c r="K8" s="226" t="s">
        <v>114</v>
      </c>
      <c r="L8" s="226"/>
      <c r="M8" s="226"/>
      <c r="N8" s="232" t="str">
        <f>LEFT(SUBSTITUTE(VLOOKUP(Z8,Sheet1!$1:$1048576,4,0), "Class",""),LEN(SUBSTITUTE(VLOOKUP(Z8,Sheet1!$1:$1048576,4,0), "Class",""))-1)</f>
        <v xml:space="preserve"> IV</v>
      </c>
      <c r="O8" s="232"/>
      <c r="P8" s="232"/>
      <c r="Q8" s="232"/>
      <c r="R8" s="14" t="s">
        <v>9</v>
      </c>
      <c r="S8" s="226" t="s">
        <v>115</v>
      </c>
      <c r="T8" s="226"/>
      <c r="V8" s="232" t="str">
        <f>VLOOKUP(Z8,Sheet1!$1:$1048576,5,0)</f>
        <v>2025-2026</v>
      </c>
      <c r="W8" s="232"/>
      <c r="X8" s="226" t="s">
        <v>117</v>
      </c>
      <c r="Y8" s="226"/>
      <c r="Z8" s="25">
        <v>445</v>
      </c>
      <c r="AA8" s="107" t="str">
        <f>_xlfn.CONCAT("Admission No. - ",VLOOKUP(Z8,Sheet1!$1:$1048576,11,0))</f>
        <v>Admission No. - 211805</v>
      </c>
      <c r="AB8" s="107"/>
      <c r="AC8" s="107"/>
      <c r="AD8" s="13"/>
    </row>
    <row r="9" spans="1:33" s="5" customFormat="1" ht="25.5" customHeight="1" thickBot="1">
      <c r="A9" s="4"/>
      <c r="B9" s="216" t="s">
        <v>21</v>
      </c>
      <c r="C9" s="217"/>
      <c r="D9" s="222" t="s">
        <v>22</v>
      </c>
      <c r="E9" s="223"/>
      <c r="F9" s="223"/>
      <c r="G9" s="223"/>
      <c r="H9" s="223"/>
      <c r="I9" s="224"/>
      <c r="J9" s="222" t="s">
        <v>23</v>
      </c>
      <c r="K9" s="223"/>
      <c r="L9" s="223"/>
      <c r="M9" s="223"/>
      <c r="N9" s="223"/>
      <c r="O9" s="224"/>
      <c r="P9" s="222" t="s">
        <v>24</v>
      </c>
      <c r="Q9" s="223"/>
      <c r="R9" s="223"/>
      <c r="S9" s="223"/>
      <c r="T9" s="223"/>
      <c r="U9" s="224"/>
      <c r="V9" s="222" t="s">
        <v>25</v>
      </c>
      <c r="W9" s="223"/>
      <c r="X9" s="223"/>
      <c r="Y9" s="224"/>
      <c r="Z9" s="137" t="s">
        <v>146</v>
      </c>
      <c r="AA9" s="138"/>
      <c r="AB9" s="132" t="s">
        <v>30</v>
      </c>
      <c r="AC9" s="133"/>
      <c r="AD9" s="6"/>
    </row>
    <row r="10" spans="1:33" s="5" customFormat="1" ht="24.75" customHeight="1">
      <c r="A10" s="4"/>
      <c r="B10" s="218"/>
      <c r="C10" s="219"/>
      <c r="D10" s="173" t="s">
        <v>26</v>
      </c>
      <c r="E10" s="174"/>
      <c r="F10" s="175"/>
      <c r="G10" s="173" t="s">
        <v>27</v>
      </c>
      <c r="H10" s="174"/>
      <c r="I10" s="175"/>
      <c r="J10" s="173" t="s">
        <v>26</v>
      </c>
      <c r="K10" s="174"/>
      <c r="L10" s="175"/>
      <c r="M10" s="173" t="s">
        <v>27</v>
      </c>
      <c r="N10" s="174"/>
      <c r="O10" s="175"/>
      <c r="P10" s="173" t="s">
        <v>26</v>
      </c>
      <c r="Q10" s="174"/>
      <c r="R10" s="175"/>
      <c r="S10" s="173" t="s">
        <v>28</v>
      </c>
      <c r="T10" s="174"/>
      <c r="U10" s="175"/>
      <c r="V10" s="227" t="s">
        <v>2042</v>
      </c>
      <c r="W10" s="227" t="s">
        <v>2043</v>
      </c>
      <c r="X10" s="233" t="s">
        <v>2044</v>
      </c>
      <c r="Y10" s="235" t="s">
        <v>29</v>
      </c>
      <c r="Z10" s="139" t="s">
        <v>26</v>
      </c>
      <c r="AA10" s="141" t="s">
        <v>27</v>
      </c>
      <c r="AB10" s="134"/>
      <c r="AC10" s="135"/>
      <c r="AD10" s="6"/>
    </row>
    <row r="11" spans="1:33" s="5" customFormat="1" ht="10.5" customHeight="1" thickBot="1">
      <c r="A11" s="4"/>
      <c r="B11" s="220"/>
      <c r="C11" s="221"/>
      <c r="D11" s="176"/>
      <c r="E11" s="177"/>
      <c r="F11" s="178"/>
      <c r="G11" s="176"/>
      <c r="H11" s="177"/>
      <c r="I11" s="178"/>
      <c r="J11" s="176"/>
      <c r="K11" s="177"/>
      <c r="L11" s="178"/>
      <c r="M11" s="176"/>
      <c r="N11" s="177"/>
      <c r="O11" s="178"/>
      <c r="P11" s="176"/>
      <c r="Q11" s="177"/>
      <c r="R11" s="178"/>
      <c r="S11" s="229"/>
      <c r="T11" s="230"/>
      <c r="U11" s="231"/>
      <c r="V11" s="228"/>
      <c r="W11" s="228"/>
      <c r="X11" s="234"/>
      <c r="Y11" s="236"/>
      <c r="Z11" s="140"/>
      <c r="AA11" s="142"/>
      <c r="AB11" s="134"/>
      <c r="AC11" s="135"/>
      <c r="AD11" s="6"/>
    </row>
    <row r="12" spans="1:33" s="5" customFormat="1" ht="21" customHeight="1">
      <c r="A12" s="4"/>
      <c r="B12" s="198" t="s">
        <v>31</v>
      </c>
      <c r="C12" s="199"/>
      <c r="D12" s="187">
        <v>50</v>
      </c>
      <c r="E12" s="188"/>
      <c r="F12" s="189"/>
      <c r="G12" s="207">
        <f>IF(ISNUMBER(VALUE(VLOOKUP(CONCATENATE(B12,$Z$8),Sheet1!$G:$J,4,0))),VALUE(VLOOKUP(CONCATENATE(B12,$Z$8),Sheet1!$G:$J,4,0)),VLOOKUP(CONCATENATE(B12,$Z$8),Sheet1!$G:$J,4,0))</f>
        <v>19</v>
      </c>
      <c r="H12" s="208"/>
      <c r="I12" s="209"/>
      <c r="J12" s="187">
        <v>50</v>
      </c>
      <c r="K12" s="188"/>
      <c r="L12" s="189"/>
      <c r="M12" s="170">
        <f>IF(ISNUMBER(VALUE(VLOOKUP(CONCATENATE(B12,$Z$8),Sheet1!$G:$J,3,0))),VALUE(VLOOKUP(CONCATENATE(B12,$Z$8),Sheet1!$G:$J,3,0)),VLOOKUP(CONCATENATE(B12,$Z$8),Sheet1!$G:$J,3,0))</f>
        <v>17</v>
      </c>
      <c r="N12" s="171"/>
      <c r="O12" s="172"/>
      <c r="P12" s="164">
        <v>50</v>
      </c>
      <c r="Q12" s="165"/>
      <c r="R12" s="166"/>
      <c r="S12" s="167">
        <f>IF(ISNUMBER(VALUE(VLOOKUP(CONCATENATE(B12,$Z$8),Sheet1!$G:$J,2,0))),VALUE(VLOOKUP(CONCATENATE(B12,$Z$8),Sheet1!$G:$J,2,0)),VLOOKUP(CONCATENATE(B12,$Z$8),Sheet1!$G:$J,2,0))</f>
        <v>34</v>
      </c>
      <c r="T12" s="168"/>
      <c r="U12" s="169"/>
      <c r="V12" s="91">
        <f>IF(ISNUMBER(VALUE(SUBSTITUTE(G12,"*",""))),VALUE(SUBSTITUTE(G12,"*","")),0)*5%</f>
        <v>0.95000000000000007</v>
      </c>
      <c r="W12" s="81">
        <f>IF(ISNUMBER(VALUE(SUBSTITUTE(M12,"*",""))),VALUE(SUBSTITUTE(M12,"*","")),0)*5%</f>
        <v>0.85000000000000009</v>
      </c>
      <c r="X12" s="80">
        <f>IF(ISNUMBER(VALUE(SUBSTITUTE(SUBSTITUTE(S12,"*",""),IF(ISNUMBER(SEARCH("+",S12)),RIGHT(S12,2),""),""))),VALUE(SUBSTITUTE(SUBSTITUTE(S12,"*",""),IF(ISNUMBER(SEARCH("+",S12)),RIGHT(S12,2),""),"")),0)*90%</f>
        <v>30.6</v>
      </c>
      <c r="Y12" s="62">
        <f>V12+W12+X12</f>
        <v>32.4</v>
      </c>
      <c r="Z12" s="19"/>
      <c r="AA12" s="66"/>
      <c r="AB12" s="162" t="s">
        <v>164</v>
      </c>
      <c r="AC12" s="163"/>
      <c r="AD12" s="6"/>
      <c r="AG12" s="75"/>
    </row>
    <row r="13" spans="1:33" s="5" customFormat="1" ht="21" customHeight="1" thickBot="1">
      <c r="A13" s="4"/>
      <c r="B13" s="200" t="s">
        <v>32</v>
      </c>
      <c r="C13" s="201"/>
      <c r="D13" s="190">
        <v>50</v>
      </c>
      <c r="E13" s="191"/>
      <c r="F13" s="192"/>
      <c r="G13" s="207">
        <f>IF(ISNUMBER(VALUE(VLOOKUP(CONCATENATE(B13,$Z$8),Sheet1!$G:$J,4,0))),VALUE(VLOOKUP(CONCATENATE(B13,$Z$8),Sheet1!$G:$J,4,0)),VLOOKUP(CONCATENATE(B13,$Z$8),Sheet1!$G:$J,4,0))</f>
        <v>19</v>
      </c>
      <c r="H13" s="208"/>
      <c r="I13" s="209"/>
      <c r="J13" s="190">
        <v>50</v>
      </c>
      <c r="K13" s="191"/>
      <c r="L13" s="192"/>
      <c r="M13" s="170">
        <f>IF(ISNUMBER(VALUE(VLOOKUP(CONCATENATE(B13,$Z$8),Sheet1!$G:$J,3,0))),VALUE(VLOOKUP(CONCATENATE(B13,$Z$8),Sheet1!$G:$J,3,0)),VLOOKUP(CONCATENATE(B13,$Z$8),Sheet1!$G:$J,3,0))</f>
        <v>23</v>
      </c>
      <c r="N13" s="171"/>
      <c r="O13" s="172"/>
      <c r="P13" s="164">
        <v>50</v>
      </c>
      <c r="Q13" s="165"/>
      <c r="R13" s="166"/>
      <c r="S13" s="170">
        <f>IF(ISNUMBER(VALUE(VLOOKUP(CONCATENATE(B13,$Z$8),Sheet1!$G:$J,2,0))),VALUE(VLOOKUP(CONCATENATE(B13,$Z$8),Sheet1!$G:$J,2,0)),VLOOKUP(CONCATENATE(B13,$Z$8),Sheet1!$G:$J,2,0))</f>
        <v>28</v>
      </c>
      <c r="T13" s="171"/>
      <c r="U13" s="172"/>
      <c r="V13" s="92">
        <f t="shared" ref="V13:V15" si="0">IF(ISNUMBER(VALUE(SUBSTITUTE(G13,"*",""))),VALUE(SUBSTITUTE(G13,"*","")),0)*5%</f>
        <v>0.95000000000000007</v>
      </c>
      <c r="W13" s="95">
        <f t="shared" ref="W13:W15" si="1">IF(ISNUMBER(VALUE(SUBSTITUTE(M13,"*",""))),VALUE(SUBSTITUTE(M13,"*","")),0)*5%</f>
        <v>1.1500000000000001</v>
      </c>
      <c r="X13" s="89">
        <f t="shared" ref="X13:X15" si="2">IF(ISNUMBER(VALUE(SUBSTITUTE(SUBSTITUTE(S13,"*",""),IF(ISNUMBER(SEARCH("+",S13)),RIGHT(S13,2),""),""))),VALUE(SUBSTITUTE(SUBSTITUTE(S13,"*",""),IF(ISNUMBER(SEARCH("+",S13)),RIGHT(S13,2),""),"")),0)*90%</f>
        <v>25.2</v>
      </c>
      <c r="Y13" s="62">
        <f t="shared" ref="Y13:Y15" si="3">V13+W13+X13</f>
        <v>27.3</v>
      </c>
      <c r="Z13" s="20"/>
      <c r="AA13" s="64"/>
      <c r="AB13" s="99"/>
      <c r="AC13" s="100"/>
      <c r="AD13" s="6"/>
      <c r="AF13" s="74"/>
      <c r="AG13" s="75"/>
    </row>
    <row r="14" spans="1:33" s="5" customFormat="1" ht="21" customHeight="1">
      <c r="A14" s="4"/>
      <c r="B14" s="200" t="s">
        <v>33</v>
      </c>
      <c r="C14" s="201"/>
      <c r="D14" s="190">
        <v>50</v>
      </c>
      <c r="E14" s="191"/>
      <c r="F14" s="192"/>
      <c r="G14" s="207" t="str">
        <f>IF(ISNUMBER(VALUE(VLOOKUP(CONCATENATE(B14,$Z$8),Sheet1!$G:$J,4,0))),VALUE(VLOOKUP(CONCATENATE(B14,$Z$8),Sheet1!$G:$J,4,0)),VLOOKUP(CONCATENATE(B14,$Z$8),Sheet1!$G:$J,4,0))</f>
        <v>*14</v>
      </c>
      <c r="H14" s="208"/>
      <c r="I14" s="209"/>
      <c r="J14" s="190">
        <v>50</v>
      </c>
      <c r="K14" s="191"/>
      <c r="L14" s="192"/>
      <c r="M14" s="170">
        <f>IF(ISNUMBER(VALUE(VLOOKUP(CONCATENATE(B14,$Z$8),Sheet1!$G:$J,3,0))),VALUE(VLOOKUP(CONCATENATE(B14,$Z$8),Sheet1!$G:$J,3,0)),VLOOKUP(CONCATENATE(B14,$Z$8),Sheet1!$G:$J,3,0))</f>
        <v>18</v>
      </c>
      <c r="N14" s="171"/>
      <c r="O14" s="172"/>
      <c r="P14" s="164">
        <v>50</v>
      </c>
      <c r="Q14" s="165"/>
      <c r="R14" s="166"/>
      <c r="S14" s="170">
        <f>IF(ISNUMBER(VALUE(VLOOKUP(CONCATENATE(B14,$Z$8),Sheet1!$G:$J,2,0))),VALUE(VLOOKUP(CONCATENATE(B14,$Z$8),Sheet1!$G:$J,2,0)),VLOOKUP(CONCATENATE(B14,$Z$8),Sheet1!$G:$J,2,0))</f>
        <v>28</v>
      </c>
      <c r="T14" s="171"/>
      <c r="U14" s="172"/>
      <c r="V14" s="92">
        <f t="shared" si="0"/>
        <v>0.70000000000000007</v>
      </c>
      <c r="W14" s="95">
        <f t="shared" si="1"/>
        <v>0.9</v>
      </c>
      <c r="X14" s="89">
        <f t="shared" si="2"/>
        <v>25.2</v>
      </c>
      <c r="Y14" s="62">
        <f t="shared" si="3"/>
        <v>26.8</v>
      </c>
      <c r="Z14" s="20"/>
      <c r="AA14" s="64"/>
      <c r="AB14" s="185" t="s">
        <v>165</v>
      </c>
      <c r="AC14" s="186"/>
      <c r="AD14" s="6"/>
      <c r="AG14" s="75"/>
    </row>
    <row r="15" spans="1:33" s="5" customFormat="1" ht="21" customHeight="1" thickBot="1">
      <c r="A15" s="4"/>
      <c r="B15" s="202" t="s">
        <v>34</v>
      </c>
      <c r="C15" s="203"/>
      <c r="D15" s="204">
        <v>50</v>
      </c>
      <c r="E15" s="205"/>
      <c r="F15" s="206"/>
      <c r="G15" s="207">
        <f>IF(ISNUMBER(VALUE(VLOOKUP(CONCATENATE(B15,$Z$8),Sheet1!$G:$J,4,0))),VALUE(VLOOKUP(CONCATENATE(B15,$Z$8),Sheet1!$G:$J,4,0)),VLOOKUP(CONCATENATE(B15,$Z$8),Sheet1!$G:$J,4,0))</f>
        <v>27</v>
      </c>
      <c r="H15" s="208"/>
      <c r="I15" s="209"/>
      <c r="J15" s="204">
        <v>50</v>
      </c>
      <c r="K15" s="205"/>
      <c r="L15" s="206"/>
      <c r="M15" s="170" t="str">
        <f>IF(ISNUMBER(VALUE(VLOOKUP(CONCATENATE(B15,$Z$8),Sheet1!$G:$J,3,0))),VALUE(VLOOKUP(CONCATENATE(B15,$Z$8),Sheet1!$G:$J,3,0)),VLOOKUP(CONCATENATE(B15,$Z$8),Sheet1!$G:$J,3,0))</f>
        <v>Ab</v>
      </c>
      <c r="N15" s="171"/>
      <c r="O15" s="172"/>
      <c r="P15" s="182">
        <v>50</v>
      </c>
      <c r="Q15" s="183"/>
      <c r="R15" s="184"/>
      <c r="S15" s="179">
        <f>IF(ISNUMBER(VALUE(VLOOKUP(CONCATENATE(B15,$Z$8),Sheet1!$G:$J,2,0))),VALUE(VLOOKUP(CONCATENATE(B15,$Z$8),Sheet1!$G:$J,2,0)),VLOOKUP(CONCATENATE(B15,$Z$8),Sheet1!$G:$J,2,0))</f>
        <v>24</v>
      </c>
      <c r="T15" s="180"/>
      <c r="U15" s="181"/>
      <c r="V15" s="93">
        <f t="shared" si="0"/>
        <v>1.35</v>
      </c>
      <c r="W15" s="96">
        <f t="shared" si="1"/>
        <v>0</v>
      </c>
      <c r="X15" s="90">
        <f t="shared" si="2"/>
        <v>21.6</v>
      </c>
      <c r="Y15" s="63">
        <f t="shared" si="3"/>
        <v>22.950000000000003</v>
      </c>
      <c r="Z15" s="23"/>
      <c r="AA15" s="65"/>
      <c r="AB15" s="99"/>
      <c r="AC15" s="100"/>
      <c r="AD15" s="6"/>
      <c r="AG15" s="75"/>
    </row>
    <row r="16" spans="1:33" s="5" customFormat="1" ht="21" customHeight="1" thickBot="1">
      <c r="A16" s="4"/>
      <c r="B16" s="193" t="s">
        <v>35</v>
      </c>
      <c r="C16" s="194"/>
      <c r="D16" s="114">
        <f>SUM(D12:F15)</f>
        <v>200</v>
      </c>
      <c r="E16" s="115"/>
      <c r="F16" s="116"/>
      <c r="G16" s="126">
        <f>IF(ISNUMBER(VALUE(SUBSTITUTE(G12,"*",""))),VALUE(SUBSTITUTE(G12,"*","")),0)+IF(ISNUMBER(VALUE(SUBSTITUTE(G13,"*",""))),VALUE(SUBSTITUTE(G13,"*","")),0)+IF(ISNUMBER(VALUE(SUBSTITUTE(G14,"*",""))),VALUE(SUBSTITUTE(G14,"*","")),0)+IF(ISNUMBER(VALUE(SUBSTITUTE(G15,"*",""))),VALUE(SUBSTITUTE(G15,"*","")),0)</f>
        <v>79</v>
      </c>
      <c r="H16" s="127"/>
      <c r="I16" s="128"/>
      <c r="J16" s="114">
        <f>SUM(J12:L15)</f>
        <v>200</v>
      </c>
      <c r="K16" s="115"/>
      <c r="L16" s="116"/>
      <c r="M16" s="126">
        <f>IF(ISNUMBER(VALUE(SUBSTITUTE(M12,"*",""))),VALUE(SUBSTITUTE(M12,"*","")),0)+IF(ISNUMBER(VALUE(SUBSTITUTE(M13,"*",""))),VALUE(SUBSTITUTE(M13,"*","")),0)+IF(ISNUMBER(VALUE(SUBSTITUTE(M14,"*",""))),VALUE(SUBSTITUTE(M14,"*","")),0)+IF(ISNUMBER(VALUE(SUBSTITUTE(M15,"*",""))),VALUE(SUBSTITUTE(M15,"*","")),0)</f>
        <v>58</v>
      </c>
      <c r="N16" s="127"/>
      <c r="O16" s="128"/>
      <c r="P16" s="120">
        <f>SUM(P12:R15)</f>
        <v>200</v>
      </c>
      <c r="Q16" s="121"/>
      <c r="R16" s="122"/>
      <c r="S16" s="123">
        <f>IF(ISNUMBER(VALUE(SUBSTITUTE(SUBSTITUTE(VLOOKUP(CONCATENATE(B12,$Z$8),Sheet1!$G:$J,2,0),"*",""),IF(ISNUMBER(SEARCH("+",S12)),RIGHT(S12,2),""),""))),VALUE(SUBSTITUTE(SUBSTITUTE(VLOOKUP(CONCATENATE(B12,$Z$8),Sheet1!$G:$J,2,0),"*",""),IF(ISNUMBER(SEARCH("+",S12)),RIGHT(S12,2),""),"")),0)+IF(ISNUMBER(VALUE(SUBSTITUTE(SUBSTITUTE(VLOOKUP(CONCATENATE(B13,$Z$8),Sheet1!$G:$J,2,0),"*",""),IF(ISNUMBER(SEARCH("+",S13)),RIGHT(S13,2),""),""))),VALUE(SUBSTITUTE(SUBSTITUTE(VLOOKUP(CONCATENATE(B13,$Z$8),Sheet1!$G:$J,2,0),"*",""),IF(ISNUMBER(SEARCH("+",S13)),RIGHT(S13,2),""),"")),0)+IF(ISNUMBER(VALUE(SUBSTITUTE(SUBSTITUTE(VLOOKUP(CONCATENATE(B14,$Z$8),Sheet1!$G:$J,2,0),"*",""),IF(ISNUMBER(SEARCH("+",S14)),RIGHT(S14,2),""),""))),VALUE(SUBSTITUTE(SUBSTITUTE(VLOOKUP(CONCATENATE(B14,$Z$8),Sheet1!$G:$J,2,0),"*",""),IF(ISNUMBER(SEARCH("+",S14)),RIGHT(S14,2),""),"")),0)+IF(ISNUMBER(VALUE(SUBSTITUTE(SUBSTITUTE(VLOOKUP(CONCATENATE(B15,$Z$8),Sheet1!$G:$J,2,0),"*",""),IF(ISNUMBER(SEARCH("+",S15)),RIGHT(S15,2),""),""))),VALUE(SUBSTITUTE(SUBSTITUTE(VLOOKUP(CONCATENATE(B15,$Z$8),Sheet1!$G:$J,2,0),"*",""),IF(ISNUMBER(SEARCH("+",S15)),RIGHT(S15,2),""),"")),0)</f>
        <v>114</v>
      </c>
      <c r="T16" s="124"/>
      <c r="U16" s="125"/>
      <c r="V16" s="88">
        <f>SUM(V12:V15)</f>
        <v>3.95</v>
      </c>
      <c r="W16" s="94">
        <f>SUM(W12:W15)</f>
        <v>2.9</v>
      </c>
      <c r="X16" s="94">
        <f>SUM(X12:X15)</f>
        <v>102.6</v>
      </c>
      <c r="Y16" s="60">
        <f>SUM(Y12:Y15)</f>
        <v>109.45</v>
      </c>
      <c r="Z16" s="78"/>
      <c r="AA16" s="79"/>
      <c r="AB16" s="185" t="s">
        <v>166</v>
      </c>
      <c r="AC16" s="186"/>
      <c r="AD16" s="6"/>
    </row>
    <row r="17" spans="1:30" s="5" customFormat="1" ht="21" customHeight="1" thickBot="1">
      <c r="A17" s="4"/>
      <c r="B17" s="195" t="s">
        <v>36</v>
      </c>
      <c r="C17" s="196"/>
      <c r="D17" s="197" t="s">
        <v>48</v>
      </c>
      <c r="E17" s="112"/>
      <c r="F17" s="113"/>
      <c r="G17" s="111" t="str">
        <f>IF(ISNUMBER(VALUE(VLOOKUP(CONCATENATE(B17,$Z$8),Sheet1!G:J,4,0))),VLOOKUP(VALUE(VLOOKUP(CONCATENATE(B17,$Z$8),Sheet1!G:J,4,0)),Sheet3!C2:E9,3,1),IF(VLOOKUP(CONCATENATE(B17,$Z$8),Sheet1!G:J,4,0)="Ab","Ab",VLOOKUP(CONCATENATE(B17,$Z$8),Sheet1!G:J,4,0)))</f>
        <v>A</v>
      </c>
      <c r="H17" s="112"/>
      <c r="I17" s="113"/>
      <c r="J17" s="111" t="s">
        <v>48</v>
      </c>
      <c r="K17" s="112"/>
      <c r="L17" s="113"/>
      <c r="M17" s="111" t="str">
        <f>IF(ISNUMBER(VALUE(VLOOKUP(CONCATENATE(B17,$Z$8),Sheet1!G:J,3,0))),VLOOKUP(VALUE(VLOOKUP(CONCATENATE(B17,$Z$8),Sheet1!G:J,3,0)),Sheet3!C1:E10,3,1),IF(VLOOKUP(CONCATENATE(B17,$Z$8),Sheet1!G:J,3,0)="Ab","Ab",VLOOKUP(CONCATENATE(B17,$Z$8),Sheet1!G:J,3,0)))</f>
        <v>A</v>
      </c>
      <c r="N17" s="112"/>
      <c r="O17" s="113"/>
      <c r="P17" s="111" t="s">
        <v>48</v>
      </c>
      <c r="Q17" s="112"/>
      <c r="R17" s="113"/>
      <c r="S17" s="111" t="str">
        <f>IF(ISNUMBER(VALUE(VLOOKUP(CONCATENATE(B17,$Z$8),Sheet1!G:J,2,0))),VLOOKUP(VALUE(VLOOKUP(CONCATENATE(B17,$Z$8),Sheet1!G:J,2,0)),Sheet3!C1:E9,3,1),IF(VLOOKUP(CONCATENATE(B17,$Z$8),Sheet1!G:J,2,0)="Ab","Ab",VLOOKUP(CONCATENATE(B17,$Z$8),Sheet1!G:J,2,0)))</f>
        <v>A</v>
      </c>
      <c r="T17" s="112"/>
      <c r="U17" s="113"/>
      <c r="V17" s="85">
        <v>0.05</v>
      </c>
      <c r="W17" s="86">
        <v>0.05</v>
      </c>
      <c r="X17" s="87">
        <v>0.9</v>
      </c>
      <c r="Y17" s="59"/>
      <c r="Z17" s="76"/>
      <c r="AA17" s="77"/>
      <c r="AB17" s="101"/>
      <c r="AC17" s="102"/>
      <c r="AD17" s="6"/>
    </row>
    <row r="18" spans="1:30" s="5" customFormat="1" ht="21" customHeight="1">
      <c r="A18" s="4"/>
      <c r="B18" s="200" t="s">
        <v>37</v>
      </c>
      <c r="C18" s="201"/>
      <c r="D18" s="284" t="s">
        <v>48</v>
      </c>
      <c r="E18" s="109"/>
      <c r="F18" s="110"/>
      <c r="G18" s="111" t="str">
        <f>IF(ISNUMBER(VALUE(VLOOKUP(CONCATENATE(B18,$Z$8),Sheet1!G:J,4,0))),VLOOKUP(VALUE(VLOOKUP(CONCATENATE(B18,$Z$8),Sheet1!G:J,4,0)),Sheet3!C3:E10,3,1),IF(VLOOKUP(CONCATENATE(B18,$Z$8),Sheet1!G:J,4,0)="Ab","Ab",VLOOKUP(CONCATENATE(B18,$Z$8),Sheet1!G:J,4,0)))</f>
        <v>A</v>
      </c>
      <c r="H18" s="112"/>
      <c r="I18" s="113"/>
      <c r="J18" s="108" t="s">
        <v>48</v>
      </c>
      <c r="K18" s="109"/>
      <c r="L18" s="110"/>
      <c r="M18" s="111" t="str">
        <f>IF(ISNUMBER(VALUE(VLOOKUP(CONCATENATE(B18,$Z$8),Sheet1!G:J,3,0))),VLOOKUP(VALUE(VLOOKUP(CONCATENATE(B18,$Z$8),Sheet1!G:J,3,0)),Sheet3!C2:E11,3,1),IF(VLOOKUP(CONCATENATE(B18,$Z$8),Sheet1!G:J,3,0)="Ab","Ab",VLOOKUP(CONCATENATE(B18,$Z$8),Sheet1!G:J,3,0)))</f>
        <v>A</v>
      </c>
      <c r="N18" s="112"/>
      <c r="O18" s="113"/>
      <c r="P18" s="108" t="s">
        <v>48</v>
      </c>
      <c r="Q18" s="109"/>
      <c r="R18" s="110"/>
      <c r="S18" s="111" t="str">
        <f>IF(ISNUMBER(VALUE(VLOOKUP(CONCATENATE(B18,$Z$8),Sheet1!G:J,2,0))),VLOOKUP(VALUE(VLOOKUP(CONCATENATE(B18,$Z$8),Sheet1!G:J,2,0)),Sheet3!C2:E10,3,1),IF(VLOOKUP(CONCATENATE(B18,$Z$8),Sheet1!G:J,2,0)="Ab","Ab",VLOOKUP(CONCATENATE(B18,$Z$8),Sheet1!G:J,2,0)))</f>
        <v>A</v>
      </c>
      <c r="T18" s="112"/>
      <c r="U18" s="113"/>
      <c r="V18" s="56"/>
      <c r="W18" s="57"/>
      <c r="X18" s="21"/>
      <c r="Y18" s="58"/>
      <c r="Z18" s="23"/>
      <c r="AA18" s="65"/>
      <c r="AB18" s="103" t="s">
        <v>118</v>
      </c>
      <c r="AC18" s="104"/>
      <c r="AD18" s="6"/>
    </row>
    <row r="19" spans="1:30" s="5" customFormat="1" ht="21" customHeight="1" thickBot="1">
      <c r="A19" s="4"/>
      <c r="B19" s="285" t="s">
        <v>38</v>
      </c>
      <c r="C19" s="286"/>
      <c r="D19" s="284" t="s">
        <v>48</v>
      </c>
      <c r="E19" s="109"/>
      <c r="F19" s="110"/>
      <c r="G19" s="111" t="str">
        <f>IF(ISNUMBER(VALUE(VLOOKUP(CONCATENATE(B19,$Z$8),Sheet1!G:J,4,0))),VLOOKUP(VALUE(VLOOKUP(CONCATENATE(B19,$Z$8),Sheet1!G:J,4,0)),Sheet3!C1:E11,3,1),IF(VLOOKUP(CONCATENATE(B19,$Z$8),Sheet1!G:J,4,0)="Ab","Ab",VLOOKUP(CONCATENATE(B19,$Z$8),Sheet1!G:J,4,0)))</f>
        <v>C</v>
      </c>
      <c r="H19" s="112"/>
      <c r="I19" s="113"/>
      <c r="J19" s="108" t="s">
        <v>48</v>
      </c>
      <c r="K19" s="109"/>
      <c r="L19" s="110"/>
      <c r="M19" s="111" t="str">
        <f>IF(ISNUMBER(VALUE(VLOOKUP(CONCATENATE(B19,$Z$8),Sheet1!G:J,3,0))),VLOOKUP(VALUE(VLOOKUP(CONCATENATE(B19,$Z$8),Sheet1!G:J,3,0)),Sheet3!C3:E12,3,1),IF(VLOOKUP(CONCATENATE(B19,$Z$8),Sheet1!G:J,3,0)="Ab","Ab",VLOOKUP(CONCATENATE(B19,$Z$8),Sheet1!G:J,3,0)))</f>
        <v>A</v>
      </c>
      <c r="N19" s="112"/>
      <c r="O19" s="113"/>
      <c r="P19" s="108" t="s">
        <v>48</v>
      </c>
      <c r="Q19" s="109"/>
      <c r="R19" s="110"/>
      <c r="S19" s="111" t="str">
        <f>IF(ISNUMBER(VALUE(VLOOKUP(CONCATENATE(B19,$Z$8),Sheet1!G:J,2,0))),VLOOKUP(VALUE(VLOOKUP(CONCATENATE(B19,$Z$8),Sheet1!G:J,2,0)),Sheet3!C3:E11,3,1),IF(VLOOKUP(CONCATENATE(B19,$Z$8),Sheet1!G:J,2,0)="Ab","Ab",VLOOKUP(CONCATENATE(B19,$Z$8),Sheet1!G:J,2,0)))</f>
        <v>A</v>
      </c>
      <c r="T19" s="112"/>
      <c r="U19" s="113"/>
      <c r="V19" s="52"/>
      <c r="W19" s="21"/>
      <c r="X19" s="21"/>
      <c r="Y19" s="22"/>
      <c r="Z19" s="23"/>
      <c r="AA19" s="65"/>
      <c r="AB19" s="67" t="s">
        <v>150</v>
      </c>
      <c r="AC19" s="68">
        <f>Y16</f>
        <v>109.45</v>
      </c>
      <c r="AD19" s="6"/>
    </row>
    <row r="20" spans="1:30" s="5" customFormat="1" ht="19.5" customHeight="1" thickBot="1">
      <c r="A20" s="4"/>
      <c r="B20" s="280" t="s">
        <v>39</v>
      </c>
      <c r="C20" s="281"/>
      <c r="D20" s="117" t="str">
        <f>IF(VALUE(LEFT(ROUND((G16/D16)*100,2)&amp;"%",LEN(ROUND((G16/D16)*100,2)&amp;"%")-1)) &gt; 0, VALUE(LEFT(ROUND((G16/D16)*100,2)&amp;"%",LEN(ROUND((G16/D16)*100,2)&amp;"%")-1))&amp;"%", "")</f>
        <v>39.5%</v>
      </c>
      <c r="E20" s="118"/>
      <c r="F20" s="118"/>
      <c r="G20" s="118"/>
      <c r="H20" s="118"/>
      <c r="I20" s="119"/>
      <c r="J20" s="117" t="str">
        <f>IF(VALUE(LEFT(ROUND((M16/J16)*100,2)&amp;"%",LEN(ROUND((M16/J16)*100,2)&amp;"%")-1)) &gt; 0, VALUE(LEFT(ROUND((M16/J16)*100,2)&amp;"%",LEN(ROUND((M16/J16)*100,2)&amp;"%")-1))&amp;"%", "")</f>
        <v>29%</v>
      </c>
      <c r="K20" s="118"/>
      <c r="L20" s="118"/>
      <c r="M20" s="118"/>
      <c r="N20" s="118"/>
      <c r="O20" s="119"/>
      <c r="P20" s="117" t="str">
        <f>IF(VALUE(LEFT(ROUND((S16/P16)*100,2)&amp;"%",LEN(ROUND((S16/P16)*100,2)&amp;"%")-1)) &gt; 0, VALUE(LEFT(ROUND((S16/P16)*100,2)&amp;"%",LEN(ROUND((S16/P16)*100,2)&amp;"%")-1))&amp;"%", "")</f>
        <v>57%</v>
      </c>
      <c r="Q20" s="118"/>
      <c r="R20" s="118"/>
      <c r="S20" s="118"/>
      <c r="T20" s="118"/>
      <c r="U20" s="119"/>
      <c r="V20" s="51"/>
      <c r="W20" s="53"/>
      <c r="X20" s="151" t="str">
        <f>ROUND((Y16/(D16*V17 + J16*W17 + P16*X17))*100,2)&amp;"%"</f>
        <v>54.73%</v>
      </c>
      <c r="Y20" s="152"/>
      <c r="Z20" s="136"/>
      <c r="AA20" s="136"/>
      <c r="AB20" s="82" t="s">
        <v>149</v>
      </c>
      <c r="AC20" s="69" t="str">
        <f>X20</f>
        <v>54.73%</v>
      </c>
      <c r="AD20" s="6"/>
    </row>
    <row r="21" spans="1:30" s="5" customFormat="1" ht="24" customHeight="1" thickBot="1">
      <c r="A21" s="4"/>
      <c r="B21" s="282" t="s">
        <v>40</v>
      </c>
      <c r="C21" s="283"/>
      <c r="D21" s="156" t="str">
        <f>IF(D20="","",VLOOKUP(VALUE(LEFT(D20,LEN(D20)-1)),Sheet3!$I$2:$K$5,3,1))</f>
        <v>Third</v>
      </c>
      <c r="E21" s="157"/>
      <c r="F21" s="157"/>
      <c r="G21" s="157"/>
      <c r="H21" s="157"/>
      <c r="I21" s="158"/>
      <c r="J21" s="156" t="str">
        <f>IF(J20="","",VLOOKUP(VALUE(LEFT(J20,LEN(J20)-1)),Sheet3!$I$2:$K$5,3,1))</f>
        <v>Fail</v>
      </c>
      <c r="K21" s="157"/>
      <c r="L21" s="157"/>
      <c r="M21" s="157"/>
      <c r="N21" s="157"/>
      <c r="O21" s="158"/>
      <c r="P21" s="156" t="str">
        <f>IF(P20="","",VLOOKUP(VALUE(LEFT(P20,LEN(P20)-1)),Sheet3!$W$2:$Y$5,3,1))</f>
        <v>Second</v>
      </c>
      <c r="Q21" s="157"/>
      <c r="R21" s="157"/>
      <c r="S21" s="157"/>
      <c r="T21" s="157"/>
      <c r="U21" s="158"/>
      <c r="V21" s="129"/>
      <c r="W21" s="130"/>
      <c r="X21" s="129"/>
      <c r="Y21" s="130"/>
      <c r="Z21" s="105"/>
      <c r="AA21" s="106"/>
      <c r="AB21" s="103" t="s">
        <v>144</v>
      </c>
      <c r="AC21" s="104"/>
      <c r="AD21" s="6"/>
    </row>
    <row r="22" spans="1:30" s="5" customFormat="1" ht="22.5" customHeight="1" thickBot="1">
      <c r="A22" s="4"/>
      <c r="B22" s="282" t="s">
        <v>41</v>
      </c>
      <c r="C22" s="283"/>
      <c r="D22" s="156" t="str">
        <f>IF(D20="","",IF(VALUE(LEFT(D20,LEN(D20)-1))&lt;33,"Failed",IF(VALUE(SUBSTITUTE(G12,"*",""))&gt;16,IF(VALUE(SUBSTITUTE(G13,"*",""))&gt;16,IF(VALUE(SUBSTITUTE(G14,"*",""))&gt;16,IF(VALUE(SUBSTITUTE(G15,"*",""))&gt;16,"Passed","Failed"),"Failed"),"Failed"),"Failed")))</f>
        <v>Failed</v>
      </c>
      <c r="E22" s="157"/>
      <c r="F22" s="157"/>
      <c r="G22" s="157"/>
      <c r="H22" s="157"/>
      <c r="I22" s="158"/>
      <c r="J22" s="156" t="str">
        <f>IF(J20="","",IF(VALUE(LEFT(J20,LEN(J20)-1))&lt;33,"Failed",IF(VALUE(SUBSTITUTE(SUBSTITUTE(M12,"Ab",0),"*",""))&gt;16,IF(VALUE(SUBSTITUTE(SUBSTITUTE(M13,"Ab",0),"*",""))&gt;16,IF(VALUE(SUBSTITUTE(SUBSTITUTE(M14,"Ab",0),"*",""))&gt;16,IF(VALUE(SUBSTITUTE(SUBSTITUTE(M15,"Ab",0),"*",""))&gt;16,"Passed","Failed"),"Failed"),"Failed"),"Failed")))</f>
        <v>Failed</v>
      </c>
      <c r="K22" s="157"/>
      <c r="L22" s="157"/>
      <c r="M22" s="157"/>
      <c r="N22" s="157"/>
      <c r="O22" s="158"/>
      <c r="P22" s="156" t="str">
        <f>IF(P20="","",IF(VALUE(LEFT(P20,LEN(P20)-1))&lt;33,"Failed",IF(VALUE(SUBSTITUTE(SUBSTITUTE(SUBSTITUTE(SUBSTITUTE(S12,"-",0),"*",""),IF(ISNUMBER(SEARCH("+",S12)),RIGHT(S12,2),""),""),"Ab",0))&gt;16,IF(VALUE(SUBSTITUTE(SUBSTITUTE(SUBSTITUTE(SUBSTITUTE(S13,"-",0),"*",""),IF(ISNUMBER(SEARCH("+",S13)),RIGHT(S13,2),""),""),"Ab",0))&gt;16,IF(VALUE(SUBSTITUTE(SUBSTITUTE(SUBSTITUTE(SUBSTITUTE(S14,"-",0),"*",""),IF(ISNUMBER(SEARCH("+",S14)),RIGHT(S14,2),""),""),"Ab",0))&gt;16,IF(VALUE(SUBSTITUTE(SUBSTITUTE(SUBSTITUTE(SUBSTITUTE(S15,"-",0),"*",""),IF(ISNUMBER(SEARCH("+",S15)),RIGHT(S15,2),""),""),"Ab",0))&gt;16,"Passed","Failed"),"Failed"),"Failed"),"Failed")))</f>
        <v>Passed</v>
      </c>
      <c r="Q22" s="157"/>
      <c r="R22" s="157"/>
      <c r="S22" s="157"/>
      <c r="T22" s="157"/>
      <c r="U22" s="158"/>
      <c r="V22" s="105"/>
      <c r="W22" s="131"/>
      <c r="X22" s="105"/>
      <c r="Y22" s="131"/>
      <c r="Z22" s="105"/>
      <c r="AA22" s="106"/>
      <c r="AB22" s="70" t="s">
        <v>148</v>
      </c>
      <c r="AC22" s="73" t="str">
        <f>IF((VALUE(VLOOKUP(Z8,Sheet1!1:1048576,32,0)) &gt; 0), IF((VALUE(VLOOKUP(Z8,Sheet1!1:1048576,32,0)) &lt; 3), IF(COUNTIF(S12:U15,"*+*")&gt;1, P22, IF(COUNTIF(S12:U15,"*~**")&lt;=2, "Supplimentry", P22)), P22), P22)</f>
        <v>Passed</v>
      </c>
      <c r="AD22" s="6"/>
    </row>
    <row r="23" spans="1:30" s="5" customFormat="1" ht="21.75" customHeight="1" thickBot="1">
      <c r="A23" s="4"/>
      <c r="B23" s="282" t="s">
        <v>42</v>
      </c>
      <c r="C23" s="283"/>
      <c r="D23" s="159"/>
      <c r="E23" s="160"/>
      <c r="F23" s="160"/>
      <c r="G23" s="160"/>
      <c r="H23" s="160"/>
      <c r="I23" s="161"/>
      <c r="J23" s="159"/>
      <c r="K23" s="160"/>
      <c r="L23" s="160"/>
      <c r="M23" s="160"/>
      <c r="N23" s="160"/>
      <c r="O23" s="161"/>
      <c r="P23" s="159"/>
      <c r="Q23" s="160"/>
      <c r="R23" s="160"/>
      <c r="S23" s="160"/>
      <c r="T23" s="160"/>
      <c r="U23" s="161"/>
      <c r="V23" s="105"/>
      <c r="W23" s="131"/>
      <c r="X23" s="105"/>
      <c r="Y23" s="131"/>
      <c r="Z23" s="105"/>
      <c r="AA23" s="106"/>
      <c r="AB23" s="82" t="s">
        <v>149</v>
      </c>
      <c r="AC23" s="71" t="str">
        <f>P20</f>
        <v>57%</v>
      </c>
      <c r="AD23" s="6"/>
    </row>
    <row r="24" spans="1:30" s="5" customFormat="1" ht="19.5" customHeight="1" thickBot="1">
      <c r="A24" s="4"/>
      <c r="B24" s="282" t="s">
        <v>43</v>
      </c>
      <c r="C24" s="283"/>
      <c r="D24" s="153" t="str">
        <f>VLOOKUP(Z8,Sheet1!1:1048576,22,0)&amp;"/"&amp;VLOOKUP(Z8,Sheet1!1:1048576,23,0)</f>
        <v>59/83</v>
      </c>
      <c r="E24" s="154"/>
      <c r="F24" s="154"/>
      <c r="G24" s="154"/>
      <c r="H24" s="154"/>
      <c r="I24" s="155"/>
      <c r="J24" s="153" t="str">
        <f>VLOOKUP(Z8,Sheet1!1:1048576,25,0)&amp;"/"&amp;VLOOKUP(Z8,Sheet1!1:1048576,24,0)</f>
        <v>95/123</v>
      </c>
      <c r="K24" s="154"/>
      <c r="L24" s="154"/>
      <c r="M24" s="154"/>
      <c r="N24" s="154"/>
      <c r="O24" s="155"/>
      <c r="P24" s="156" t="str">
        <f>VLOOKUP(Z8,Sheet1!1:1048576,27,0)&amp;"/"&amp;VLOOKUP(Z8,Sheet1!1:1048576,26,0)</f>
        <v>159/196</v>
      </c>
      <c r="Q24" s="157"/>
      <c r="R24" s="157"/>
      <c r="S24" s="157"/>
      <c r="T24" s="157"/>
      <c r="U24" s="158"/>
      <c r="V24" s="105"/>
      <c r="W24" s="131"/>
      <c r="X24" s="105"/>
      <c r="Y24" s="131"/>
      <c r="Z24" s="105"/>
      <c r="AA24" s="106"/>
      <c r="AB24" s="97" t="s">
        <v>145</v>
      </c>
      <c r="AC24" s="98"/>
      <c r="AD24" s="6"/>
    </row>
    <row r="25" spans="1:30" s="5" customFormat="1" ht="20.25" customHeight="1" thickBot="1">
      <c r="A25" s="4"/>
      <c r="B25" s="282" t="s">
        <v>44</v>
      </c>
      <c r="C25" s="283"/>
      <c r="D25" s="159"/>
      <c r="E25" s="160"/>
      <c r="F25" s="160"/>
      <c r="G25" s="160"/>
      <c r="H25" s="160"/>
      <c r="I25" s="161"/>
      <c r="J25" s="159"/>
      <c r="K25" s="160"/>
      <c r="L25" s="160"/>
      <c r="M25" s="160"/>
      <c r="N25" s="160"/>
      <c r="O25" s="161"/>
      <c r="P25" s="159"/>
      <c r="Q25" s="160"/>
      <c r="R25" s="160"/>
      <c r="S25" s="160"/>
      <c r="T25" s="160"/>
      <c r="U25" s="161"/>
      <c r="V25" s="105"/>
      <c r="W25" s="131"/>
      <c r="X25" s="105"/>
      <c r="Y25" s="131"/>
      <c r="Z25" s="105"/>
      <c r="AA25" s="106"/>
      <c r="AB25" s="270" t="s">
        <v>46</v>
      </c>
      <c r="AC25" s="277"/>
      <c r="AD25" s="6"/>
    </row>
    <row r="26" spans="1:30" s="5" customFormat="1" ht="21" customHeight="1" thickBot="1">
      <c r="A26" s="4"/>
      <c r="B26" s="282" t="s">
        <v>45</v>
      </c>
      <c r="C26" s="283"/>
      <c r="D26" s="105"/>
      <c r="E26" s="106"/>
      <c r="F26" s="106"/>
      <c r="G26" s="106"/>
      <c r="H26" s="106"/>
      <c r="I26" s="131"/>
      <c r="J26" s="105"/>
      <c r="K26" s="106"/>
      <c r="L26" s="106"/>
      <c r="M26" s="106"/>
      <c r="N26" s="106"/>
      <c r="O26" s="131"/>
      <c r="P26" s="105"/>
      <c r="Q26" s="106"/>
      <c r="R26" s="106"/>
      <c r="S26" s="106"/>
      <c r="T26" s="106"/>
      <c r="U26" s="131"/>
      <c r="V26" s="105"/>
      <c r="W26" s="131"/>
      <c r="X26" s="105"/>
      <c r="Y26" s="131"/>
      <c r="Z26" s="105"/>
      <c r="AA26" s="106"/>
      <c r="AB26" s="278"/>
      <c r="AC26" s="279"/>
      <c r="AD26" s="6"/>
    </row>
    <row r="27" spans="1:30" s="5" customFormat="1" ht="15" customHeight="1">
      <c r="A27" s="4"/>
      <c r="B27" s="256" t="s">
        <v>143</v>
      </c>
      <c r="C27" s="257"/>
      <c r="D27" s="257"/>
      <c r="E27" s="257"/>
      <c r="F27" s="2"/>
      <c r="G27" s="260" t="s">
        <v>10</v>
      </c>
      <c r="H27" s="260"/>
      <c r="I27" s="260"/>
      <c r="J27" s="260"/>
      <c r="K27" s="260"/>
      <c r="L27" s="260"/>
      <c r="M27" s="260"/>
      <c r="N27" s="260"/>
      <c r="O27" s="260"/>
      <c r="P27" s="260"/>
      <c r="Q27" s="2"/>
      <c r="R27" s="2"/>
      <c r="S27" s="262" t="s">
        <v>11</v>
      </c>
      <c r="T27" s="262"/>
      <c r="U27" s="262"/>
      <c r="V27" s="262"/>
      <c r="W27" s="262"/>
      <c r="X27" s="262"/>
      <c r="Y27" s="30"/>
      <c r="Z27" s="30"/>
      <c r="AA27" s="31"/>
      <c r="AB27" s="272" t="s">
        <v>107</v>
      </c>
      <c r="AC27" s="273"/>
      <c r="AD27" s="6"/>
    </row>
    <row r="28" spans="1:30" s="5" customFormat="1" ht="15.75" customHeight="1" thickBot="1">
      <c r="A28" s="4"/>
      <c r="B28" s="258"/>
      <c r="C28" s="259"/>
      <c r="D28" s="259"/>
      <c r="E28" s="259"/>
      <c r="F28" s="8"/>
      <c r="G28" s="261"/>
      <c r="H28" s="261"/>
      <c r="I28" s="261"/>
      <c r="J28" s="261"/>
      <c r="K28" s="261"/>
      <c r="L28" s="261"/>
      <c r="M28" s="261"/>
      <c r="N28" s="261"/>
      <c r="O28" s="261"/>
      <c r="P28" s="261"/>
      <c r="Q28" s="8"/>
      <c r="R28" s="8"/>
      <c r="S28" s="263"/>
      <c r="T28" s="263"/>
      <c r="U28" s="263"/>
      <c r="V28" s="263"/>
      <c r="W28" s="263"/>
      <c r="X28" s="263"/>
      <c r="Y28" s="24"/>
      <c r="Z28" s="24"/>
      <c r="AA28" s="32"/>
      <c r="AB28" s="251"/>
      <c r="AC28" s="274"/>
      <c r="AD28" s="6"/>
    </row>
    <row r="29" spans="1:30" s="5" customFormat="1" ht="21" customHeight="1" thickBot="1">
      <c r="A29" s="4"/>
      <c r="B29" s="264" t="s">
        <v>47</v>
      </c>
      <c r="C29" s="265"/>
      <c r="D29" s="265"/>
      <c r="E29" s="265"/>
      <c r="F29" s="265"/>
      <c r="G29" s="265"/>
      <c r="H29" s="265"/>
      <c r="I29" s="265"/>
      <c r="J29" s="265"/>
      <c r="K29" s="265"/>
      <c r="L29" s="265"/>
      <c r="M29" s="265"/>
      <c r="N29" s="265"/>
      <c r="O29" s="265"/>
      <c r="P29" s="265"/>
      <c r="Q29" s="26"/>
      <c r="R29" s="26"/>
      <c r="S29" s="26"/>
      <c r="T29" s="26"/>
      <c r="U29" s="26"/>
      <c r="V29" s="26"/>
      <c r="W29" s="26"/>
      <c r="X29" s="33"/>
      <c r="Y29" s="33"/>
      <c r="Z29" s="55"/>
      <c r="AA29" s="34"/>
      <c r="AB29" s="275"/>
      <c r="AC29" s="276"/>
      <c r="AD29" s="6"/>
    </row>
    <row r="30" spans="1:30" s="5" customFormat="1" ht="7.5" customHeight="1" thickBot="1">
      <c r="A30" s="7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9"/>
    </row>
    <row r="31" spans="1:30" s="5" customFormat="1" ht="15"/>
    <row r="32" spans="1:30" s="5" customFormat="1" ht="15"/>
    <row r="33" spans="2:30" s="5" customFormat="1" ht="15"/>
    <row r="34" spans="2:30" s="5" customFormat="1" ht="15"/>
    <row r="35" spans="2:30" s="5" customFormat="1" ht="15"/>
    <row r="36" spans="2:30" s="5" customFormat="1" ht="15.75" thickBot="1"/>
    <row r="37" spans="2:30" ht="15"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V37" s="39"/>
      <c r="W37" s="40"/>
      <c r="X37" s="40"/>
      <c r="Y37" s="40"/>
      <c r="Z37" s="40"/>
      <c r="AA37" s="40"/>
      <c r="AB37" s="40"/>
      <c r="AC37" s="40"/>
      <c r="AD37" s="41"/>
    </row>
    <row r="38" spans="2:30" ht="15.75" customHeight="1">
      <c r="V38" s="249" t="s">
        <v>71</v>
      </c>
      <c r="W38" s="250"/>
      <c r="X38" s="250"/>
      <c r="Y38" s="250"/>
      <c r="Z38" s="250"/>
      <c r="AA38" s="250"/>
      <c r="AB38" s="250"/>
      <c r="AC38" s="250"/>
      <c r="AD38" s="43"/>
    </row>
    <row r="39" spans="2:30" ht="12.75" customHeight="1">
      <c r="D39" s="255" t="s">
        <v>49</v>
      </c>
      <c r="E39" s="255"/>
      <c r="F39" s="255"/>
      <c r="G39" s="255"/>
      <c r="H39" s="255"/>
      <c r="I39" s="255"/>
      <c r="J39" s="255"/>
      <c r="K39" s="255"/>
      <c r="V39" s="249"/>
      <c r="W39" s="250"/>
      <c r="X39" s="250"/>
      <c r="Y39" s="250"/>
      <c r="Z39" s="250"/>
      <c r="AA39" s="250"/>
      <c r="AB39" s="250"/>
      <c r="AC39" s="250"/>
      <c r="AD39" s="43"/>
    </row>
    <row r="40" spans="2:30" ht="12.75" customHeight="1">
      <c r="V40" s="247" t="s">
        <v>72</v>
      </c>
      <c r="W40" s="248"/>
      <c r="X40" s="248"/>
      <c r="Y40" s="248"/>
      <c r="Z40" s="248"/>
      <c r="AA40" s="248"/>
      <c r="AB40" s="248"/>
      <c r="AC40" s="248"/>
      <c r="AD40" s="43"/>
    </row>
    <row r="41" spans="2:30" ht="12.75" customHeight="1">
      <c r="B41" s="83" t="s">
        <v>151</v>
      </c>
      <c r="C41" s="38" t="s">
        <v>50</v>
      </c>
      <c r="V41" s="247"/>
      <c r="W41" s="248"/>
      <c r="X41" s="248"/>
      <c r="Y41" s="248"/>
      <c r="Z41" s="248"/>
      <c r="AA41" s="248"/>
      <c r="AB41" s="248"/>
      <c r="AC41" s="248"/>
      <c r="AD41" s="43"/>
    </row>
    <row r="42" spans="2:30">
      <c r="C42" s="38" t="s">
        <v>51</v>
      </c>
      <c r="V42" s="251" t="s">
        <v>17</v>
      </c>
      <c r="W42" s="252"/>
      <c r="X42" s="252"/>
      <c r="Y42" s="252"/>
      <c r="Z42" s="252"/>
      <c r="AA42" s="252"/>
      <c r="AB42" s="252"/>
      <c r="AC42" s="252"/>
      <c r="AD42" s="43"/>
    </row>
    <row r="43" spans="2:30">
      <c r="C43" s="38"/>
      <c r="V43" s="253" t="s">
        <v>116</v>
      </c>
      <c r="W43" s="254"/>
      <c r="X43" s="254"/>
      <c r="Y43" s="254"/>
      <c r="Z43" s="254"/>
      <c r="AA43" s="254"/>
      <c r="AB43" s="254"/>
      <c r="AC43" s="254"/>
      <c r="AD43" s="43"/>
    </row>
    <row r="44" spans="2:30">
      <c r="B44" s="83" t="s">
        <v>152</v>
      </c>
      <c r="C44" s="38" t="s">
        <v>52</v>
      </c>
      <c r="V44" s="253" t="s">
        <v>73</v>
      </c>
      <c r="W44" s="254"/>
      <c r="X44" s="254"/>
      <c r="Y44" s="254"/>
      <c r="Z44" s="254"/>
      <c r="AA44" s="254"/>
      <c r="AB44" s="254"/>
      <c r="AC44" s="254"/>
      <c r="AD44" s="43"/>
    </row>
    <row r="45" spans="2:30">
      <c r="B45" s="61"/>
      <c r="V45" s="253" t="s">
        <v>130</v>
      </c>
      <c r="W45" s="254"/>
      <c r="X45" s="254"/>
      <c r="Y45" s="254"/>
      <c r="Z45" s="254"/>
      <c r="AA45" s="254"/>
      <c r="AB45" s="254"/>
      <c r="AC45" s="254"/>
      <c r="AD45" s="43"/>
    </row>
    <row r="46" spans="2:30">
      <c r="B46" s="83" t="s">
        <v>153</v>
      </c>
      <c r="C46" s="38" t="s">
        <v>53</v>
      </c>
      <c r="V46" s="266" t="s">
        <v>74</v>
      </c>
      <c r="W46" s="267"/>
      <c r="X46" s="267"/>
      <c r="Y46" s="267"/>
      <c r="Z46" s="267"/>
      <c r="AA46" s="267"/>
      <c r="AB46" s="267"/>
      <c r="AC46" s="267"/>
      <c r="AD46" s="43"/>
    </row>
    <row r="47" spans="2:30">
      <c r="B47" s="61"/>
      <c r="C47" s="38" t="s">
        <v>54</v>
      </c>
      <c r="V47" s="268" t="s">
        <v>131</v>
      </c>
      <c r="W47" s="269"/>
      <c r="X47" s="269"/>
      <c r="Y47" s="269"/>
      <c r="Z47" s="269"/>
      <c r="AA47" s="269"/>
      <c r="AB47" s="269"/>
      <c r="AC47" s="269"/>
      <c r="AD47" s="43"/>
    </row>
    <row r="48" spans="2:30">
      <c r="B48" s="61"/>
      <c r="V48" s="270"/>
      <c r="W48" s="271"/>
      <c r="X48" s="271"/>
      <c r="Y48" s="271"/>
      <c r="Z48" s="271"/>
      <c r="AA48" s="271"/>
      <c r="AB48" s="271"/>
      <c r="AC48" s="271"/>
      <c r="AD48" s="43"/>
    </row>
    <row r="49" spans="2:30">
      <c r="B49" s="83" t="s">
        <v>154</v>
      </c>
      <c r="C49" s="38" t="s">
        <v>55</v>
      </c>
      <c r="V49" s="270"/>
      <c r="W49" s="271"/>
      <c r="X49" s="271"/>
      <c r="Y49" s="271"/>
      <c r="Z49" s="271"/>
      <c r="AA49" s="271"/>
      <c r="AB49" s="271"/>
      <c r="AC49" s="271"/>
      <c r="AD49" s="43"/>
    </row>
    <row r="50" spans="2:30">
      <c r="C50" s="38" t="s">
        <v>56</v>
      </c>
      <c r="V50" s="270"/>
      <c r="W50" s="271"/>
      <c r="X50" s="271"/>
      <c r="Y50" s="271"/>
      <c r="Z50" s="271"/>
      <c r="AA50" s="271"/>
      <c r="AB50" s="271"/>
      <c r="AC50" s="271"/>
      <c r="AD50" s="43"/>
    </row>
    <row r="51" spans="2:30">
      <c r="V51" s="270"/>
      <c r="W51" s="271"/>
      <c r="X51" s="271"/>
      <c r="Y51" s="271"/>
      <c r="Z51" s="271"/>
      <c r="AA51" s="271"/>
      <c r="AB51" s="271"/>
      <c r="AC51" s="271"/>
      <c r="AD51" s="43"/>
    </row>
    <row r="52" spans="2:30">
      <c r="B52" s="83" t="s">
        <v>155</v>
      </c>
      <c r="C52" s="38" t="s">
        <v>57</v>
      </c>
      <c r="V52" s="270"/>
      <c r="W52" s="271"/>
      <c r="X52" s="271"/>
      <c r="Y52" s="271"/>
      <c r="Z52" s="271"/>
      <c r="AA52" s="271"/>
      <c r="AB52" s="271"/>
      <c r="AC52" s="271"/>
      <c r="AD52" s="43"/>
    </row>
    <row r="53" spans="2:30">
      <c r="B53" s="61"/>
      <c r="V53" s="42"/>
      <c r="AD53" s="43"/>
    </row>
    <row r="54" spans="2:30">
      <c r="B54" s="83" t="s">
        <v>156</v>
      </c>
      <c r="C54" s="38" t="s">
        <v>59</v>
      </c>
      <c r="V54" s="42"/>
      <c r="X54" s="143" t="s">
        <v>119</v>
      </c>
      <c r="Y54" s="143"/>
      <c r="Z54" s="143"/>
      <c r="AA54" s="143"/>
      <c r="AB54" s="143"/>
      <c r="AD54" s="43"/>
    </row>
    <row r="55" spans="2:30">
      <c r="B55" s="61"/>
      <c r="C55" s="38" t="s">
        <v>58</v>
      </c>
      <c r="V55" s="42"/>
      <c r="AD55" s="43"/>
    </row>
    <row r="56" spans="2:30">
      <c r="B56" s="61"/>
      <c r="V56" s="42"/>
      <c r="X56" s="149"/>
      <c r="Y56" s="149"/>
      <c r="Z56" s="149"/>
      <c r="AA56" s="149"/>
      <c r="AB56" s="48"/>
      <c r="AD56" s="43"/>
    </row>
    <row r="57" spans="2:30" ht="12.75" customHeight="1">
      <c r="B57" s="83" t="s">
        <v>157</v>
      </c>
      <c r="C57" s="38" t="s">
        <v>161</v>
      </c>
      <c r="V57" s="42"/>
      <c r="W57" s="48"/>
      <c r="X57" s="149"/>
      <c r="Y57" s="149"/>
      <c r="Z57" s="149"/>
      <c r="AA57" s="149"/>
      <c r="AB57" s="48"/>
      <c r="AD57" s="43"/>
    </row>
    <row r="58" spans="2:30" ht="13.5" customHeight="1">
      <c r="B58" s="61"/>
      <c r="C58" s="38"/>
      <c r="V58" s="42"/>
      <c r="AD58" s="43"/>
    </row>
    <row r="59" spans="2:30" ht="15.75">
      <c r="B59" s="83" t="s">
        <v>158</v>
      </c>
      <c r="C59" s="38" t="s">
        <v>162</v>
      </c>
      <c r="V59" s="42"/>
      <c r="X59" s="245" t="str">
        <f>CONCATENATE("Year - ",V8)</f>
        <v>Year - 2025-2026</v>
      </c>
      <c r="Y59" s="245"/>
      <c r="Z59" s="245"/>
      <c r="AA59" s="245"/>
      <c r="AD59" s="43"/>
    </row>
    <row r="60" spans="2:30" ht="15" customHeight="1">
      <c r="B60" s="61"/>
      <c r="V60" s="42"/>
      <c r="X60" s="246" t="str">
        <f>CONCATENATE("Class - ",N8)</f>
        <v>Class -  IV</v>
      </c>
      <c r="Y60" s="246"/>
      <c r="Z60" s="246"/>
      <c r="AA60" s="246"/>
      <c r="AD60" s="43"/>
    </row>
    <row r="61" spans="2:30" ht="18.75" customHeight="1">
      <c r="B61" s="83" t="s">
        <v>159</v>
      </c>
      <c r="C61" s="38" t="s">
        <v>163</v>
      </c>
      <c r="V61" s="42"/>
      <c r="X61" s="50" t="s">
        <v>120</v>
      </c>
      <c r="Z61" s="143" t="str">
        <f>VLOOKUP(Z8,Sheet1!$A:$AT,11,0)</f>
        <v>211805</v>
      </c>
      <c r="AA61" s="143"/>
      <c r="AD61" s="43"/>
    </row>
    <row r="62" spans="2:30" ht="18.75" customHeight="1">
      <c r="B62" s="61"/>
      <c r="V62" s="42"/>
      <c r="X62" s="143" t="s">
        <v>121</v>
      </c>
      <c r="Y62" s="143"/>
      <c r="Z62" s="148" t="str">
        <f>C8</f>
        <v>VAISHNAVI YADAV</v>
      </c>
      <c r="AA62" s="148"/>
      <c r="AB62" s="148"/>
      <c r="AD62" s="43"/>
    </row>
    <row r="63" spans="2:30" ht="18.75" customHeight="1">
      <c r="B63" s="83" t="s">
        <v>160</v>
      </c>
      <c r="C63" s="38" t="s">
        <v>60</v>
      </c>
      <c r="V63" s="42"/>
      <c r="X63" s="143" t="s">
        <v>122</v>
      </c>
      <c r="Y63" s="143"/>
      <c r="Z63" s="145">
        <f>VLOOKUP(Z8,Sheet1!A:L,12,0)</f>
        <v>42272</v>
      </c>
      <c r="AA63" s="145"/>
      <c r="AB63" s="145"/>
      <c r="AD63" s="43"/>
    </row>
    <row r="64" spans="2:30" ht="18.75" customHeight="1">
      <c r="C64" s="38" t="s">
        <v>61</v>
      </c>
      <c r="V64" s="42"/>
      <c r="X64" s="143" t="s">
        <v>123</v>
      </c>
      <c r="Y64" s="143"/>
      <c r="Z64" s="146" t="str">
        <f>VLOOKUP(Z8,Sheet1!$A:$AT,16,0)</f>
        <v>SAHAB LAL YADAV</v>
      </c>
      <c r="AA64" s="146"/>
      <c r="AB64" s="146"/>
      <c r="AD64" s="43"/>
    </row>
    <row r="65" spans="3:30" ht="18.75" customHeight="1" thickBot="1">
      <c r="V65" s="42"/>
      <c r="X65" s="143" t="s">
        <v>124</v>
      </c>
      <c r="Y65" s="143"/>
      <c r="Z65" s="146" t="str">
        <f>VLOOKUP(Z8,Sheet1!$A:$AT,17,0)</f>
        <v>AASHA BAI YADAV</v>
      </c>
      <c r="AA65" s="146"/>
      <c r="AB65" s="146"/>
      <c r="AD65" s="43"/>
    </row>
    <row r="66" spans="3:30" ht="18.75" customHeight="1" thickBot="1">
      <c r="C66" s="47"/>
      <c r="D66" s="238" t="s">
        <v>40</v>
      </c>
      <c r="E66" s="238"/>
      <c r="F66" s="238"/>
      <c r="G66" s="238"/>
      <c r="H66" s="238" t="s">
        <v>62</v>
      </c>
      <c r="I66" s="238"/>
      <c r="J66" s="238"/>
      <c r="K66" s="238"/>
      <c r="L66" s="238"/>
      <c r="M66" s="239"/>
      <c r="V66" s="42"/>
      <c r="X66" s="143" t="s">
        <v>128</v>
      </c>
      <c r="Y66" s="143"/>
      <c r="Z66" s="146" t="str">
        <f>VLOOKUP(Z8,Sheet1!$A:$AT,21,0)</f>
        <v>OBC</v>
      </c>
      <c r="AA66" s="146"/>
      <c r="AB66" s="54"/>
      <c r="AD66" s="43"/>
    </row>
    <row r="67" spans="3:30" ht="33" customHeight="1">
      <c r="C67" s="42"/>
      <c r="D67" s="240" t="s">
        <v>63</v>
      </c>
      <c r="E67" s="240"/>
      <c r="F67" s="240"/>
      <c r="G67" s="240"/>
      <c r="H67" s="240" t="s">
        <v>67</v>
      </c>
      <c r="I67" s="240"/>
      <c r="J67" s="240"/>
      <c r="K67" s="240"/>
      <c r="L67" s="240"/>
      <c r="M67" s="241"/>
      <c r="V67" s="42"/>
      <c r="X67" s="144" t="s">
        <v>125</v>
      </c>
      <c r="Y67" s="144"/>
      <c r="Z67" s="150" t="str">
        <f>VLOOKUP(Z8,Sheet1!$A:$AT,14,0)</f>
        <v>AWADHPURI COLONY GWARIGHAT JABALPUR</v>
      </c>
      <c r="AA67" s="150"/>
      <c r="AB67" s="150"/>
      <c r="AC67" s="150"/>
      <c r="AD67" s="43"/>
    </row>
    <row r="68" spans="3:30" ht="18.75" customHeight="1">
      <c r="C68" s="42"/>
      <c r="D68" s="242" t="s">
        <v>64</v>
      </c>
      <c r="E68" s="242"/>
      <c r="F68" s="242"/>
      <c r="G68" s="242"/>
      <c r="H68" s="242" t="s">
        <v>68</v>
      </c>
      <c r="I68" s="242"/>
      <c r="J68" s="242"/>
      <c r="K68" s="242"/>
      <c r="L68" s="242"/>
      <c r="M68" s="243"/>
      <c r="V68" s="42"/>
      <c r="X68" s="143" t="s">
        <v>126</v>
      </c>
      <c r="Y68" s="143"/>
      <c r="Z68" s="147" t="str">
        <f>VLOOKUP(Z8,Sheet1!$A:$AT,18,0)</f>
        <v>232334865202</v>
      </c>
      <c r="AA68" s="146"/>
      <c r="AB68" s="146"/>
      <c r="AD68" s="43"/>
    </row>
    <row r="69" spans="3:30" ht="17.25" customHeight="1">
      <c r="C69" s="42"/>
      <c r="D69" s="242" t="s">
        <v>65</v>
      </c>
      <c r="E69" s="242"/>
      <c r="F69" s="242"/>
      <c r="G69" s="242"/>
      <c r="H69" s="242" t="s">
        <v>69</v>
      </c>
      <c r="I69" s="242"/>
      <c r="J69" s="242"/>
      <c r="K69" s="242"/>
      <c r="L69" s="242"/>
      <c r="M69" s="243"/>
      <c r="V69" s="42"/>
      <c r="X69" s="143" t="s">
        <v>127</v>
      </c>
      <c r="Y69" s="143"/>
      <c r="Z69" s="147" t="str">
        <f>VLOOKUP(Z8,Sheet1!$A:$AT,19,0)</f>
        <v>300706061</v>
      </c>
      <c r="AA69" s="146"/>
      <c r="AB69" s="146"/>
      <c r="AD69" s="43"/>
    </row>
    <row r="70" spans="3:30" ht="19.5" customHeight="1" thickBot="1">
      <c r="C70" s="44"/>
      <c r="D70" s="237" t="s">
        <v>66</v>
      </c>
      <c r="E70" s="237"/>
      <c r="F70" s="237"/>
      <c r="G70" s="237"/>
      <c r="H70" s="237" t="s">
        <v>70</v>
      </c>
      <c r="I70" s="237"/>
      <c r="J70" s="237"/>
      <c r="K70" s="237"/>
      <c r="L70" s="237"/>
      <c r="M70" s="244"/>
      <c r="V70" s="42"/>
      <c r="X70" s="49" t="s">
        <v>140</v>
      </c>
      <c r="Y70" s="37" t="str">
        <f>IF((VLOOKUP(Z8,Sheet1!$A:$AT,28,0))="","",VLOOKUP(Z8,Sheet1!$A:$AT,28,0)&amp;" cm")</f>
        <v>125 cm</v>
      </c>
      <c r="Z70" s="49" t="s">
        <v>141</v>
      </c>
      <c r="AA70" s="61"/>
      <c r="AB70" s="37" t="str">
        <f>IF((VLOOKUP(Z8,Sheet1!$A:$AT,29,0))="","",VLOOKUP(Z8,Sheet1!$A:$AT,29,0)&amp;" KG")</f>
        <v>23 KG</v>
      </c>
      <c r="AD70" s="43"/>
    </row>
    <row r="71" spans="3:30" ht="18.75" customHeight="1">
      <c r="V71" s="42"/>
      <c r="X71" s="50" t="s">
        <v>142</v>
      </c>
      <c r="Y71" s="37" t="str">
        <f>VLOOKUP(Z8,Sheet1!$A:$AT,30,0)</f>
        <v>6/6</v>
      </c>
      <c r="Z71" s="143" t="s">
        <v>129</v>
      </c>
      <c r="AA71" s="143"/>
      <c r="AB71" s="54" t="str">
        <f>VLOOKUP(Z8,Sheet1!$A:$AT,13,0)</f>
        <v>-</v>
      </c>
      <c r="AD71" s="43"/>
    </row>
    <row r="72" spans="3:30">
      <c r="V72" s="42"/>
      <c r="AD72" s="43"/>
    </row>
    <row r="73" spans="3:30" ht="13.5" thickBot="1">
      <c r="V73" s="44"/>
      <c r="W73" s="45"/>
      <c r="X73" s="45"/>
      <c r="Y73" s="45"/>
      <c r="Z73" s="45"/>
      <c r="AA73" s="45"/>
      <c r="AB73" s="45"/>
      <c r="AC73" s="45"/>
      <c r="AD73" s="46"/>
    </row>
  </sheetData>
  <mergeCells count="192">
    <mergeCell ref="B20:C20"/>
    <mergeCell ref="B21:C21"/>
    <mergeCell ref="B22:C22"/>
    <mergeCell ref="B23:C23"/>
    <mergeCell ref="B25:C25"/>
    <mergeCell ref="B26:C26"/>
    <mergeCell ref="P26:U26"/>
    <mergeCell ref="B24:C24"/>
    <mergeCell ref="B18:C18"/>
    <mergeCell ref="D19:F19"/>
    <mergeCell ref="D20:I20"/>
    <mergeCell ref="D21:I21"/>
    <mergeCell ref="D22:I22"/>
    <mergeCell ref="D23:I23"/>
    <mergeCell ref="D24:I24"/>
    <mergeCell ref="G19:I19"/>
    <mergeCell ref="S19:U19"/>
    <mergeCell ref="P19:R19"/>
    <mergeCell ref="B19:C19"/>
    <mergeCell ref="D18:F18"/>
    <mergeCell ref="G18:I18"/>
    <mergeCell ref="J18:L18"/>
    <mergeCell ref="M18:O18"/>
    <mergeCell ref="AB27:AC29"/>
    <mergeCell ref="X26:Y26"/>
    <mergeCell ref="V25:W25"/>
    <mergeCell ref="V26:W26"/>
    <mergeCell ref="J25:O25"/>
    <mergeCell ref="P25:U25"/>
    <mergeCell ref="J26:O26"/>
    <mergeCell ref="D25:I25"/>
    <mergeCell ref="D26:I26"/>
    <mergeCell ref="AB25:AC26"/>
    <mergeCell ref="V45:AC45"/>
    <mergeCell ref="V46:AC46"/>
    <mergeCell ref="V47:AC47"/>
    <mergeCell ref="V48:AC48"/>
    <mergeCell ref="V49:AC49"/>
    <mergeCell ref="V50:AC50"/>
    <mergeCell ref="V51:AC51"/>
    <mergeCell ref="V52:AC52"/>
    <mergeCell ref="X66:Y66"/>
    <mergeCell ref="Z66:AA66"/>
    <mergeCell ref="D12:F12"/>
    <mergeCell ref="G12:I12"/>
    <mergeCell ref="D70:G70"/>
    <mergeCell ref="H66:M66"/>
    <mergeCell ref="H67:M67"/>
    <mergeCell ref="H68:M68"/>
    <mergeCell ref="H69:M69"/>
    <mergeCell ref="H70:M70"/>
    <mergeCell ref="X59:AA59"/>
    <mergeCell ref="X60:AA60"/>
    <mergeCell ref="V40:AC41"/>
    <mergeCell ref="V38:AC39"/>
    <mergeCell ref="V42:AC42"/>
    <mergeCell ref="V43:AC43"/>
    <mergeCell ref="D39:K39"/>
    <mergeCell ref="D66:G66"/>
    <mergeCell ref="D67:G67"/>
    <mergeCell ref="D68:G68"/>
    <mergeCell ref="D69:G69"/>
    <mergeCell ref="B27:E28"/>
    <mergeCell ref="G27:P28"/>
    <mergeCell ref="S27:X28"/>
    <mergeCell ref="B29:P29"/>
    <mergeCell ref="V44:AC44"/>
    <mergeCell ref="O4:W6"/>
    <mergeCell ref="B9:C11"/>
    <mergeCell ref="J9:O9"/>
    <mergeCell ref="P9:U9"/>
    <mergeCell ref="J5:L5"/>
    <mergeCell ref="D9:I9"/>
    <mergeCell ref="K8:M8"/>
    <mergeCell ref="V10:V11"/>
    <mergeCell ref="W10:W11"/>
    <mergeCell ref="V9:Y9"/>
    <mergeCell ref="S10:U11"/>
    <mergeCell ref="X8:Y8"/>
    <mergeCell ref="V8:W8"/>
    <mergeCell ref="S8:T8"/>
    <mergeCell ref="N8:Q8"/>
    <mergeCell ref="X10:X11"/>
    <mergeCell ref="Y10:Y11"/>
    <mergeCell ref="D10:F11"/>
    <mergeCell ref="G10:I11"/>
    <mergeCell ref="J10:L11"/>
    <mergeCell ref="M10:O11"/>
    <mergeCell ref="J12:L12"/>
    <mergeCell ref="M12:O12"/>
    <mergeCell ref="J13:L13"/>
    <mergeCell ref="M13:O13"/>
    <mergeCell ref="G16:I16"/>
    <mergeCell ref="G17:I17"/>
    <mergeCell ref="B16:C16"/>
    <mergeCell ref="B17:C17"/>
    <mergeCell ref="D16:F16"/>
    <mergeCell ref="D17:F17"/>
    <mergeCell ref="B12:C12"/>
    <mergeCell ref="B13:C13"/>
    <mergeCell ref="B14:C14"/>
    <mergeCell ref="B15:C15"/>
    <mergeCell ref="J14:L14"/>
    <mergeCell ref="M14:O14"/>
    <mergeCell ref="J15:L15"/>
    <mergeCell ref="M15:O15"/>
    <mergeCell ref="G13:I13"/>
    <mergeCell ref="G14:I14"/>
    <mergeCell ref="G15:I15"/>
    <mergeCell ref="D13:F13"/>
    <mergeCell ref="D14:F14"/>
    <mergeCell ref="D15:F15"/>
    <mergeCell ref="AB12:AC12"/>
    <mergeCell ref="P12:R12"/>
    <mergeCell ref="S12:U12"/>
    <mergeCell ref="P13:R13"/>
    <mergeCell ref="S13:U13"/>
    <mergeCell ref="P14:R14"/>
    <mergeCell ref="P10:R11"/>
    <mergeCell ref="P18:R18"/>
    <mergeCell ref="S18:U18"/>
    <mergeCell ref="S15:U15"/>
    <mergeCell ref="P15:R15"/>
    <mergeCell ref="AB14:AC14"/>
    <mergeCell ref="AB16:AC16"/>
    <mergeCell ref="S14:U14"/>
    <mergeCell ref="X24:Y24"/>
    <mergeCell ref="X25:Y25"/>
    <mergeCell ref="V21:W21"/>
    <mergeCell ref="V22:W22"/>
    <mergeCell ref="V23:W23"/>
    <mergeCell ref="V24:W24"/>
    <mergeCell ref="X20:Y20"/>
    <mergeCell ref="J24:O24"/>
    <mergeCell ref="P24:U24"/>
    <mergeCell ref="J22:O22"/>
    <mergeCell ref="J21:O21"/>
    <mergeCell ref="P21:U21"/>
    <mergeCell ref="P22:U22"/>
    <mergeCell ref="J23:O23"/>
    <mergeCell ref="P23:U23"/>
    <mergeCell ref="Z71:AA71"/>
    <mergeCell ref="X54:AB54"/>
    <mergeCell ref="X67:Y67"/>
    <mergeCell ref="X68:Y68"/>
    <mergeCell ref="Z63:AB63"/>
    <mergeCell ref="Z64:AB64"/>
    <mergeCell ref="Z65:AB65"/>
    <mergeCell ref="Z68:AB68"/>
    <mergeCell ref="X69:Y69"/>
    <mergeCell ref="Z69:AB69"/>
    <mergeCell ref="Z61:AA61"/>
    <mergeCell ref="X62:Y62"/>
    <mergeCell ref="Z62:AB62"/>
    <mergeCell ref="X63:Y63"/>
    <mergeCell ref="X64:Y64"/>
    <mergeCell ref="X65:Y65"/>
    <mergeCell ref="X56:AA57"/>
    <mergeCell ref="Z67:AC67"/>
    <mergeCell ref="AA8:AC8"/>
    <mergeCell ref="J19:L19"/>
    <mergeCell ref="J17:L17"/>
    <mergeCell ref="J16:L16"/>
    <mergeCell ref="Z21:AA21"/>
    <mergeCell ref="Z22:AA22"/>
    <mergeCell ref="Z23:AA23"/>
    <mergeCell ref="J20:O20"/>
    <mergeCell ref="P20:U20"/>
    <mergeCell ref="P17:R17"/>
    <mergeCell ref="S17:U17"/>
    <mergeCell ref="P16:R16"/>
    <mergeCell ref="S16:U16"/>
    <mergeCell ref="M19:O19"/>
    <mergeCell ref="M16:O16"/>
    <mergeCell ref="M17:O17"/>
    <mergeCell ref="X21:Y21"/>
    <mergeCell ref="X22:Y22"/>
    <mergeCell ref="X23:Y23"/>
    <mergeCell ref="AB9:AC11"/>
    <mergeCell ref="Z20:AA20"/>
    <mergeCell ref="Z9:AA9"/>
    <mergeCell ref="Z10:Z11"/>
    <mergeCell ref="AA10:AA11"/>
    <mergeCell ref="AB24:AC24"/>
    <mergeCell ref="AB13:AC13"/>
    <mergeCell ref="AB15:AC15"/>
    <mergeCell ref="AB17:AC17"/>
    <mergeCell ref="AB21:AC21"/>
    <mergeCell ref="Z24:AA24"/>
    <mergeCell ref="Z25:AA25"/>
    <mergeCell ref="Z26:AA26"/>
    <mergeCell ref="AB18:AC18"/>
  </mergeCells>
  <conditionalFormatting sqref="G12:I15">
    <cfRule type="cellIs" dxfId="3" priority="20" operator="between">
      <formula>38</formula>
      <formula>50</formula>
    </cfRule>
  </conditionalFormatting>
  <conditionalFormatting sqref="M12:O15">
    <cfRule type="cellIs" dxfId="2" priority="7" operator="between">
      <formula>38</formula>
      <formula>50</formula>
    </cfRule>
  </conditionalFormatting>
  <conditionalFormatting sqref="S12:U15">
    <cfRule type="cellIs" dxfId="1" priority="3" operator="between">
      <formula>38</formula>
      <formula>50</formula>
    </cfRule>
  </conditionalFormatting>
  <pageMargins left="0.75" right="0" top="1.115" bottom="0" header="0.3" footer="0"/>
  <pageSetup scale="84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Please Select Roll No" xr:uid="{00000000-0002-0000-0100-000000000000}">
          <x14:formula1>
            <xm:f>Sheet1!$A:$A</xm:f>
          </x14:formula1>
          <xm:sqref>Z8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Y9"/>
  <sheetViews>
    <sheetView topLeftCell="B1" workbookViewId="0">
      <selection activeCell="K3" sqref="K3"/>
    </sheetView>
  </sheetViews>
  <sheetFormatPr defaultRowHeight="15"/>
  <cols>
    <col min="1" max="1" width="21.42578125" bestFit="1" customWidth="1"/>
    <col min="2" max="2" width="23.42578125" bestFit="1" customWidth="1"/>
    <col min="6" max="6" width="10.5703125" bestFit="1" customWidth="1"/>
    <col min="7" max="7" width="22" bestFit="1" customWidth="1"/>
    <col min="9" max="9" width="11" bestFit="1" customWidth="1"/>
    <col min="10" max="10" width="11" customWidth="1"/>
    <col min="20" max="20" width="13.85546875" bestFit="1" customWidth="1"/>
  </cols>
  <sheetData>
    <row r="1" spans="1:25">
      <c r="A1" t="s">
        <v>4</v>
      </c>
      <c r="B1" t="s">
        <v>4</v>
      </c>
      <c r="C1" t="s">
        <v>95</v>
      </c>
      <c r="D1" t="s">
        <v>96</v>
      </c>
      <c r="E1" t="s">
        <v>97</v>
      </c>
      <c r="F1" t="s">
        <v>86</v>
      </c>
      <c r="G1" t="s">
        <v>20</v>
      </c>
      <c r="I1" t="s">
        <v>94</v>
      </c>
      <c r="J1" t="s">
        <v>93</v>
      </c>
      <c r="K1" t="s">
        <v>92</v>
      </c>
      <c r="N1" t="s">
        <v>94</v>
      </c>
      <c r="O1" t="s">
        <v>93</v>
      </c>
      <c r="P1" t="s">
        <v>30</v>
      </c>
      <c r="R1" t="s">
        <v>94</v>
      </c>
      <c r="S1" t="s">
        <v>93</v>
      </c>
      <c r="T1" t="s">
        <v>30</v>
      </c>
      <c r="W1" t="s">
        <v>94</v>
      </c>
      <c r="X1" t="s">
        <v>93</v>
      </c>
      <c r="Y1" t="s">
        <v>92</v>
      </c>
    </row>
    <row r="2" spans="1:25">
      <c r="A2" s="10" t="s">
        <v>8</v>
      </c>
      <c r="B2" t="s">
        <v>31</v>
      </c>
      <c r="C2">
        <v>0</v>
      </c>
      <c r="D2">
        <v>8</v>
      </c>
      <c r="E2" t="s">
        <v>98</v>
      </c>
      <c r="F2">
        <v>1</v>
      </c>
      <c r="G2" t="s">
        <v>78</v>
      </c>
      <c r="I2">
        <v>1</v>
      </c>
      <c r="J2">
        <v>33</v>
      </c>
      <c r="K2" t="s">
        <v>66</v>
      </c>
      <c r="N2">
        <v>0</v>
      </c>
      <c r="O2">
        <v>35</v>
      </c>
      <c r="P2" t="s">
        <v>112</v>
      </c>
      <c r="R2">
        <v>0</v>
      </c>
      <c r="S2">
        <v>33</v>
      </c>
      <c r="W2">
        <v>1</v>
      </c>
      <c r="X2">
        <v>33</v>
      </c>
      <c r="Y2" t="s">
        <v>381</v>
      </c>
    </row>
    <row r="3" spans="1:25">
      <c r="A3" t="s">
        <v>5</v>
      </c>
      <c r="B3" t="s">
        <v>33</v>
      </c>
      <c r="C3">
        <v>8</v>
      </c>
      <c r="D3">
        <v>15</v>
      </c>
      <c r="E3" t="s">
        <v>99</v>
      </c>
      <c r="F3">
        <v>2</v>
      </c>
      <c r="G3" t="s">
        <v>79</v>
      </c>
      <c r="I3">
        <v>33</v>
      </c>
      <c r="J3">
        <v>45</v>
      </c>
      <c r="K3" t="s">
        <v>65</v>
      </c>
      <c r="N3">
        <v>35</v>
      </c>
      <c r="O3">
        <v>50</v>
      </c>
      <c r="P3" t="s">
        <v>102</v>
      </c>
      <c r="R3">
        <v>33</v>
      </c>
      <c r="S3">
        <v>60</v>
      </c>
      <c r="T3" t="s">
        <v>103</v>
      </c>
      <c r="W3">
        <v>33</v>
      </c>
      <c r="X3">
        <v>45</v>
      </c>
      <c r="Y3" t="s">
        <v>65</v>
      </c>
    </row>
    <row r="4" spans="1:25">
      <c r="A4" t="s">
        <v>7</v>
      </c>
      <c r="B4" t="s">
        <v>32</v>
      </c>
      <c r="C4">
        <v>15</v>
      </c>
      <c r="D4">
        <v>20</v>
      </c>
      <c r="E4" t="s">
        <v>100</v>
      </c>
      <c r="F4">
        <v>3</v>
      </c>
      <c r="G4" t="s">
        <v>80</v>
      </c>
      <c r="I4">
        <v>45</v>
      </c>
      <c r="J4">
        <v>60</v>
      </c>
      <c r="K4" t="s">
        <v>64</v>
      </c>
      <c r="N4">
        <v>50</v>
      </c>
      <c r="O4">
        <v>60</v>
      </c>
      <c r="P4" t="s">
        <v>103</v>
      </c>
      <c r="R4">
        <v>60</v>
      </c>
      <c r="S4">
        <v>75</v>
      </c>
      <c r="T4" t="s">
        <v>104</v>
      </c>
      <c r="W4">
        <v>45</v>
      </c>
      <c r="X4">
        <v>60</v>
      </c>
      <c r="Y4" t="s">
        <v>64</v>
      </c>
    </row>
    <row r="5" spans="1:25">
      <c r="A5" t="s">
        <v>6</v>
      </c>
      <c r="B5" t="s">
        <v>34</v>
      </c>
      <c r="C5">
        <v>20</v>
      </c>
      <c r="D5">
        <v>25</v>
      </c>
      <c r="E5" t="s">
        <v>101</v>
      </c>
      <c r="F5">
        <v>4</v>
      </c>
      <c r="G5" t="s">
        <v>81</v>
      </c>
      <c r="I5">
        <v>60</v>
      </c>
      <c r="J5">
        <v>100</v>
      </c>
      <c r="K5" t="s">
        <v>63</v>
      </c>
      <c r="N5">
        <v>60</v>
      </c>
      <c r="O5">
        <v>70</v>
      </c>
      <c r="P5" t="s">
        <v>104</v>
      </c>
      <c r="R5">
        <v>75</v>
      </c>
      <c r="S5">
        <v>90</v>
      </c>
      <c r="T5" t="s">
        <v>105</v>
      </c>
      <c r="W5">
        <v>60</v>
      </c>
      <c r="X5">
        <v>100</v>
      </c>
      <c r="Y5" t="s">
        <v>63</v>
      </c>
    </row>
    <row r="6" spans="1:25" ht="15.75">
      <c r="A6" s="35" t="s">
        <v>36</v>
      </c>
      <c r="B6" s="35" t="s">
        <v>36</v>
      </c>
      <c r="F6">
        <v>6</v>
      </c>
      <c r="G6" t="s">
        <v>82</v>
      </c>
      <c r="N6">
        <v>70</v>
      </c>
      <c r="O6">
        <v>80</v>
      </c>
      <c r="P6" t="s">
        <v>105</v>
      </c>
      <c r="R6">
        <v>90</v>
      </c>
      <c r="S6">
        <v>100</v>
      </c>
      <c r="T6" t="s">
        <v>106</v>
      </c>
    </row>
    <row r="7" spans="1:25" ht="16.5" thickBot="1">
      <c r="A7" s="36" t="s">
        <v>37</v>
      </c>
      <c r="B7" s="36" t="s">
        <v>37</v>
      </c>
      <c r="F7">
        <v>7</v>
      </c>
      <c r="G7" t="s">
        <v>83</v>
      </c>
      <c r="N7">
        <v>80</v>
      </c>
      <c r="O7">
        <v>100</v>
      </c>
      <c r="P7" t="s">
        <v>106</v>
      </c>
    </row>
    <row r="8" spans="1:25">
      <c r="F8">
        <v>8</v>
      </c>
      <c r="G8" t="s">
        <v>84</v>
      </c>
    </row>
    <row r="9" spans="1:25">
      <c r="F9">
        <v>9</v>
      </c>
      <c r="G9" t="s">
        <v>85</v>
      </c>
    </row>
  </sheetData>
  <sortState xmlns:xlrd2="http://schemas.microsoft.com/office/spreadsheetml/2017/richdata2" ref="A3:B16">
    <sortCondition ref="B3:B16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B9981E-D862-463E-8641-73F7C020162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Report Card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vaibhav srivastava</cp:lastModifiedBy>
  <cp:lastPrinted>2026-03-27T12:04:26Z</cp:lastPrinted>
  <dcterms:created xsi:type="dcterms:W3CDTF">2019-07-28T07:32:43Z</dcterms:created>
  <dcterms:modified xsi:type="dcterms:W3CDTF">2026-03-27T12:05:03Z</dcterms:modified>
</cp:coreProperties>
</file>