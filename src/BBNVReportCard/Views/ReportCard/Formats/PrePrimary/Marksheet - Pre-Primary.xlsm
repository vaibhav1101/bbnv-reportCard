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y Drive\Repository\BBN Vidyapeeth\Session 2025-26\Marksheet Format 2026\"/>
    </mc:Choice>
  </mc:AlternateContent>
  <xr:revisionPtr revIDLastSave="0" documentId="13_ncr:1_{2060B316-4C5E-4F73-95FF-EDDA3ABE6EB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Report Card" sheetId="2" r:id="rId2"/>
    <sheet name="Sheet3" sheetId="3" r:id="rId3"/>
  </sheets>
  <definedNames>
    <definedName name="_209.99.16.18_BBNV_View_Marksheet_All" localSheetId="0" hidden="1">Sheet1!#REF!</definedName>
    <definedName name="_209.99.16.18_BBNV_View_ReportCard_Primary" localSheetId="0" hidden="1">Sheet1!#REF!</definedName>
    <definedName name="DESKTOP_5KLTPPQ_BBNV_View_Marksheet" localSheetId="0" hidden="1">Sheet1!#REF!</definedName>
    <definedName name="ExternalData_1" localSheetId="0" hidden="1">Sheet1!$A$1:$AB$330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2" l="1"/>
  <c r="S13" i="2"/>
  <c r="S14" i="2"/>
  <c r="S18" i="2"/>
  <c r="S17" i="2"/>
  <c r="M18" i="2"/>
  <c r="M17" i="2"/>
  <c r="G18" i="2"/>
  <c r="G17" i="2"/>
  <c r="X15" i="2" l="1"/>
  <c r="U15" i="2"/>
  <c r="P23" i="2" l="1"/>
  <c r="Z62" i="2" l="1"/>
  <c r="J23" i="2" l="1"/>
  <c r="X14" i="2" l="1"/>
  <c r="U14" i="2"/>
  <c r="X13" i="2"/>
  <c r="M14" i="2"/>
  <c r="M15" i="2"/>
  <c r="M13" i="2"/>
  <c r="D23" i="2"/>
  <c r="G14" i="2"/>
  <c r="G15" i="2"/>
  <c r="G13" i="2"/>
  <c r="Z59" i="2"/>
  <c r="C9" i="2"/>
  <c r="AC9" i="2"/>
  <c r="V9" i="2"/>
  <c r="X55" i="2" s="1"/>
  <c r="O9" i="2"/>
  <c r="Z65" i="2"/>
  <c r="Z64" i="2"/>
  <c r="Z63" i="2"/>
  <c r="Z61" i="2"/>
  <c r="Z60" i="2"/>
  <c r="S16" i="2" l="1"/>
  <c r="V14" i="2"/>
  <c r="V15" i="2"/>
  <c r="V13" i="2"/>
  <c r="G16" i="2" l="1"/>
  <c r="W14" i="2"/>
  <c r="W15" i="2"/>
  <c r="W13" i="2"/>
  <c r="X56" i="2"/>
  <c r="M16" i="2" l="1"/>
  <c r="P16" i="2"/>
  <c r="J16" i="2"/>
  <c r="D16" i="2"/>
  <c r="Z57" i="2" l="1"/>
  <c r="Z58" i="2"/>
  <c r="X54" i="2"/>
  <c r="J19" i="2" l="1"/>
  <c r="D19" i="2"/>
  <c r="P19" i="2"/>
  <c r="P21" i="2" s="1"/>
  <c r="W16" i="2"/>
  <c r="V16" i="2"/>
  <c r="D21" i="2" l="1"/>
  <c r="J21" i="2"/>
  <c r="AC24" i="2"/>
  <c r="Y14" i="2"/>
  <c r="Y15" i="2"/>
  <c r="D20" i="2"/>
  <c r="J20" i="2"/>
  <c r="P20" i="2"/>
  <c r="X16" i="2"/>
  <c r="U13" i="2"/>
  <c r="AC23" i="2" l="1"/>
  <c r="Y13" i="2"/>
  <c r="Y16" i="2" s="1"/>
  <c r="AC20" i="2" s="1"/>
  <c r="Y19" i="2" l="1"/>
  <c r="AC2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41F198-206F-419E-96B8-C85CEF768A42}" keepAlive="1" name="Query - bbnv View_ReportCard_Pre_Primary" description="Connection to the 'bbnv View_ReportCard_Pre_Primary' query in the workbook." type="5" refreshedVersion="8" background="1" refreshOnLoad="1" saveData="1">
    <dbPr connection="Provider=Microsoft.Mashup.OleDb.1;Data Source=$Workbook$;Location=&quot;bbnv View_ReportCard_Pre_Primary&quot;;Extended Properties=&quot;&quot;" command="SELECT * FROM [bbnv View_ReportCard_Pre_Primary]"/>
  </connection>
</connections>
</file>

<file path=xl/sharedStrings.xml><?xml version="1.0" encoding="utf-8"?>
<sst xmlns="http://schemas.openxmlformats.org/spreadsheetml/2006/main" count="6103" uniqueCount="977">
  <si>
    <t>StudentId</t>
  </si>
  <si>
    <t>RollNo</t>
  </si>
  <si>
    <t>Class</t>
  </si>
  <si>
    <t>Session</t>
  </si>
  <si>
    <t>Subject</t>
  </si>
  <si>
    <t>Mathmatics</t>
  </si>
  <si>
    <t>Environmental science</t>
  </si>
  <si>
    <t>Hindi</t>
  </si>
  <si>
    <t>English</t>
  </si>
  <si>
    <t>StudentName</t>
  </si>
  <si>
    <t>FINALEXAM</t>
  </si>
  <si>
    <t>HALFYEARLY</t>
  </si>
  <si>
    <t>QUARTERLY</t>
  </si>
  <si>
    <t>BRAHMRISHI BAWRA NARMADA VIDYAPEETH SENIOR SEC. SCHOOL</t>
  </si>
  <si>
    <t>RECOGNIZED BY GOVT. OF M.P.</t>
  </si>
  <si>
    <t>RECOGNIZED BY GOVT. OF M.P. (SCHOOL CODE - 712287)</t>
  </si>
  <si>
    <t>PROGRESS REPORT CARD</t>
  </si>
  <si>
    <t>Name</t>
  </si>
  <si>
    <t>SUBJECT</t>
  </si>
  <si>
    <t>Quarterly Exam</t>
  </si>
  <si>
    <t>Half Yearly Exam</t>
  </si>
  <si>
    <t>Annual Exam</t>
  </si>
  <si>
    <t>Total Average</t>
  </si>
  <si>
    <t>MM</t>
  </si>
  <si>
    <t>M. Obt.</t>
  </si>
  <si>
    <t>M. Obt</t>
  </si>
  <si>
    <t>Quarterly 10%</t>
  </si>
  <si>
    <t>Halfyearly 10%</t>
  </si>
  <si>
    <t>Total</t>
  </si>
  <si>
    <t>Remarks</t>
  </si>
  <si>
    <t>ENGLISH (SPECIAL)</t>
  </si>
  <si>
    <t>HINDI (GENERAL)</t>
  </si>
  <si>
    <t>MATHS</t>
  </si>
  <si>
    <t>E.V.S.</t>
  </si>
  <si>
    <t>GRAND TOTAL</t>
  </si>
  <si>
    <t>COMPUTER</t>
  </si>
  <si>
    <t>G.K. / MORAL SCIENCE</t>
  </si>
  <si>
    <t>CLEANLINESS</t>
  </si>
  <si>
    <t>PERCENTAGE</t>
  </si>
  <si>
    <t>DIVISION</t>
  </si>
  <si>
    <t>PASS/FAIL/PROMOTED</t>
  </si>
  <si>
    <t>CLASS TEACHER'S SIGN</t>
  </si>
  <si>
    <t>ATTENDANCE</t>
  </si>
  <si>
    <t>PRINCIPAL'S SIGN</t>
  </si>
  <si>
    <t>PARENT'S SIGN</t>
  </si>
  <si>
    <t>Class Teacher's Sign</t>
  </si>
  <si>
    <t>School Reopen on …………………………………………………..</t>
  </si>
  <si>
    <t>GRADE</t>
  </si>
  <si>
    <t>PROMOTION RULES</t>
  </si>
  <si>
    <t>This Report Card must be signed by the parent every exam and then must be</t>
  </si>
  <si>
    <r>
      <t xml:space="preserve">returned to the class teacher within </t>
    </r>
    <r>
      <rPr>
        <b/>
        <sz val="8"/>
        <color theme="1"/>
        <rFont val="Calibri"/>
        <family val="2"/>
        <scheme val="minor"/>
      </rPr>
      <t>two</t>
    </r>
    <r>
      <rPr>
        <sz val="8"/>
        <color theme="1"/>
        <rFont val="Calibri"/>
        <family val="2"/>
        <scheme val="minor"/>
      </rPr>
      <t xml:space="preserve"> days.</t>
    </r>
  </si>
  <si>
    <t>Minimum passing Marks in each subject is 33%.</t>
  </si>
  <si>
    <t xml:space="preserve">Promotion will not be granted in case the attendance is less than 85% in the </t>
  </si>
  <si>
    <t>Year.</t>
  </si>
  <si>
    <t xml:space="preserve">If the card is lost or damaged a new one will be issued on payment of </t>
  </si>
  <si>
    <t>Rs. 50.00.</t>
  </si>
  <si>
    <t>Ranks will be awarded only for the first three positions.</t>
  </si>
  <si>
    <t xml:space="preserve"> and Annual Exam.</t>
  </si>
  <si>
    <t>It is compulsary for all the students to pass in the quarterly, Half yearly</t>
  </si>
  <si>
    <t>Promotion Criteria:</t>
  </si>
  <si>
    <t>Marks will be awarded out of 50 for the terminals and final examination</t>
  </si>
  <si>
    <t>MARKS</t>
  </si>
  <si>
    <t>First</t>
  </si>
  <si>
    <t>Second</t>
  </si>
  <si>
    <t>Third</t>
  </si>
  <si>
    <t>Fail</t>
  </si>
  <si>
    <t>60% and Above</t>
  </si>
  <si>
    <t>45% and Above</t>
  </si>
  <si>
    <t>35% and Above</t>
  </si>
  <si>
    <t>Below 35%</t>
  </si>
  <si>
    <t>NARMADA VIDYAPEETH SR. SEC. SCHOOL</t>
  </si>
  <si>
    <t xml:space="preserve">                         School Code - 712287                                                                      Dise Code - 23390222204</t>
  </si>
  <si>
    <t>Address</t>
  </si>
  <si>
    <t>SSSMID</t>
  </si>
  <si>
    <t>Caste</t>
  </si>
  <si>
    <t>General</t>
  </si>
  <si>
    <t>SC</t>
  </si>
  <si>
    <t>OBC</t>
  </si>
  <si>
    <t>Physically handicapped</t>
  </si>
  <si>
    <t>General-Scholarship</t>
  </si>
  <si>
    <t>SC/ST-Scholarship</t>
  </si>
  <si>
    <t>OBC-Scholarship</t>
  </si>
  <si>
    <t>ST</t>
  </si>
  <si>
    <t>CategoryId</t>
  </si>
  <si>
    <t>AdmissionNo</t>
  </si>
  <si>
    <t>DOB</t>
  </si>
  <si>
    <t>BloodGroup</t>
  </si>
  <si>
    <t>FATHERNAME</t>
  </si>
  <si>
    <t>AADHAR</t>
  </si>
  <si>
    <t xml:space="preserve">                 Hindi / English Medium</t>
  </si>
  <si>
    <t>Division</t>
  </si>
  <si>
    <t>Per To</t>
  </si>
  <si>
    <t>Per From</t>
  </si>
  <si>
    <t>U.K.G.A</t>
  </si>
  <si>
    <t>Attendance</t>
  </si>
  <si>
    <t xml:space="preserve">    BRAHMRISHI BAWRA</t>
  </si>
  <si>
    <t xml:space="preserve">   Gwarighat, Jabalpur (M.P.)</t>
  </si>
  <si>
    <t xml:space="preserve">          Reg. No. - J.J.- 4751</t>
  </si>
  <si>
    <t>KEYID</t>
  </si>
  <si>
    <t>ReportCardText</t>
  </si>
  <si>
    <t>TotalDays</t>
  </si>
  <si>
    <t>Need Hard Work</t>
  </si>
  <si>
    <t>Satisfactory</t>
  </si>
  <si>
    <t>Good</t>
  </si>
  <si>
    <t>Very Good</t>
  </si>
  <si>
    <t>Excellent</t>
  </si>
  <si>
    <t>From</t>
  </si>
  <si>
    <t>To</t>
  </si>
  <si>
    <t>Grade</t>
  </si>
  <si>
    <t>D</t>
  </si>
  <si>
    <t>C</t>
  </si>
  <si>
    <t>B</t>
  </si>
  <si>
    <t>A</t>
  </si>
  <si>
    <t>DRAWING</t>
  </si>
  <si>
    <t>Principal's Sign</t>
  </si>
  <si>
    <t>UnSatisfactory</t>
  </si>
  <si>
    <t>Name -</t>
  </si>
  <si>
    <t>Class -</t>
  </si>
  <si>
    <t>Year -</t>
  </si>
  <si>
    <t>Roll No. -</t>
  </si>
  <si>
    <t>Admission No. -</t>
  </si>
  <si>
    <t>Quarterly -</t>
  </si>
  <si>
    <t>HalfYearly -</t>
  </si>
  <si>
    <t>Annual Exam -</t>
  </si>
  <si>
    <t xml:space="preserve">  Vanvasi Chetna Aashram, New Station Road</t>
  </si>
  <si>
    <t>Admission No -</t>
  </si>
  <si>
    <t>Student Name -</t>
  </si>
  <si>
    <t>Date of Birth -</t>
  </si>
  <si>
    <t>Father's Name -</t>
  </si>
  <si>
    <t>Mother's Name -</t>
  </si>
  <si>
    <t>Address -</t>
  </si>
  <si>
    <t>Aadhar No -</t>
  </si>
  <si>
    <t>SSSMID -</t>
  </si>
  <si>
    <t>Caste -</t>
  </si>
  <si>
    <t>-</t>
  </si>
  <si>
    <t xml:space="preserve">  Email : bbnvidyapeeth99@gmail.com</t>
  </si>
  <si>
    <t>MotherName</t>
  </si>
  <si>
    <t>HLF_TOTAL</t>
  </si>
  <si>
    <t>HLF_ATTENDANCE</t>
  </si>
  <si>
    <t>YR_TOTAL</t>
  </si>
  <si>
    <t>YR_ATTENDANCE</t>
  </si>
  <si>
    <t>ENGLISH (SPECIAL)1209</t>
  </si>
  <si>
    <t>HINDI (GENERAL)1209</t>
  </si>
  <si>
    <t>MATHS1209</t>
  </si>
  <si>
    <t>ENGLISH (SPECIAL)1213</t>
  </si>
  <si>
    <t>HINDI (GENERAL)1213</t>
  </si>
  <si>
    <t>MATHS1213</t>
  </si>
  <si>
    <t>ENGLISH (SPECIAL)1211</t>
  </si>
  <si>
    <t>HINDI (GENERAL)1211</t>
  </si>
  <si>
    <t>MATHS1211</t>
  </si>
  <si>
    <t>ENGLISH (SPECIAL)1210</t>
  </si>
  <si>
    <t>HINDI (GENERAL)1210</t>
  </si>
  <si>
    <t>MATHS1210</t>
  </si>
  <si>
    <t>ENGLISH (SPECIAL)1208</t>
  </si>
  <si>
    <t>HINDI (GENERAL)1208</t>
  </si>
  <si>
    <t>MATHS1208</t>
  </si>
  <si>
    <t>ENGLISH (SPECIAL)1201</t>
  </si>
  <si>
    <t>HINDI (GENERAL)1201</t>
  </si>
  <si>
    <t>MATHS1201</t>
  </si>
  <si>
    <t>ENGLISH (SPECIAL)1202</t>
  </si>
  <si>
    <t>HINDI (GENERAL)1202</t>
  </si>
  <si>
    <t>MATHS1202</t>
  </si>
  <si>
    <t>ENGLISH (SPECIAL)1203</t>
  </si>
  <si>
    <t>HINDI (GENERAL)1203</t>
  </si>
  <si>
    <t>MATHS1203</t>
  </si>
  <si>
    <t>ENGLISH (SPECIAL)1204</t>
  </si>
  <si>
    <t>HINDI (GENERAL)1204</t>
  </si>
  <si>
    <t>MATHS1204</t>
  </si>
  <si>
    <t>ENGLISH (SPECIAL)1205</t>
  </si>
  <si>
    <t>HINDI (GENERAL)1205</t>
  </si>
  <si>
    <t>MATHS1205</t>
  </si>
  <si>
    <t>ENGLISH (SPECIAL)1206</t>
  </si>
  <si>
    <t>HINDI (GENERAL)1206</t>
  </si>
  <si>
    <t>MATHS1206</t>
  </si>
  <si>
    <t>ENGLISH (SPECIAL)1207</t>
  </si>
  <si>
    <t>HINDI (GENERAL)1207</t>
  </si>
  <si>
    <t>MATHS1207</t>
  </si>
  <si>
    <t>ENGLISH (SPECIAL)1212</t>
  </si>
  <si>
    <t>HINDI (GENERAL)1212</t>
  </si>
  <si>
    <t>MATHS1212</t>
  </si>
  <si>
    <t>ENGLISH (SPECIAL)1215</t>
  </si>
  <si>
    <t>HINDI (GENERAL)1215</t>
  </si>
  <si>
    <t>MATHS1215</t>
  </si>
  <si>
    <t>ENGLISH (SPECIAL)1216</t>
  </si>
  <si>
    <t>HINDI (GENERAL)1216</t>
  </si>
  <si>
    <t>MATHS1216</t>
  </si>
  <si>
    <t>ENGLISH (SPECIAL)1217</t>
  </si>
  <si>
    <t>HINDI (GENERAL)1217</t>
  </si>
  <si>
    <t>MATHS1217</t>
  </si>
  <si>
    <t>ENGLISH (SPECIAL)1218</t>
  </si>
  <si>
    <t>HINDI (GENERAL)1218</t>
  </si>
  <si>
    <t>MATHS1218</t>
  </si>
  <si>
    <t>Result -</t>
  </si>
  <si>
    <t>Total Average -</t>
  </si>
  <si>
    <t>Rank in Class -</t>
  </si>
  <si>
    <t>Annual Result -</t>
  </si>
  <si>
    <t>Annual
 80%</t>
  </si>
  <si>
    <t>Marks -</t>
  </si>
  <si>
    <t>Percentage -</t>
  </si>
  <si>
    <t>" * " is marked for Failed in the subject.</t>
  </si>
  <si>
    <t>" + " is marked for Promotted Students.</t>
  </si>
  <si>
    <t>REMARKS</t>
  </si>
  <si>
    <t>L.K.G.A</t>
  </si>
  <si>
    <t>MATHS1001</t>
  </si>
  <si>
    <t>*05</t>
  </si>
  <si>
    <t>ENGLISH (SPECIAL)1001</t>
  </si>
  <si>
    <t>*00</t>
  </si>
  <si>
    <t>HINDI (GENERAL)1001</t>
  </si>
  <si>
    <t>HINDI (GENERAL)1002</t>
  </si>
  <si>
    <t>ENGLISH (SPECIAL)1002</t>
  </si>
  <si>
    <t>MATHS1002</t>
  </si>
  <si>
    <t>MATHS1003</t>
  </si>
  <si>
    <t>ENGLISH (SPECIAL)1003</t>
  </si>
  <si>
    <t>HINDI (GENERAL)1003</t>
  </si>
  <si>
    <t>HINDI (GENERAL)1004</t>
  </si>
  <si>
    <t>ENGLISH (SPECIAL)1004</t>
  </si>
  <si>
    <t>MATHS1004</t>
  </si>
  <si>
    <t>MATHS1005</t>
  </si>
  <si>
    <t>ENGLISH (SPECIAL)1005</t>
  </si>
  <si>
    <t>HINDI (GENERAL)1005</t>
  </si>
  <si>
    <t>HINDI (GENERAL)1006</t>
  </si>
  <si>
    <t>ENGLISH (SPECIAL)1006</t>
  </si>
  <si>
    <t>MATHS1006</t>
  </si>
  <si>
    <t>MATHS1007</t>
  </si>
  <si>
    <t>ENGLISH (SPECIAL)1007</t>
  </si>
  <si>
    <t>HINDI (GENERAL)1007</t>
  </si>
  <si>
    <t>HINDI (GENERAL)1008</t>
  </si>
  <si>
    <t>*02</t>
  </si>
  <si>
    <t>ENGLISH (SPECIAL)1008</t>
  </si>
  <si>
    <t>MATHS1008</t>
  </si>
  <si>
    <t>MATHS1009</t>
  </si>
  <si>
    <t>ENGLISH (SPECIAL)1009</t>
  </si>
  <si>
    <t>HINDI (GENERAL)1009</t>
  </si>
  <si>
    <t>HINDI (GENERAL)1010</t>
  </si>
  <si>
    <t>ENGLISH (SPECIAL)1010</t>
  </si>
  <si>
    <t>MATHS1010</t>
  </si>
  <si>
    <t>ENGLISH (SPECIAL)1011</t>
  </si>
  <si>
    <t>*16</t>
  </si>
  <si>
    <t>MATHS1011</t>
  </si>
  <si>
    <t>HINDI (GENERAL)1011</t>
  </si>
  <si>
    <t>*14</t>
  </si>
  <si>
    <t>HINDI (GENERAL)1012</t>
  </si>
  <si>
    <t>ENGLISH (SPECIAL)1012</t>
  </si>
  <si>
    <t>MATHS1012</t>
  </si>
  <si>
    <t>MATHS1013</t>
  </si>
  <si>
    <t>ENGLISH (SPECIAL)1013</t>
  </si>
  <si>
    <t>HINDI (GENERAL)1013</t>
  </si>
  <si>
    <t>HINDI (GENERAL)1014</t>
  </si>
  <si>
    <t>ENGLISH (SPECIAL)1014</t>
  </si>
  <si>
    <t>MATHS1014</t>
  </si>
  <si>
    <t>ENGLISH (SPECIAL)1015</t>
  </si>
  <si>
    <t>MATHS1015</t>
  </si>
  <si>
    <t>HINDI (GENERAL)1015</t>
  </si>
  <si>
    <t>HINDI (GENERAL)1016</t>
  </si>
  <si>
    <t>ENGLISH (SPECIAL)1016</t>
  </si>
  <si>
    <t>MATHS1016</t>
  </si>
  <si>
    <t>MATHS1017</t>
  </si>
  <si>
    <t>ENGLISH (SPECIAL)1017</t>
  </si>
  <si>
    <t>HINDI (GENERAL)1017</t>
  </si>
  <si>
    <t>HINDI (GENERAL)1018</t>
  </si>
  <si>
    <t>ENGLISH (SPECIAL)1018</t>
  </si>
  <si>
    <t>MATHS1018</t>
  </si>
  <si>
    <t>MATHS1019</t>
  </si>
  <si>
    <t>ENGLISH (SPECIAL)1019</t>
  </si>
  <si>
    <t>HINDI (GENERAL)1019</t>
  </si>
  <si>
    <t>HINDI (GENERAL)1020</t>
  </si>
  <si>
    <t>ENGLISH (SPECIAL)1020</t>
  </si>
  <si>
    <t>MATHS1021</t>
  </si>
  <si>
    <t>ENGLISH (SPECIAL)1021</t>
  </si>
  <si>
    <t>HINDI (GENERAL)1021</t>
  </si>
  <si>
    <t>HINDI (GENERAL)1022</t>
  </si>
  <si>
    <t>ENGLISH (SPECIAL)1022</t>
  </si>
  <si>
    <t>MATHS1022</t>
  </si>
  <si>
    <t>MATHS1023</t>
  </si>
  <si>
    <t>ENGLISH (SPECIAL)1023</t>
  </si>
  <si>
    <t>HINDI (GENERAL)1023</t>
  </si>
  <si>
    <t>HINDI (GENERAL)1024</t>
  </si>
  <si>
    <t>ENGLISH (SPECIAL)1024</t>
  </si>
  <si>
    <t>MATHS1024</t>
  </si>
  <si>
    <t>MATHS1025</t>
  </si>
  <si>
    <t>ENGLISH (SPECIAL)1025</t>
  </si>
  <si>
    <t>HINDI (GENERAL)1025</t>
  </si>
  <si>
    <t>*12</t>
  </si>
  <si>
    <t>*04</t>
  </si>
  <si>
    <t/>
  </si>
  <si>
    <t>40</t>
  </si>
  <si>
    <t>49</t>
  </si>
  <si>
    <t>42</t>
  </si>
  <si>
    <t>50</t>
  </si>
  <si>
    <t>46</t>
  </si>
  <si>
    <t>48</t>
  </si>
  <si>
    <t>38</t>
  </si>
  <si>
    <t>36</t>
  </si>
  <si>
    <t>35</t>
  </si>
  <si>
    <t>45</t>
  </si>
  <si>
    <t>37</t>
  </si>
  <si>
    <t>26</t>
  </si>
  <si>
    <t>27</t>
  </si>
  <si>
    <t>33</t>
  </si>
  <si>
    <t>39</t>
  </si>
  <si>
    <t>44</t>
  </si>
  <si>
    <t>43</t>
  </si>
  <si>
    <t>31</t>
  </si>
  <si>
    <t>28</t>
  </si>
  <si>
    <t>41</t>
  </si>
  <si>
    <t>47</t>
  </si>
  <si>
    <t>29</t>
  </si>
  <si>
    <t>24</t>
  </si>
  <si>
    <t>25</t>
  </si>
  <si>
    <t>20</t>
  </si>
  <si>
    <t>34</t>
  </si>
  <si>
    <t>30</t>
  </si>
  <si>
    <t>22</t>
  </si>
  <si>
    <t>32</t>
  </si>
  <si>
    <t>19</t>
  </si>
  <si>
    <t>17</t>
  </si>
  <si>
    <t>*13</t>
  </si>
  <si>
    <t>18</t>
  </si>
  <si>
    <t>21</t>
  </si>
  <si>
    <t>23</t>
  </si>
  <si>
    <t>*10</t>
  </si>
  <si>
    <t>*07</t>
  </si>
  <si>
    <t>HINDI (GENERAL)1219</t>
  </si>
  <si>
    <t>*06</t>
  </si>
  <si>
    <t>ENGLISH (SPECIAL)1219</t>
  </si>
  <si>
    <t>MATHS1219</t>
  </si>
  <si>
    <t>MATHS1220</t>
  </si>
  <si>
    <t>*15</t>
  </si>
  <si>
    <t>ENGLISH (SPECIAL)1220</t>
  </si>
  <si>
    <t>HINDI (GENERAL)1220</t>
  </si>
  <si>
    <t>HINDI (GENERAL)1221</t>
  </si>
  <si>
    <t>ENGLISH (SPECIAL)1221</t>
  </si>
  <si>
    <t>MATHS1221</t>
  </si>
  <si>
    <t>MATHS1222</t>
  </si>
  <si>
    <t>ENGLISH (SPECIAL)1222</t>
  </si>
  <si>
    <t>HINDI (GENERAL)1222</t>
  </si>
  <si>
    <t>HINDI (GENERAL)1223</t>
  </si>
  <si>
    <t>ENGLISH (SPECIAL)1223</t>
  </si>
  <si>
    <t>MATHS1223</t>
  </si>
  <si>
    <t>MATHS1224</t>
  </si>
  <si>
    <t>ENGLISH (SPECIAL)1224</t>
  </si>
  <si>
    <t>HINDI (GENERAL)1224</t>
  </si>
  <si>
    <t>HINDI (GENERAL)1226</t>
  </si>
  <si>
    <t>ENGLISH (SPECIAL)1226</t>
  </si>
  <si>
    <t>MATHS1226</t>
  </si>
  <si>
    <t>MATHS1227</t>
  </si>
  <si>
    <t>ENGLISH (SPECIAL)1227</t>
  </si>
  <si>
    <t>HINDI (GENERAL)1227</t>
  </si>
  <si>
    <t>HINDI (GENERAL)1228</t>
  </si>
  <si>
    <t>ENGLISH (SPECIAL)1228</t>
  </si>
  <si>
    <t>MATHS1228</t>
  </si>
  <si>
    <t>MATHS1229</t>
  </si>
  <si>
    <t>ENGLISH (SPECIAL)1229</t>
  </si>
  <si>
    <t>HINDI (GENERAL)1229</t>
  </si>
  <si>
    <t>HINDI (GENERAL)1230</t>
  </si>
  <si>
    <t>MATHS1230</t>
  </si>
  <si>
    <t>ENGLISH (SPECIAL)1230</t>
  </si>
  <si>
    <t>MATHS1231</t>
  </si>
  <si>
    <t>HINDI (GENERAL)1231</t>
  </si>
  <si>
    <t>ENGLISH (SPECIAL)1231</t>
  </si>
  <si>
    <t>*03</t>
  </si>
  <si>
    <t>ENGLISH (SPECIAL)1232</t>
  </si>
  <si>
    <t>MATHS1232</t>
  </si>
  <si>
    <t>HINDI (GENERAL)1232</t>
  </si>
  <si>
    <t>HINDI (GENERAL)1233</t>
  </si>
  <si>
    <t>MATHS1233</t>
  </si>
  <si>
    <t>ENGLISH (SPECIAL)1233</t>
  </si>
  <si>
    <t>Cleanliness</t>
  </si>
  <si>
    <t>CLEANLINESS1001</t>
  </si>
  <si>
    <t>Drawing</t>
  </si>
  <si>
    <t>DRAWING1001</t>
  </si>
  <si>
    <t>DRAWING1002</t>
  </si>
  <si>
    <t>CLEANLINESS1002</t>
  </si>
  <si>
    <t>CLEANLINESS1003</t>
  </si>
  <si>
    <t>DRAWING1003</t>
  </si>
  <si>
    <t>DRAWING1004</t>
  </si>
  <si>
    <t>CLEANLINESS1004</t>
  </si>
  <si>
    <t>CLEANLINESS1005</t>
  </si>
  <si>
    <t>DRAWING1005</t>
  </si>
  <si>
    <t>15</t>
  </si>
  <si>
    <t>DRAWING1006</t>
  </si>
  <si>
    <t>CLEANLINESS1006</t>
  </si>
  <si>
    <t>CLEANLINESS1007</t>
  </si>
  <si>
    <t>DRAWING1007</t>
  </si>
  <si>
    <t>DRAWING1008</t>
  </si>
  <si>
    <t>CLEANLINESS1008</t>
  </si>
  <si>
    <t>CLEANLINESS1009</t>
  </si>
  <si>
    <t>DRAWING1009</t>
  </si>
  <si>
    <t>DRAWING1010</t>
  </si>
  <si>
    <t>CLEANLINESS1010</t>
  </si>
  <si>
    <t>CLEANLINESS1011</t>
  </si>
  <si>
    <t>DRAWING1011</t>
  </si>
  <si>
    <t>DRAWING1012</t>
  </si>
  <si>
    <t>CLEANLINESS1012</t>
  </si>
  <si>
    <t>CLEANLINESS1013</t>
  </si>
  <si>
    <t>DRAWING1013</t>
  </si>
  <si>
    <t>DRAWING1014</t>
  </si>
  <si>
    <t>CLEANLINESS1014</t>
  </si>
  <si>
    <t>CLEANLINESS1015</t>
  </si>
  <si>
    <t>DRAWING1015</t>
  </si>
  <si>
    <t>DRAWING1016</t>
  </si>
  <si>
    <t>CLEANLINESS1016</t>
  </si>
  <si>
    <t>CLEANLINESS1017</t>
  </si>
  <si>
    <t>DRAWING1017</t>
  </si>
  <si>
    <t>DRAWING1018</t>
  </si>
  <si>
    <t>CLEANLINESS1018</t>
  </si>
  <si>
    <t>CLEANLINESS1019</t>
  </si>
  <si>
    <t>DRAWING1019</t>
  </si>
  <si>
    <t>DRAWING1020</t>
  </si>
  <si>
    <t>CLEANLINESS1020</t>
  </si>
  <si>
    <t>CLEANLINESS1021</t>
  </si>
  <si>
    <t>DRAWING1021</t>
  </si>
  <si>
    <t>DRAWING1022</t>
  </si>
  <si>
    <t>CLEANLINESS1022</t>
  </si>
  <si>
    <t>CLEANLINESS1023</t>
  </si>
  <si>
    <t>DRAWING1023</t>
  </si>
  <si>
    <t>DRAWING1024</t>
  </si>
  <si>
    <t>CLEANLINESS1024</t>
  </si>
  <si>
    <t>CLEANLINESS1025</t>
  </si>
  <si>
    <t>DRAWING1025</t>
  </si>
  <si>
    <t>DRAWING1201</t>
  </si>
  <si>
    <t>CLEANLINESS1201</t>
  </si>
  <si>
    <t>CLEANLINESS1202</t>
  </si>
  <si>
    <t>DRAWING1202</t>
  </si>
  <si>
    <t>DRAWING1203</t>
  </si>
  <si>
    <t>CLEANLINESS1203</t>
  </si>
  <si>
    <t>CLEANLINESS1204</t>
  </si>
  <si>
    <t>DRAWING1204</t>
  </si>
  <si>
    <t>DRAWING1205</t>
  </si>
  <si>
    <t>CLEANLINESS1205</t>
  </si>
  <si>
    <t>CLEANLINESS1206</t>
  </si>
  <si>
    <t>DRAWING1206</t>
  </si>
  <si>
    <t>DRAWING1207</t>
  </si>
  <si>
    <t>CLEANLINESS1207</t>
  </si>
  <si>
    <t>CLEANLINESS1208</t>
  </si>
  <si>
    <t>DRAWING1208</t>
  </si>
  <si>
    <t>CLEANLINESS1209</t>
  </si>
  <si>
    <t>DRAWING1209</t>
  </si>
  <si>
    <t>DRAWING1210</t>
  </si>
  <si>
    <t>CLEANLINESS1210</t>
  </si>
  <si>
    <t>DRAWING1211</t>
  </si>
  <si>
    <t>CLEANLINESS1211</t>
  </si>
  <si>
    <t>CLEANLINESS1212</t>
  </si>
  <si>
    <t>DRAWING1212</t>
  </si>
  <si>
    <t>DRAWING1213</t>
  </si>
  <si>
    <t>CLEANLINESS1213</t>
  </si>
  <si>
    <t>DRAWING1215</t>
  </si>
  <si>
    <t>CLEANLINESS1215</t>
  </si>
  <si>
    <t>CLEANLINESS1216</t>
  </si>
  <si>
    <t>DRAWING1216</t>
  </si>
  <si>
    <t>CLEANLINESS1217</t>
  </si>
  <si>
    <t>DRAWING1217</t>
  </si>
  <si>
    <t>DRAWING1218</t>
  </si>
  <si>
    <t>CLEANLINESS1218</t>
  </si>
  <si>
    <t>CLEANLINESS1219</t>
  </si>
  <si>
    <t>DRAWING1219</t>
  </si>
  <si>
    <t>CLEANLINESS1220</t>
  </si>
  <si>
    <t>DRAWING1220</t>
  </si>
  <si>
    <t>DRAWING1221</t>
  </si>
  <si>
    <t>CLEANLINESS1221</t>
  </si>
  <si>
    <t>CLEANLINESS1222</t>
  </si>
  <si>
    <t>DRAWING1222</t>
  </si>
  <si>
    <t>DRAWING1223</t>
  </si>
  <si>
    <t>CLEANLINESS1223</t>
  </si>
  <si>
    <t>CLEANLINESS1224</t>
  </si>
  <si>
    <t>DRAWING1224</t>
  </si>
  <si>
    <t>DRAWING1226</t>
  </si>
  <si>
    <t>CLEANLINESS1226</t>
  </si>
  <si>
    <t>CLEANLINESS1227</t>
  </si>
  <si>
    <t>DRAWING1227</t>
  </si>
  <si>
    <t>DRAWING1228</t>
  </si>
  <si>
    <t>CLEANLINESS1228</t>
  </si>
  <si>
    <t>DRAWING1229</t>
  </si>
  <si>
    <t>CLEANLINESS1229</t>
  </si>
  <si>
    <t>DRAWING1230</t>
  </si>
  <si>
    <t>CLEANLINESS1230</t>
  </si>
  <si>
    <t>CLEANLINESS1231</t>
  </si>
  <si>
    <t>DRAWING1231</t>
  </si>
  <si>
    <t>CLEANLINESS1232</t>
  </si>
  <si>
    <t>DRAWING1232</t>
  </si>
  <si>
    <t>DRAWING1233</t>
  </si>
  <si>
    <t>CLEANLINESS1233</t>
  </si>
  <si>
    <t>ATHARV YADAV</t>
  </si>
  <si>
    <t>Ab</t>
  </si>
  <si>
    <t>211557</t>
  </si>
  <si>
    <t>DURGA NAGAR GWARIGHAT JABAPUR</t>
  </si>
  <si>
    <t>RAJU  PRASAD YADAV</t>
  </si>
  <si>
    <t>UMA YADAV</t>
  </si>
  <si>
    <t>509139020470</t>
  </si>
  <si>
    <t>311957858</t>
  </si>
  <si>
    <t>DURGA NAGAR GWARIGHAT JABALPUR</t>
  </si>
  <si>
    <t>GARIMA CHOUDHARY</t>
  </si>
  <si>
    <t>211658</t>
  </si>
  <si>
    <t>JAGRATI AHIRWAR</t>
  </si>
  <si>
    <t>211560</t>
  </si>
  <si>
    <t>UDAY KUMAR AHIRWAR</t>
  </si>
  <si>
    <t>RAJNI AHIRWAR</t>
  </si>
  <si>
    <t>658060079288</t>
  </si>
  <si>
    <t>313564028</t>
  </si>
  <si>
    <t>NEHA PATEL</t>
  </si>
  <si>
    <t>BABULAL AHIRWAR</t>
  </si>
  <si>
    <t>*08</t>
  </si>
  <si>
    <t>RETNAKA KANCHANPUR GWARIGHAT JABALPUR</t>
  </si>
  <si>
    <t>PURVI PRAJAPATI</t>
  </si>
  <si>
    <t>211569</t>
  </si>
  <si>
    <t>SUDAMA PRAJAPATI</t>
  </si>
  <si>
    <t>SOMVATI PRAJAPATI</t>
  </si>
  <si>
    <t>516280427296</t>
  </si>
  <si>
    <t>314716219</t>
  </si>
  <si>
    <t>MATHS1026</t>
  </si>
  <si>
    <t>ENGLISH (SPECIAL)1026</t>
  </si>
  <si>
    <t>HINDI (GENERAL)1026</t>
  </si>
  <si>
    <t>CLEANLINESS1026</t>
  </si>
  <si>
    <t>DRAWING1026</t>
  </si>
  <si>
    <t>DRAWING1027</t>
  </si>
  <si>
    <t>CLEANLINESS1027</t>
  </si>
  <si>
    <t>HINDI (GENERAL)1027</t>
  </si>
  <si>
    <t>ENGLISH (SPECIAL)1027</t>
  </si>
  <si>
    <t>MATHS1027</t>
  </si>
  <si>
    <t>MATHS1028</t>
  </si>
  <si>
    <t>ENGLISH (SPECIAL)1028</t>
  </si>
  <si>
    <t>HINDI (GENERAL)1028</t>
  </si>
  <si>
    <t>CLEANLINESS1028</t>
  </si>
  <si>
    <t>DRAWING1028</t>
  </si>
  <si>
    <t>DRAWING1029</t>
  </si>
  <si>
    <t>CLEANLINESS1029</t>
  </si>
  <si>
    <t>HINDI (GENERAL)1029</t>
  </si>
  <si>
    <t>ENGLISH (SPECIAL)1029</t>
  </si>
  <si>
    <t>MATHS1029</t>
  </si>
  <si>
    <t>MATHS1030</t>
  </si>
  <si>
    <t>ENGLISH (SPECIAL)1030</t>
  </si>
  <si>
    <t>HINDI (GENERAL)1030</t>
  </si>
  <si>
    <t>CLEANLINESS1030</t>
  </si>
  <si>
    <t>DRAWING1030</t>
  </si>
  <si>
    <t>DRAWING1031</t>
  </si>
  <si>
    <t>CLEANLINESS1031</t>
  </si>
  <si>
    <t>HINDI (GENERAL)1031</t>
  </si>
  <si>
    <t>ENGLISH (SPECIAL)1031</t>
  </si>
  <si>
    <t>MATHS1031</t>
  </si>
  <si>
    <t>MATHS1032</t>
  </si>
  <si>
    <t>ENGLISH (SPECIAL)1032</t>
  </si>
  <si>
    <t>HINDI (GENERAL)1032</t>
  </si>
  <si>
    <t>CLEANLINESS1032</t>
  </si>
  <si>
    <t>DRAWING1032</t>
  </si>
  <si>
    <t>DRAWING1033</t>
  </si>
  <si>
    <t>CLEANLINESS1033</t>
  </si>
  <si>
    <t>HINDI (GENERAL)1033</t>
  </si>
  <si>
    <t>ENGLISH (SPECIAL)1033</t>
  </si>
  <si>
    <t>MATHS1033</t>
  </si>
  <si>
    <t>NEELU JHARIYA</t>
  </si>
  <si>
    <t>MOHINI JHARIYA</t>
  </si>
  <si>
    <t>RAMLALA MANDIR GWARIGHAT JABALPUR</t>
  </si>
  <si>
    <t>JILEHARI GRAM GWARIGHAT JABALPUR</t>
  </si>
  <si>
    <t>MATHS1225</t>
  </si>
  <si>
    <t>CLEANLINESS1225</t>
  </si>
  <si>
    <t>HINDI (GENERAL)1225</t>
  </si>
  <si>
    <t>ENGLISH (SPECIAL)1225</t>
  </si>
  <si>
    <t>DRAWING1225</t>
  </si>
  <si>
    <t>CLEANLINESS1234</t>
  </si>
  <si>
    <t>PURANI BASTI GWARIGHAT JABALPUR</t>
  </si>
  <si>
    <t>DRAWING1234</t>
  </si>
  <si>
    <t>ENGLISH (SPECIAL)1234</t>
  </si>
  <si>
    <t>HINDI (GENERAL)1234</t>
  </si>
  <si>
    <t>MATHS1234</t>
  </si>
  <si>
    <t>POLIPATHAR GWARIGHAT JABALPUR</t>
  </si>
  <si>
    <t>BHARTI CHOUDHARY</t>
  </si>
  <si>
    <t>546611414963</t>
  </si>
  <si>
    <t>314811462</t>
  </si>
  <si>
    <t>JHANDA CHOWK GWARIGHAT JABALPUR</t>
  </si>
  <si>
    <t>RETNAKA GWARIGHAT JABALPUR</t>
  </si>
  <si>
    <t>SAMAD PIPARIYA MOHAS JABALPUR</t>
  </si>
  <si>
    <t>LALPUR GWARIGHAT JABALPUR</t>
  </si>
  <si>
    <t>POLIPATHAR BIG BAZAR GWARIGHAT JABALPUR</t>
  </si>
  <si>
    <t>AWADHPURI COLONY GWARIGHAT JABALPUR</t>
  </si>
  <si>
    <t>DURGANAGAR BHATAULI GWARIGHAT JABALPUR</t>
  </si>
  <si>
    <t>DURGANAGAR GWARIGHAT JABALPUR</t>
  </si>
  <si>
    <t>ALEESHA BEN</t>
  </si>
  <si>
    <t>211755</t>
  </si>
  <si>
    <t>PURANI BASTI KANCHANPUR GWARIGHAT JABALPUR</t>
  </si>
  <si>
    <t>KUNDANLAL BEN</t>
  </si>
  <si>
    <t>KHUSHBOO BEN</t>
  </si>
  <si>
    <t>ARAV AHIRWAR</t>
  </si>
  <si>
    <t>211763</t>
  </si>
  <si>
    <t>VIJAY AHIRWAR</t>
  </si>
  <si>
    <t>POOJA  AHIRWAR</t>
  </si>
  <si>
    <t>ANAYA JHARIYA</t>
  </si>
  <si>
    <t>211733</t>
  </si>
  <si>
    <t>TILEHARI PHASE-1 JABALPUR</t>
  </si>
  <si>
    <t>ANANT JHARIYA</t>
  </si>
  <si>
    <t>NEHA JHARIYA</t>
  </si>
  <si>
    <t>ANURAG CHAKRAVARTI</t>
  </si>
  <si>
    <t>211725</t>
  </si>
  <si>
    <t>NEAR RAMLALA MANDIR GWARIGHAT JABALPUR</t>
  </si>
  <si>
    <t>RAVISHANKAR CHAKRAVARTI</t>
  </si>
  <si>
    <t>ROSHANI</t>
  </si>
  <si>
    <t>BRAJESH AHIRWAR</t>
  </si>
  <si>
    <t>211667</t>
  </si>
  <si>
    <t>ROSHNI</t>
  </si>
  <si>
    <t>DARSHIT TIWARI</t>
  </si>
  <si>
    <t>211731</t>
  </si>
  <si>
    <t>LALKAUN POLIPATHAR GAWRIGHAT JABALPUR</t>
  </si>
  <si>
    <t>SATYAM  TIWARI</t>
  </si>
  <si>
    <t>SONALI TIWARI</t>
  </si>
  <si>
    <t>DAVIKA RAJAK</t>
  </si>
  <si>
    <t>211758</t>
  </si>
  <si>
    <t>DURGANAGAR BHATOLI JILAHIRIGHAT JABALPUR</t>
  </si>
  <si>
    <t>SONU RAJAK</t>
  </si>
  <si>
    <t>PRIYANKA RAJAK</t>
  </si>
  <si>
    <t>GANESH PATEL</t>
  </si>
  <si>
    <t>211729</t>
  </si>
  <si>
    <t>RAJESH  PATEL</t>
  </si>
  <si>
    <t>JYOTI  PATEL</t>
  </si>
  <si>
    <t>HARSHITA KUMRE</t>
  </si>
  <si>
    <t>211664</t>
  </si>
  <si>
    <t>BHALLA COLONY RETNAKA GWARIGHAT JABALPUR</t>
  </si>
  <si>
    <t>SANTRAM</t>
  </si>
  <si>
    <t>GITA KUMRE</t>
  </si>
  <si>
    <t>ISHAN CHOUDHARY</t>
  </si>
  <si>
    <t>211753</t>
  </si>
  <si>
    <t>TULSIRAM  CHOUDHARY</t>
  </si>
  <si>
    <t>POOJA CHOUDHARY</t>
  </si>
  <si>
    <t>ISHIKA KOL</t>
  </si>
  <si>
    <t>211700</t>
  </si>
  <si>
    <t>POLITHAR GWARIGHAT JABALPUR</t>
  </si>
  <si>
    <t>ASHOK KOL</t>
  </si>
  <si>
    <t>PREETI KOL</t>
  </si>
  <si>
    <t>JANVI BEN</t>
  </si>
  <si>
    <t>211757</t>
  </si>
  <si>
    <t>RAKESH BEN</t>
  </si>
  <si>
    <t>JYOTI BEN</t>
  </si>
  <si>
    <t>KARTIK PATEL</t>
  </si>
  <si>
    <t>211727</t>
  </si>
  <si>
    <t>NEAR OLD RAILWAY STATION GWARIGHAT JABALPUR</t>
  </si>
  <si>
    <t>KAUSHIK PANDEY</t>
  </si>
  <si>
    <t>211738</t>
  </si>
  <si>
    <t>SADHNA  PANDEY</t>
  </si>
  <si>
    <t>KIRAN PATTA</t>
  </si>
  <si>
    <t>211761</t>
  </si>
  <si>
    <t>DURGANAGAR  GWARIGHAT JABALPUR</t>
  </si>
  <si>
    <t>JAYVANT  PATTA</t>
  </si>
  <si>
    <t>SUMAN PATTA</t>
  </si>
  <si>
    <t>MITANSH KEWAT</t>
  </si>
  <si>
    <t>211676</t>
  </si>
  <si>
    <t>HALWAI BADSHAH MANDIR GWARIGHAT JABALPUR</t>
  </si>
  <si>
    <t>MANISH KEWAT</t>
  </si>
  <si>
    <t>ABHILASHA KEWAT</t>
  </si>
  <si>
    <t>MAHIMA SARVE</t>
  </si>
  <si>
    <t>211766</t>
  </si>
  <si>
    <t>RAMSAKHI  SARVE</t>
  </si>
  <si>
    <t>NISHTHA JHARIYA</t>
  </si>
  <si>
    <t>211674</t>
  </si>
  <si>
    <t>TILEHARI JABALPUR</t>
  </si>
  <si>
    <t>SURENDRA  JHARIYA</t>
  </si>
  <si>
    <t>RAJNI</t>
  </si>
  <si>
    <t>PARI NAYAK</t>
  </si>
  <si>
    <t>211735</t>
  </si>
  <si>
    <t>MAHENDRA NAYAK</t>
  </si>
  <si>
    <t>ROSHNI NAYAK</t>
  </si>
  <si>
    <t>211742</t>
  </si>
  <si>
    <t>MANOJ  SEN</t>
  </si>
  <si>
    <t>VINITA  SEN</t>
  </si>
  <si>
    <t>RISHI AHIRWAR</t>
  </si>
  <si>
    <t>211747</t>
  </si>
  <si>
    <t>NARESH  AHIRWAR</t>
  </si>
  <si>
    <t>TULSI  AHIRWAR</t>
  </si>
  <si>
    <t>RIYA SAKET</t>
  </si>
  <si>
    <t>211765</t>
  </si>
  <si>
    <t>SANTLAL  SAKET</t>
  </si>
  <si>
    <t>RADHA SAKET</t>
  </si>
  <si>
    <t>SURYA KORI</t>
  </si>
  <si>
    <t>211739</t>
  </si>
  <si>
    <t>TILEHARI NEW BASTI PHASE -2 JABALPUR</t>
  </si>
  <si>
    <t>SANTOSH KORI</t>
  </si>
  <si>
    <t>SUMAN  KORI</t>
  </si>
  <si>
    <t>SANTOSHI GOSWAMI</t>
  </si>
  <si>
    <t>211764</t>
  </si>
  <si>
    <t>SATISH  GOSWAMI</t>
  </si>
  <si>
    <t>DROPATI  GOSWAMI</t>
  </si>
  <si>
    <t>YASHRAJ CHOUBEY</t>
  </si>
  <si>
    <t>211762</t>
  </si>
  <si>
    <t>AMBEDKAR COLONY GWARIGHAT JABALPUR</t>
  </si>
  <si>
    <t>MANOJ  CHOUBEY</t>
  </si>
  <si>
    <t>BARKHA CHOUBEY</t>
  </si>
  <si>
    <t>224068857899</t>
  </si>
  <si>
    <t>321592996</t>
  </si>
  <si>
    <t>814853893525</t>
  </si>
  <si>
    <t>318151805</t>
  </si>
  <si>
    <t>261808718193</t>
  </si>
  <si>
    <t>318901425</t>
  </si>
  <si>
    <t>442242651265</t>
  </si>
  <si>
    <t>315145179</t>
  </si>
  <si>
    <t>673437592383</t>
  </si>
  <si>
    <t>316505218</t>
  </si>
  <si>
    <t>675971118158</t>
  </si>
  <si>
    <t>321533495</t>
  </si>
  <si>
    <t>374551066010</t>
  </si>
  <si>
    <t>310380709</t>
  </si>
  <si>
    <t>735952196568</t>
  </si>
  <si>
    <t>315039490</t>
  </si>
  <si>
    <t>BADSHAH HALWAI MANDIR ,GWARIGHAT  JABALPUR</t>
  </si>
  <si>
    <t>SHANKARLAL  CHOUDHARY</t>
  </si>
  <si>
    <t>324687425879</t>
  </si>
  <si>
    <t>313933824</t>
  </si>
  <si>
    <t>BADSHAH  HALWAI  MANDIR GWARIGHAT JABALPUR.</t>
  </si>
  <si>
    <t>361598848427</t>
  </si>
  <si>
    <t>312094944</t>
  </si>
  <si>
    <t>374628522242</t>
  </si>
  <si>
    <t>320099233</t>
  </si>
  <si>
    <t>79744877399</t>
  </si>
  <si>
    <t>313253691</t>
  </si>
  <si>
    <t>218862397789</t>
  </si>
  <si>
    <t>315039489</t>
  </si>
  <si>
    <t>RAMASHRYA  PANDEY</t>
  </si>
  <si>
    <t>756340504733</t>
  </si>
  <si>
    <t>317432201</t>
  </si>
  <si>
    <t>629094737412</t>
  </si>
  <si>
    <t>310148258</t>
  </si>
  <si>
    <t>805784155896</t>
  </si>
  <si>
    <t>319102908</t>
  </si>
  <si>
    <t>MANISH KUMAR  SARVE</t>
  </si>
  <si>
    <t>839885979815</t>
  </si>
  <si>
    <t>313746199</t>
  </si>
  <si>
    <t>750323950983</t>
  </si>
  <si>
    <t>310444819</t>
  </si>
  <si>
    <t>549337168604</t>
  </si>
  <si>
    <t>308447070</t>
  </si>
  <si>
    <t>RAMJEESAMARTH   SEN</t>
  </si>
  <si>
    <t>796441632930</t>
  </si>
  <si>
    <t>311037744</t>
  </si>
  <si>
    <t>969620866289</t>
  </si>
  <si>
    <t>318151795</t>
  </si>
  <si>
    <t>361000540864</t>
  </si>
  <si>
    <t>314641124</t>
  </si>
  <si>
    <t>469972718336</t>
  </si>
  <si>
    <t>308050961</t>
  </si>
  <si>
    <t>605897823964</t>
  </si>
  <si>
    <t>313746235</t>
  </si>
  <si>
    <t>721648446275</t>
  </si>
  <si>
    <t>319234287</t>
  </si>
  <si>
    <t>15+2</t>
  </si>
  <si>
    <t>+2</t>
  </si>
  <si>
    <t>REKHA BARMAN</t>
  </si>
  <si>
    <t>*11</t>
  </si>
  <si>
    <t>AKRITI BADHAI</t>
  </si>
  <si>
    <t>2025-2026</t>
  </si>
  <si>
    <t>211779</t>
  </si>
  <si>
    <t>DURGA NAGAR GWARIGAHT JABALPUR</t>
  </si>
  <si>
    <t>SUNIL KUMAR BADHAI</t>
  </si>
  <si>
    <t>RADHA BADHAI</t>
  </si>
  <si>
    <t>596268344807</t>
  </si>
  <si>
    <t>313386795</t>
  </si>
  <si>
    <t>AVANTIKA GOSWAMI</t>
  </si>
  <si>
    <t>211841</t>
  </si>
  <si>
    <t>RISHI PURI GOSWAMI</t>
  </si>
  <si>
    <t>SHOBHA GOSWAMI</t>
  </si>
  <si>
    <t>991261099633</t>
  </si>
  <si>
    <t>315965178</t>
  </si>
  <si>
    <t>ANUSHREE PATEL</t>
  </si>
  <si>
    <t>211862</t>
  </si>
  <si>
    <t>NITIN PATEL</t>
  </si>
  <si>
    <t>5267-6674-5276</t>
  </si>
  <si>
    <t>313851520</t>
  </si>
  <si>
    <t>ANANYA SONDHIYA</t>
  </si>
  <si>
    <t>211895</t>
  </si>
  <si>
    <t>POLIPATHER JABALPUR</t>
  </si>
  <si>
    <t>HEMANT SONDHIYA</t>
  </si>
  <si>
    <t>POOJA SONDHIYA</t>
  </si>
  <si>
    <t>986121201932</t>
  </si>
  <si>
    <t>313405196</t>
  </si>
  <si>
    <t>AYAANSH CHOUDHARY</t>
  </si>
  <si>
    <t>211775</t>
  </si>
  <si>
    <t>BADSHA MANDIR GWARIGHAT JABALPUR</t>
  </si>
  <si>
    <t>NEELU CHOUDHARY</t>
  </si>
  <si>
    <t>NEHA CHOUDHARY</t>
  </si>
  <si>
    <t>799058490207</t>
  </si>
  <si>
    <t>31299853</t>
  </si>
  <si>
    <t>DEVANSHI PATEL</t>
  </si>
  <si>
    <t>211774</t>
  </si>
  <si>
    <t>13 DURGA NAGAR GWARIGHAT JABALPUR</t>
  </si>
  <si>
    <t>HARIVANSH PATEL</t>
  </si>
  <si>
    <t>LAXMI PATEL</t>
  </si>
  <si>
    <t>676581633132</t>
  </si>
  <si>
    <t>313885270</t>
  </si>
  <si>
    <t>HARSH BARI</t>
  </si>
  <si>
    <t>211795</t>
  </si>
  <si>
    <t>NEAR BADSHAH MANDIR GWARIGHAT JANBALPUR</t>
  </si>
  <si>
    <t>BALRAM BARI</t>
  </si>
  <si>
    <t>SWANTANTRATA</t>
  </si>
  <si>
    <t>302277995457</t>
  </si>
  <si>
    <t>319094925</t>
  </si>
  <si>
    <t>KRITIKA BARMAN</t>
  </si>
  <si>
    <t>211861</t>
  </si>
  <si>
    <t>VRINDAVAN BIHARILAL BARMAN</t>
  </si>
  <si>
    <t>VARSHA BARMAN</t>
  </si>
  <si>
    <t>828352736502</t>
  </si>
  <si>
    <t>313336061</t>
  </si>
  <si>
    <t>ITISH GARG</t>
  </si>
  <si>
    <t>211902</t>
  </si>
  <si>
    <t>ADITYA GARG</t>
  </si>
  <si>
    <t>RAMA GARG</t>
  </si>
  <si>
    <t>797195684656</t>
  </si>
  <si>
    <t>NAMASVI BARMAN</t>
  </si>
  <si>
    <t>211893</t>
  </si>
  <si>
    <t>VIPIN BARMAN</t>
  </si>
  <si>
    <t>SULEKHA BARMAN</t>
  </si>
  <si>
    <t>610066623545</t>
  </si>
  <si>
    <t>314790541</t>
  </si>
  <si>
    <t>PARANEEKA CHOUDHARY</t>
  </si>
  <si>
    <t>211776</t>
  </si>
  <si>
    <t>PUSHPRAJ CHOUDHARY</t>
  </si>
  <si>
    <t>SUSHMA CHOUDHARY</t>
  </si>
  <si>
    <t>208588562196</t>
  </si>
  <si>
    <t>3132455641</t>
  </si>
  <si>
    <t>POORVI AGRWAL</t>
  </si>
  <si>
    <t>211777</t>
  </si>
  <si>
    <t>RETNAKA LALPUR ROAD GWARIGHAT JABALPUR</t>
  </si>
  <si>
    <t>RAM MANOHAR AGRAWAL</t>
  </si>
  <si>
    <t>SUNAINA AGRAWAL</t>
  </si>
  <si>
    <t>369102799243</t>
  </si>
  <si>
    <t>318271050</t>
  </si>
  <si>
    <t>POORVI BARMAN</t>
  </si>
  <si>
    <t>211859</t>
  </si>
  <si>
    <t>KALIDHAM BHATOLI GWARIGHAT JABALPUR</t>
  </si>
  <si>
    <t>GYANI KUMAR BARMAN</t>
  </si>
  <si>
    <t>6827-3595-5194</t>
  </si>
  <si>
    <t>313351084</t>
  </si>
  <si>
    <t>12+5</t>
  </si>
  <si>
    <t>+5</t>
  </si>
  <si>
    <t>PRAGYA SEN</t>
  </si>
  <si>
    <t>211827</t>
  </si>
  <si>
    <t>PRAMOD SEN</t>
  </si>
  <si>
    <t>SHIVANI SEN</t>
  </si>
  <si>
    <t>547237275990</t>
  </si>
  <si>
    <t>321481975</t>
  </si>
  <si>
    <t>PARI SEN</t>
  </si>
  <si>
    <t>211858</t>
  </si>
  <si>
    <t>RAKESH SEN</t>
  </si>
  <si>
    <t>ROSHANI SEN</t>
  </si>
  <si>
    <t>2798-7859-5609</t>
  </si>
  <si>
    <t>312276238</t>
  </si>
  <si>
    <t>RUDRANSH SAHU</t>
  </si>
  <si>
    <t>211772</t>
  </si>
  <si>
    <t>120/3 NAI BASTI GWARIGHAT JABALPUR</t>
  </si>
  <si>
    <t>RISHI KUMAR SAHU</t>
  </si>
  <si>
    <t>DEEPA SAHU</t>
  </si>
  <si>
    <t>580505597677</t>
  </si>
  <si>
    <t>322803536</t>
  </si>
  <si>
    <t>SRISHTI BHALAVI</t>
  </si>
  <si>
    <t>211773</t>
  </si>
  <si>
    <t>514/1 DURGA NAGAR GWARIGHAT JABALPUR</t>
  </si>
  <si>
    <t>CHHOTU BHALAVI</t>
  </si>
  <si>
    <t>237683820180</t>
  </si>
  <si>
    <t>313982102</t>
  </si>
  <si>
    <t>SRASHTI BARMAN</t>
  </si>
  <si>
    <t>211771</t>
  </si>
  <si>
    <t>DURGANAGAR KALIDHAM GWARIGHAT JABALPUR</t>
  </si>
  <si>
    <t>DEEPAK BARMAN</t>
  </si>
  <si>
    <t>ROSHNI BARMAN</t>
  </si>
  <si>
    <t>920150408444</t>
  </si>
  <si>
    <t>313351083</t>
  </si>
  <si>
    <t>SRASHTI DHURVEY</t>
  </si>
  <si>
    <t>211834</t>
  </si>
  <si>
    <t>SANDEEP DHURVEY</t>
  </si>
  <si>
    <t>SARLA DHURVEY</t>
  </si>
  <si>
    <t>254575362894</t>
  </si>
  <si>
    <t>314282516</t>
  </si>
  <si>
    <t>SONAM AHIRWAR</t>
  </si>
  <si>
    <t>211792</t>
  </si>
  <si>
    <t>NARMADA NAGAR GWARIGAHT JABALPUR</t>
  </si>
  <si>
    <t>VINOD AHIRWAR</t>
  </si>
  <si>
    <t>MEENU AHIRWAR</t>
  </si>
  <si>
    <t>252289218158</t>
  </si>
  <si>
    <t>319989852</t>
  </si>
  <si>
    <t>SACHIN JHARIYA</t>
  </si>
  <si>
    <t>211809</t>
  </si>
  <si>
    <t>814544093689</t>
  </si>
  <si>
    <t>318039633</t>
  </si>
  <si>
    <t>SARANSH KAPOOR</t>
  </si>
  <si>
    <t>211838</t>
  </si>
  <si>
    <t>NEAR POLICE STATION GWARIGAHT JABALPUR</t>
  </si>
  <si>
    <t>LOKESH KAPOOR</t>
  </si>
  <si>
    <t>JYOTI KAPOOR</t>
  </si>
  <si>
    <t>921005194063</t>
  </si>
  <si>
    <t>318151343</t>
  </si>
  <si>
    <t>TAKSHVI BARMAN</t>
  </si>
  <si>
    <t>211892</t>
  </si>
  <si>
    <t>325335947066</t>
  </si>
  <si>
    <t>314790544</t>
  </si>
  <si>
    <t>VED SEN</t>
  </si>
  <si>
    <t>211846</t>
  </si>
  <si>
    <t>DEEPAK KUMAR SEN</t>
  </si>
  <si>
    <t>RUKMANI SEN</t>
  </si>
  <si>
    <t>807986276529</t>
  </si>
  <si>
    <t>318625242</t>
  </si>
  <si>
    <t>VIVAN MEHRA</t>
  </si>
  <si>
    <t>211857</t>
  </si>
  <si>
    <t>SAKET VATIKA BHATOLI GWARIGHAT JABALPUR</t>
  </si>
  <si>
    <t>SHAMBHU MEHRA</t>
  </si>
  <si>
    <t>MAYA MEHRA</t>
  </si>
  <si>
    <t>367701591298</t>
  </si>
  <si>
    <t>318040109</t>
  </si>
  <si>
    <t>VINAYAK YADAV</t>
  </si>
  <si>
    <t>211778</t>
  </si>
  <si>
    <t>JEET YADAV</t>
  </si>
  <si>
    <t>POOJA YADAV</t>
  </si>
  <si>
    <t>452336903030</t>
  </si>
  <si>
    <t>320867184</t>
  </si>
  <si>
    <t>VAIBHAV BARMAN</t>
  </si>
  <si>
    <t>211889</t>
  </si>
  <si>
    <t>POLIPATHER GWARIGHAT JABALPUR</t>
  </si>
  <si>
    <t>VISHAL BARMAN</t>
  </si>
  <si>
    <t>DEEKSHA</t>
  </si>
  <si>
    <t>315112838</t>
  </si>
  <si>
    <t>YUVRAJ DHURVE</t>
  </si>
  <si>
    <t>211866</t>
  </si>
  <si>
    <t>CHANDRASHEKHAR  DHURVE</t>
  </si>
  <si>
    <t>BABITA DHURVE</t>
  </si>
  <si>
    <t>326039464752</t>
  </si>
  <si>
    <t>322882112</t>
  </si>
  <si>
    <t>AMBUJ DWIVEDI</t>
  </si>
  <si>
    <t>211780</t>
  </si>
  <si>
    <t>SANJAY KUMAR DWIVEDI</t>
  </si>
  <si>
    <t>ROLI DWIVEDI</t>
  </si>
  <si>
    <t>540267614822</t>
  </si>
  <si>
    <t>314991189</t>
  </si>
  <si>
    <t>CHANDANI MISHRA</t>
  </si>
  <si>
    <t>211864</t>
  </si>
  <si>
    <t>RLY STATION GWARIGHAT JABALPUR</t>
  </si>
  <si>
    <t>MANU MISHRA</t>
  </si>
  <si>
    <t>MANISHA MISHRA</t>
  </si>
  <si>
    <t>972059026105</t>
  </si>
  <si>
    <t>313696580</t>
  </si>
  <si>
    <t>DHANI CHOUDHARY</t>
  </si>
  <si>
    <t>211833</t>
  </si>
  <si>
    <t>NEW RLY STATION GWARIGHAT JABALPUR</t>
  </si>
  <si>
    <t>SURAJ CHOUDHARY</t>
  </si>
  <si>
    <t>DEEPIKA CHOUDHARY</t>
  </si>
  <si>
    <t>758939097002</t>
  </si>
  <si>
    <t>317658146</t>
  </si>
  <si>
    <t>DEEPANSHU SONKAR</t>
  </si>
  <si>
    <t>211901</t>
  </si>
  <si>
    <t>NARMADA NAGAR  GWARIGHAT JABALPUR</t>
  </si>
  <si>
    <t>RAHU SONKAR</t>
  </si>
  <si>
    <t>SEEMA SONKAR</t>
  </si>
  <si>
    <t>NIHARIKA PATEL</t>
  </si>
  <si>
    <t>211871</t>
  </si>
  <si>
    <t>SAMADPIPARIA GWARIGHAT JABALPUR</t>
  </si>
  <si>
    <t>GHANSHYAM PATEL</t>
  </si>
  <si>
    <t>REETI</t>
  </si>
  <si>
    <t>535027740190</t>
  </si>
  <si>
    <t>314434958</t>
  </si>
  <si>
    <t>OJASWANI MOTHA</t>
  </si>
  <si>
    <t>211898</t>
  </si>
  <si>
    <t>OLD RAILWAY STATION GWARIGHAT JABALPUR</t>
  </si>
  <si>
    <t>VINOD MOTHA</t>
  </si>
  <si>
    <t>POOJA  MOTHA</t>
  </si>
  <si>
    <t>PRIYA YADAV</t>
  </si>
  <si>
    <t>211836</t>
  </si>
  <si>
    <t>SOMRAJ YADAV</t>
  </si>
  <si>
    <t>PREMLATA YADAV</t>
  </si>
  <si>
    <t>247284578440</t>
  </si>
  <si>
    <t>321167384</t>
  </si>
  <si>
    <t>RADHIKA YADAV</t>
  </si>
  <si>
    <t>211781</t>
  </si>
  <si>
    <t>RAJA YADAV</t>
  </si>
  <si>
    <t>KAVITA YADAV</t>
  </si>
  <si>
    <t>524614960993</t>
  </si>
  <si>
    <t>318083660</t>
  </si>
  <si>
    <t>SURIYANS BARMAN</t>
  </si>
  <si>
    <t>211848</t>
  </si>
  <si>
    <t>RAKESH BARMAN</t>
  </si>
  <si>
    <t>NEHA BARMAN</t>
  </si>
  <si>
    <t>264567286651</t>
  </si>
  <si>
    <t>314988348</t>
  </si>
  <si>
    <t>JYOTI BHALAVI</t>
  </si>
  <si>
    <t>554813180452</t>
  </si>
  <si>
    <t>315822044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</si>
</sst>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00439]0"/>
    <numFmt numFmtId="165" formatCode="dd\-mm\-yyyy"/>
    <numFmt numFmtId="166" formatCode="0.0"/>
  </numFmts>
  <fonts count="29">
    <font>
      <sz val="11"/>
      <color theme="1"/>
      <name val="Calibri"/>
      <family val="2"/>
      <scheme val="minor"/>
    </font>
    <font>
      <sz val="11"/>
      <color theme="1"/>
      <name val="Aharoni"/>
    </font>
    <font>
      <sz val="14"/>
      <color theme="1"/>
      <name val="Aharoni"/>
    </font>
    <font>
      <b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w Cen MT Condensed"/>
      <family val="2"/>
    </font>
    <font>
      <b/>
      <sz val="12"/>
      <color theme="1"/>
      <name val="Tw Cen MT Condensed"/>
      <family val="2"/>
    </font>
    <font>
      <b/>
      <sz val="12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1"/>
      <name val="Albertus Extra Bold"/>
      <family val="2"/>
    </font>
    <font>
      <sz val="8"/>
      <name val="Calibri"/>
      <family val="2"/>
      <scheme val="minor"/>
    </font>
    <font>
      <sz val="13"/>
      <color theme="1"/>
      <name val="Tw Cen MT Condensed"/>
      <family val="2"/>
    </font>
    <font>
      <b/>
      <sz val="13"/>
      <color theme="1"/>
      <name val="Tw Cen MT Condensed"/>
      <family val="2"/>
    </font>
    <font>
      <sz val="18"/>
      <color rgb="FFFF9933"/>
      <name val="Eras Bold ITC"/>
      <family val="2"/>
    </font>
    <font>
      <b/>
      <sz val="22"/>
      <color rgb="FF990000"/>
      <name val="Calibri"/>
      <family val="2"/>
      <scheme val="minor"/>
    </font>
    <font>
      <sz val="18"/>
      <color rgb="FF990000"/>
      <name val="Franklin Gothic Demi"/>
      <family val="2"/>
    </font>
    <font>
      <sz val="16"/>
      <color rgb="FF990000"/>
      <name val="Franklin Gothic Dem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2" borderId="12" xfId="0" applyFill="1" applyBorder="1"/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vertical="top"/>
    </xf>
    <xf numFmtId="0" fontId="9" fillId="0" borderId="7" xfId="0" applyFont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9" fillId="0" borderId="8" xfId="0" applyFont="1" applyBorder="1" applyAlignment="1">
      <alignment vertical="center"/>
    </xf>
    <xf numFmtId="0" fontId="15" fillId="0" borderId="14" xfId="0" applyFont="1" applyBorder="1" applyAlignment="1">
      <alignment vertical="center"/>
    </xf>
    <xf numFmtId="0" fontId="15" fillId="0" borderId="16" xfId="0" applyFont="1" applyBorder="1" applyAlignment="1">
      <alignment vertical="center"/>
    </xf>
    <xf numFmtId="0" fontId="6" fillId="0" borderId="0" xfId="0" applyFont="1"/>
    <xf numFmtId="0" fontId="14" fillId="0" borderId="0" xfId="0" applyFont="1"/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0" xfId="0" applyFont="1" applyAlignment="1">
      <alignment horizontal="center"/>
    </xf>
    <xf numFmtId="0" fontId="6" fillId="0" borderId="9" xfId="0" applyFont="1" applyBorder="1"/>
    <xf numFmtId="0" fontId="21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19" fillId="0" borderId="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4" fillId="0" borderId="4" xfId="0" applyFont="1" applyBorder="1" applyAlignment="1">
      <alignment horizontal="left"/>
    </xf>
    <xf numFmtId="0" fontId="14" fillId="0" borderId="0" xfId="0" applyFont="1" applyAlignment="1">
      <alignment horizontal="left"/>
    </xf>
    <xf numFmtId="0" fontId="6" fillId="0" borderId="4" xfId="0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5" xfId="0" applyFont="1" applyBorder="1" applyAlignment="1">
      <alignment vertical="center"/>
    </xf>
    <xf numFmtId="0" fontId="7" fillId="0" borderId="0" xfId="0" applyFont="1" applyAlignment="1">
      <alignment horizontal="left" vertical="center" shrinkToFit="1"/>
    </xf>
    <xf numFmtId="165" fontId="0" fillId="0" borderId="0" xfId="0" applyNumberFormat="1"/>
    <xf numFmtId="0" fontId="9" fillId="0" borderId="7" xfId="0" applyFont="1" applyBorder="1" applyAlignment="1">
      <alignment horizontal="left" vertical="center"/>
    </xf>
    <xf numFmtId="0" fontId="6" fillId="0" borderId="16" xfId="0" applyFont="1" applyBorder="1" applyAlignment="1">
      <alignment horizontal="center" vertical="center" shrinkToFit="1"/>
    </xf>
    <xf numFmtId="0" fontId="6" fillId="0" borderId="21" xfId="0" applyFont="1" applyBorder="1" applyAlignment="1">
      <alignment horizontal="center" vertical="center" shrinkToFit="1"/>
    </xf>
    <xf numFmtId="0" fontId="6" fillId="0" borderId="1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166" fontId="0" fillId="0" borderId="14" xfId="0" applyNumberFormat="1" applyBorder="1" applyAlignment="1">
      <alignment horizontal="right" vertical="center" indent="1" shrinkToFit="1"/>
    </xf>
    <xf numFmtId="0" fontId="7" fillId="0" borderId="0" xfId="0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9" fillId="0" borderId="7" xfId="0" applyFont="1" applyBorder="1"/>
    <xf numFmtId="166" fontId="0" fillId="0" borderId="31" xfId="0" applyNumberFormat="1" applyBorder="1" applyAlignment="1">
      <alignment horizontal="right" vertical="center" indent="1" shrinkToFit="1"/>
    </xf>
    <xf numFmtId="0" fontId="6" fillId="0" borderId="18" xfId="0" applyFont="1" applyBorder="1" applyAlignment="1">
      <alignment horizontal="center" vertical="center" shrinkToFit="1"/>
    </xf>
    <xf numFmtId="0" fontId="6" fillId="0" borderId="19" xfId="0" applyFont="1" applyBorder="1" applyAlignment="1">
      <alignment horizontal="center" vertical="center" shrinkToFit="1"/>
    </xf>
    <xf numFmtId="0" fontId="6" fillId="0" borderId="20" xfId="0" applyFont="1" applyBorder="1" applyAlignment="1">
      <alignment horizontal="center" vertical="center" shrinkToFit="1"/>
    </xf>
    <xf numFmtId="166" fontId="4" fillId="0" borderId="40" xfId="0" applyNumberFormat="1" applyFont="1" applyBorder="1" applyAlignment="1">
      <alignment horizontal="right" vertical="center" indent="1" shrinkToFit="1"/>
    </xf>
    <xf numFmtId="2" fontId="3" fillId="0" borderId="8" xfId="0" applyNumberFormat="1" applyFont="1" applyBorder="1" applyAlignment="1">
      <alignment horizontal="left" vertical="center" wrapText="1" shrinkToFit="1"/>
    </xf>
    <xf numFmtId="166" fontId="7" fillId="0" borderId="5" xfId="0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1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2" fontId="3" fillId="0" borderId="5" xfId="0" applyNumberFormat="1" applyFont="1" applyBorder="1" applyAlignment="1">
      <alignment vertical="center"/>
    </xf>
    <xf numFmtId="166" fontId="0" fillId="0" borderId="18" xfId="0" applyNumberFormat="1" applyBorder="1" applyAlignment="1">
      <alignment horizontal="right" vertical="center" indent="1" shrinkToFit="1"/>
    </xf>
    <xf numFmtId="166" fontId="6" fillId="0" borderId="4" xfId="0" applyNumberFormat="1" applyFont="1" applyBorder="1" applyAlignment="1">
      <alignment vertical="center"/>
    </xf>
    <xf numFmtId="0" fontId="6" fillId="0" borderId="6" xfId="0" applyFont="1" applyBorder="1" applyAlignment="1">
      <alignment vertical="center" shrinkToFit="1"/>
    </xf>
    <xf numFmtId="0" fontId="25" fillId="0" borderId="4" xfId="0" applyFont="1" applyBorder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6" fillId="0" borderId="2" xfId="0" applyFont="1" applyBorder="1"/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49" fontId="0" fillId="0" borderId="0" xfId="0" applyNumberFormat="1"/>
    <xf numFmtId="0" fontId="10" fillId="0" borderId="1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2" fontId="4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 shrinkToFit="1"/>
    </xf>
    <xf numFmtId="0" fontId="15" fillId="0" borderId="7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0" fillId="0" borderId="1" xfId="0" applyFont="1" applyBorder="1" applyAlignment="1">
      <alignment horizontal="left" vertical="top" wrapText="1" shrinkToFit="1"/>
    </xf>
    <xf numFmtId="0" fontId="10" fillId="0" borderId="3" xfId="0" applyFont="1" applyBorder="1" applyAlignment="1">
      <alignment horizontal="left" vertical="top" wrapText="1" shrinkToFit="1"/>
    </xf>
    <xf numFmtId="0" fontId="9" fillId="0" borderId="0" xfId="0" applyFont="1" applyAlignment="1">
      <alignment horizontal="left" vertic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5" fontId="6" fillId="0" borderId="0" xfId="0" applyNumberFormat="1" applyFont="1" applyAlignment="1">
      <alignment horizontal="left" vertical="center"/>
    </xf>
    <xf numFmtId="0" fontId="15" fillId="0" borderId="3" xfId="0" applyFont="1" applyBorder="1" applyAlignment="1">
      <alignment horizontal="center" vertical="center" shrinkToFit="1"/>
    </xf>
    <xf numFmtId="0" fontId="15" fillId="0" borderId="8" xfId="0" applyFont="1" applyBorder="1" applyAlignment="1">
      <alignment horizontal="center" vertical="center" shrinkToFit="1"/>
    </xf>
    <xf numFmtId="164" fontId="1" fillId="0" borderId="2" xfId="0" applyNumberFormat="1" applyFont="1" applyBorder="1" applyAlignment="1">
      <alignment horizontal="left" vertical="center"/>
    </xf>
    <xf numFmtId="164" fontId="1" fillId="0" borderId="7" xfId="0" applyNumberFormat="1" applyFont="1" applyBorder="1" applyAlignment="1">
      <alignment horizontal="left" vertical="center"/>
    </xf>
    <xf numFmtId="0" fontId="28" fillId="0" borderId="4" xfId="0" applyFont="1" applyBorder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10" fillId="0" borderId="1" xfId="0" applyFont="1" applyBorder="1" applyAlignment="1">
      <alignment horizontal="left" vertical="top"/>
    </xf>
    <xf numFmtId="0" fontId="10" fillId="0" borderId="3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6" fillId="0" borderId="18" xfId="0" applyFont="1" applyBorder="1" applyAlignment="1">
      <alignment horizontal="center" vertical="center" shrinkToFit="1"/>
    </xf>
    <xf numFmtId="0" fontId="6" fillId="0" borderId="19" xfId="0" applyFont="1" applyBorder="1" applyAlignment="1">
      <alignment horizontal="center" vertical="center" shrinkToFit="1"/>
    </xf>
    <xf numFmtId="0" fontId="6" fillId="0" borderId="28" xfId="0" applyFont="1" applyBorder="1" applyAlignment="1">
      <alignment horizontal="center" vertical="center" shrinkToFit="1"/>
    </xf>
    <xf numFmtId="0" fontId="4" fillId="0" borderId="40" xfId="0" applyFont="1" applyBorder="1" applyAlignment="1">
      <alignment horizontal="right" vertical="center" indent="2" shrinkToFit="1"/>
    </xf>
    <xf numFmtId="0" fontId="4" fillId="0" borderId="41" xfId="0" applyFont="1" applyBorder="1" applyAlignment="1">
      <alignment horizontal="right" vertical="center" indent="2" shrinkToFit="1"/>
    </xf>
    <xf numFmtId="0" fontId="4" fillId="0" borderId="42" xfId="0" applyFont="1" applyBorder="1" applyAlignment="1">
      <alignment horizontal="right" vertical="center" indent="2" shrinkToFit="1"/>
    </xf>
    <xf numFmtId="0" fontId="6" fillId="0" borderId="20" xfId="0" applyFont="1" applyBorder="1" applyAlignment="1">
      <alignment horizontal="center" vertical="center" shrinkToFit="1"/>
    </xf>
    <xf numFmtId="0" fontId="6" fillId="0" borderId="18" xfId="0" applyFont="1" applyBorder="1" applyAlignment="1">
      <alignment horizontal="right" vertical="center" indent="2" shrinkToFit="1"/>
    </xf>
    <xf numFmtId="0" fontId="6" fillId="0" borderId="19" xfId="0" applyFont="1" applyBorder="1" applyAlignment="1">
      <alignment horizontal="right" vertical="center" indent="2" shrinkToFit="1"/>
    </xf>
    <xf numFmtId="0" fontId="6" fillId="0" borderId="20" xfId="0" applyFont="1" applyBorder="1" applyAlignment="1">
      <alignment horizontal="right" vertical="center" indent="2" shrinkToFit="1"/>
    </xf>
    <xf numFmtId="0" fontId="6" fillId="0" borderId="30" xfId="0" applyFont="1" applyBorder="1" applyAlignment="1">
      <alignment horizontal="right" vertical="center" indent="2" shrinkToFit="1"/>
    </xf>
    <xf numFmtId="0" fontId="6" fillId="0" borderId="25" xfId="0" applyFont="1" applyBorder="1" applyAlignment="1">
      <alignment horizontal="right" vertical="center" indent="2" shrinkToFit="1"/>
    </xf>
    <xf numFmtId="0" fontId="6" fillId="0" borderId="23" xfId="0" applyFont="1" applyBorder="1" applyAlignment="1">
      <alignment horizontal="right" vertical="center" indent="2" shrinkToFit="1"/>
    </xf>
    <xf numFmtId="0" fontId="6" fillId="0" borderId="29" xfId="0" applyFont="1" applyBorder="1" applyAlignment="1">
      <alignment horizontal="right" vertical="center" indent="2" shrinkToFit="1"/>
    </xf>
    <xf numFmtId="0" fontId="6" fillId="0" borderId="26" xfId="0" applyFont="1" applyBorder="1" applyAlignment="1">
      <alignment horizontal="right" vertical="center" indent="2" shrinkToFit="1"/>
    </xf>
    <xf numFmtId="0" fontId="6" fillId="0" borderId="24" xfId="0" applyFont="1" applyBorder="1" applyAlignment="1">
      <alignment horizontal="right" vertical="center" indent="2" shrinkToFit="1"/>
    </xf>
    <xf numFmtId="0" fontId="6" fillId="0" borderId="34" xfId="0" applyFont="1" applyBorder="1" applyAlignment="1">
      <alignment horizontal="right" vertical="center" indent="2" shrinkToFit="1"/>
    </xf>
    <xf numFmtId="0" fontId="6" fillId="0" borderId="35" xfId="0" applyFont="1" applyBorder="1" applyAlignment="1">
      <alignment horizontal="right" vertical="center" indent="2" shrinkToFit="1"/>
    </xf>
    <xf numFmtId="0" fontId="6" fillId="0" borderId="36" xfId="0" applyFont="1" applyBorder="1" applyAlignment="1">
      <alignment horizontal="right" vertical="center" indent="2" shrinkToFit="1"/>
    </xf>
    <xf numFmtId="0" fontId="6" fillId="0" borderId="44" xfId="0" applyFont="1" applyBorder="1" applyAlignment="1">
      <alignment horizontal="right" vertical="center" indent="2" shrinkToFit="1"/>
    </xf>
    <xf numFmtId="0" fontId="6" fillId="0" borderId="27" xfId="0" applyFont="1" applyBorder="1" applyAlignment="1">
      <alignment horizontal="right" vertical="center" indent="2" shrinkToFit="1"/>
    </xf>
    <xf numFmtId="0" fontId="6" fillId="0" borderId="45" xfId="0" applyFont="1" applyBorder="1" applyAlignment="1">
      <alignment horizontal="right" vertical="center" indent="2" shrinkToFit="1"/>
    </xf>
    <xf numFmtId="0" fontId="6" fillId="0" borderId="14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0" fontId="6" fillId="0" borderId="15" xfId="0" applyFont="1" applyBorder="1" applyAlignment="1">
      <alignment horizontal="center" vertical="center" shrinkToFit="1"/>
    </xf>
    <xf numFmtId="0" fontId="15" fillId="0" borderId="9" xfId="0" applyFont="1" applyBorder="1" applyAlignment="1">
      <alignment vertical="center" shrinkToFit="1"/>
    </xf>
    <xf numFmtId="0" fontId="15" fillId="0" borderId="11" xfId="0" applyFont="1" applyBorder="1" applyAlignment="1">
      <alignment vertical="center" shrinkToFit="1"/>
    </xf>
    <xf numFmtId="0" fontId="15" fillId="0" borderId="1" xfId="0" applyFont="1" applyBorder="1" applyAlignment="1">
      <alignment vertical="center" shrinkToFit="1"/>
    </xf>
    <xf numFmtId="0" fontId="15" fillId="0" borderId="3" xfId="0" applyFont="1" applyBorder="1" applyAlignment="1">
      <alignment vertical="center" shrinkToFit="1"/>
    </xf>
    <xf numFmtId="2" fontId="3" fillId="0" borderId="9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7" xfId="0" applyFont="1" applyBorder="1" applyAlignment="1">
      <alignment horizontal="right" vertical="center"/>
    </xf>
    <xf numFmtId="0" fontId="14" fillId="0" borderId="22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 wrapText="1" shrinkToFit="1"/>
    </xf>
    <xf numFmtId="0" fontId="13" fillId="0" borderId="43" xfId="0" applyFont="1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7" xfId="0" applyFont="1" applyBorder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16" fillId="0" borderId="9" xfId="0" applyFont="1" applyBorder="1" applyAlignment="1">
      <alignment vertical="center" shrinkToFit="1"/>
    </xf>
    <xf numFmtId="0" fontId="16" fillId="0" borderId="11" xfId="0" applyFont="1" applyBorder="1" applyAlignment="1">
      <alignment vertical="center" shrinkToFit="1"/>
    </xf>
    <xf numFmtId="0" fontId="6" fillId="0" borderId="44" xfId="0" applyFont="1" applyBorder="1" applyAlignment="1">
      <alignment horizontal="center" vertical="center" shrinkToFit="1"/>
    </xf>
    <xf numFmtId="0" fontId="6" fillId="0" borderId="27" xfId="0" applyFont="1" applyBorder="1" applyAlignment="1">
      <alignment horizontal="center" vertical="center" shrinkToFit="1"/>
    </xf>
    <xf numFmtId="0" fontId="6" fillId="0" borderId="45" xfId="0" applyFont="1" applyBorder="1" applyAlignment="1">
      <alignment horizontal="center" vertical="center" shrinkToFit="1"/>
    </xf>
    <xf numFmtId="0" fontId="24" fillId="0" borderId="14" xfId="0" applyFont="1" applyBorder="1" applyAlignment="1">
      <alignment horizontal="left" vertical="center"/>
    </xf>
    <xf numFmtId="0" fontId="24" fillId="0" borderId="15" xfId="0" applyFont="1" applyBorder="1" applyAlignment="1">
      <alignment horizontal="left" vertical="center"/>
    </xf>
    <xf numFmtId="0" fontId="23" fillId="0" borderId="14" xfId="0" applyFont="1" applyBorder="1" applyAlignment="1">
      <alignment horizontal="left" vertical="center"/>
    </xf>
    <xf numFmtId="0" fontId="23" fillId="0" borderId="15" xfId="0" applyFont="1" applyBorder="1" applyAlignment="1">
      <alignment horizontal="left" vertical="center"/>
    </xf>
    <xf numFmtId="0" fontId="23" fillId="0" borderId="16" xfId="0" applyFont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10" fillId="0" borderId="2" xfId="0" applyFont="1" applyBorder="1" applyAlignment="1">
      <alignment horizontal="center" vertical="center" wrapText="1" shrinkToFit="1"/>
    </xf>
    <xf numFmtId="0" fontId="10" fillId="0" borderId="3" xfId="0" applyFont="1" applyBorder="1" applyAlignment="1">
      <alignment horizontal="center" vertical="center" wrapText="1" shrinkToFit="1"/>
    </xf>
    <xf numFmtId="0" fontId="10" fillId="0" borderId="4" xfId="0" applyFont="1" applyBorder="1" applyAlignment="1">
      <alignment horizontal="center" vertical="center" wrapText="1" shrinkToFit="1"/>
    </xf>
    <xf numFmtId="0" fontId="10" fillId="0" borderId="5" xfId="0" applyFont="1" applyBorder="1" applyAlignment="1">
      <alignment horizontal="center" vertical="center" wrapText="1" shrinkToFit="1"/>
    </xf>
    <xf numFmtId="0" fontId="6" fillId="0" borderId="14" xfId="0" applyFont="1" applyBorder="1" applyAlignment="1">
      <alignment horizontal="right" vertical="center" indent="2" shrinkToFit="1"/>
    </xf>
    <xf numFmtId="0" fontId="6" fillId="0" borderId="13" xfId="0" applyFont="1" applyBorder="1" applyAlignment="1">
      <alignment horizontal="right" vertical="center" indent="2" shrinkToFit="1"/>
    </xf>
    <xf numFmtId="0" fontId="6" fillId="0" borderId="15" xfId="0" applyFont="1" applyBorder="1" applyAlignment="1">
      <alignment horizontal="right" vertical="center" indent="2" shrinkToFit="1"/>
    </xf>
    <xf numFmtId="0" fontId="3" fillId="0" borderId="6" xfId="0" applyFont="1" applyBorder="1" applyAlignment="1">
      <alignment horizontal="left" vertical="top" wrapText="1" shrinkToFit="1"/>
    </xf>
    <xf numFmtId="0" fontId="3" fillId="0" borderId="8" xfId="0" applyFont="1" applyBorder="1" applyAlignment="1">
      <alignment horizontal="left" vertical="top" wrapText="1" shrinkToFit="1"/>
    </xf>
    <xf numFmtId="0" fontId="6" fillId="0" borderId="31" xfId="0" applyFont="1" applyBorder="1" applyAlignment="1">
      <alignment horizontal="right" vertical="center" indent="2" shrinkToFit="1"/>
    </xf>
    <xf numFmtId="0" fontId="6" fillId="0" borderId="32" xfId="0" applyFont="1" applyBorder="1" applyAlignment="1">
      <alignment horizontal="right" vertical="center" indent="2" shrinkToFit="1"/>
    </xf>
    <xf numFmtId="0" fontId="6" fillId="0" borderId="33" xfId="0" applyFont="1" applyBorder="1" applyAlignment="1">
      <alignment horizontal="right" vertical="center" indent="2" shrinkToFit="1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17" fillId="3" borderId="0" xfId="0" applyFont="1" applyFill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166" fontId="6" fillId="0" borderId="30" xfId="0" applyNumberFormat="1" applyFont="1" applyBorder="1" applyAlignment="1">
      <alignment horizontal="right" vertical="center" indent="6" shrinkToFit="1"/>
    </xf>
    <xf numFmtId="166" fontId="6" fillId="0" borderId="25" xfId="0" applyNumberFormat="1" applyFont="1" applyBorder="1" applyAlignment="1">
      <alignment horizontal="right" vertical="center" indent="6" shrinkToFit="1"/>
    </xf>
    <xf numFmtId="166" fontId="6" fillId="0" borderId="23" xfId="0" applyNumberFormat="1" applyFont="1" applyBorder="1" applyAlignment="1">
      <alignment horizontal="right" vertical="center" indent="6" shrinkToFit="1"/>
    </xf>
    <xf numFmtId="166" fontId="6" fillId="0" borderId="29" xfId="0" applyNumberFormat="1" applyFont="1" applyBorder="1" applyAlignment="1">
      <alignment horizontal="right" vertical="center" indent="6" shrinkToFit="1"/>
    </xf>
    <xf numFmtId="166" fontId="6" fillId="0" borderId="26" xfId="0" applyNumberFormat="1" applyFont="1" applyBorder="1" applyAlignment="1">
      <alignment horizontal="right" vertical="center" indent="6" shrinkToFit="1"/>
    </xf>
    <xf numFmtId="166" fontId="6" fillId="0" borderId="24" xfId="0" applyNumberFormat="1" applyFont="1" applyBorder="1" applyAlignment="1">
      <alignment horizontal="right" vertical="center" indent="6" shrinkToFit="1"/>
    </xf>
    <xf numFmtId="166" fontId="6" fillId="0" borderId="37" xfId="0" applyNumberFormat="1" applyFont="1" applyBorder="1" applyAlignment="1">
      <alignment horizontal="right" vertical="center" indent="6" shrinkToFit="1"/>
    </xf>
    <xf numFmtId="166" fontId="6" fillId="0" borderId="38" xfId="0" applyNumberFormat="1" applyFont="1" applyBorder="1" applyAlignment="1">
      <alignment horizontal="right" vertical="center" indent="6" shrinkToFit="1"/>
    </xf>
    <xf numFmtId="166" fontId="4" fillId="0" borderId="9" xfId="0" applyNumberFormat="1" applyFont="1" applyBorder="1" applyAlignment="1">
      <alignment horizontal="right" vertical="center" indent="6" shrinkToFit="1"/>
    </xf>
    <xf numFmtId="166" fontId="4" fillId="0" borderId="10" xfId="0" applyNumberFormat="1" applyFont="1" applyBorder="1" applyAlignment="1">
      <alignment horizontal="right" vertical="center" indent="6" shrinkToFit="1"/>
    </xf>
    <xf numFmtId="0" fontId="6" fillId="0" borderId="39" xfId="0" applyFont="1" applyBorder="1" applyAlignment="1">
      <alignment horizontal="right" vertical="center" indent="6" shrinkToFit="1"/>
    </xf>
    <xf numFmtId="0" fontId="6" fillId="0" borderId="27" xfId="0" applyFont="1" applyBorder="1" applyAlignment="1">
      <alignment horizontal="right" vertical="center" indent="6" shrinkToFit="1"/>
    </xf>
    <xf numFmtId="0" fontId="15" fillId="0" borderId="1" xfId="0" applyFont="1" applyBorder="1" applyAlignment="1">
      <alignment horizontal="center" vertical="center" shrinkToFit="1"/>
    </xf>
    <xf numFmtId="0" fontId="15" fillId="0" borderId="6" xfId="0" applyFont="1" applyBorder="1" applyAlignment="1">
      <alignment horizontal="center" vertical="center" shrinkToFit="1"/>
    </xf>
    <xf numFmtId="0" fontId="23" fillId="0" borderId="18" xfId="0" applyFont="1" applyBorder="1" applyAlignment="1">
      <alignment horizontal="left" vertical="center"/>
    </xf>
    <xf numFmtId="0" fontId="23" fillId="0" borderId="20" xfId="0" applyFont="1" applyBorder="1" applyAlignment="1">
      <alignment horizontal="left" vertical="center"/>
    </xf>
  </cellXfs>
  <cellStyles count="1">
    <cellStyle name="Normal" xfId="0" builtinId="0"/>
  </cellStyles>
  <dxfs count="22">
    <dxf>
      <numFmt numFmtId="30" formatCode="@"/>
    </dxf>
    <dxf>
      <numFmt numFmtId="30" formatCode="@"/>
    </dxf>
    <dxf>
      <numFmt numFmtId="165" formatCode="dd\-mm\-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990000"/>
      <color rgb="FFE67300"/>
      <color rgb="FFFF8000"/>
      <color rgb="FFFF8C1A"/>
      <color rgb="FFFF9900"/>
      <color rgb="FFFF9933"/>
      <color rgb="FFFFA500"/>
      <color rgb="FFF49202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158750</xdr:colOff>
      <xdr:row>50</xdr:row>
      <xdr:rowOff>10583</xdr:rowOff>
    </xdr:from>
    <xdr:to>
      <xdr:col>27</xdr:col>
      <xdr:colOff>257176</xdr:colOff>
      <xdr:row>52</xdr:row>
      <xdr:rowOff>26458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1560464-FBF2-419F-96ED-405559C95415}"/>
            </a:ext>
          </a:extLst>
        </xdr:cNvPr>
        <xdr:cNvSpPr/>
      </xdr:nvSpPr>
      <xdr:spPr>
        <a:xfrm>
          <a:off x="5662083" y="10720916"/>
          <a:ext cx="1865843" cy="333375"/>
        </a:xfrm>
        <a:prstGeom prst="roundRect">
          <a:avLst/>
        </a:prstGeom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200" b="1">
              <a:effectLst/>
              <a:ea typeface="Calibri" panose="020F0502020204030204" pitchFamily="34" charset="0"/>
              <a:cs typeface="Mangal" panose="02040503050203030202" pitchFamily="18" charset="0"/>
            </a:rPr>
            <a:t>PROGRESS REPORT CARD</a:t>
          </a:r>
        </a:p>
      </xdr:txBody>
    </xdr:sp>
    <xdr:clientData/>
  </xdr:twoCellAnchor>
  <xdr:twoCellAnchor>
    <xdr:from>
      <xdr:col>1</xdr:col>
      <xdr:colOff>0</xdr:colOff>
      <xdr:row>4</xdr:row>
      <xdr:rowOff>232833</xdr:rowOff>
    </xdr:from>
    <xdr:to>
      <xdr:col>6</xdr:col>
      <xdr:colOff>12700</xdr:colOff>
      <xdr:row>7</xdr:row>
      <xdr:rowOff>177800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B68226E-1169-457F-9CD6-0787C6E716CC}"/>
            </a:ext>
          </a:extLst>
        </xdr:cNvPr>
        <xdr:cNvSpPr/>
      </xdr:nvSpPr>
      <xdr:spPr>
        <a:xfrm>
          <a:off x="52917" y="994833"/>
          <a:ext cx="1600200" cy="495300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>
            <a:lnSpc>
              <a:spcPct val="107000"/>
            </a:lnSpc>
            <a:spcBef>
              <a:spcPts val="0"/>
            </a:spcBef>
            <a:spcAft>
              <a:spcPts val="300"/>
            </a:spcAft>
          </a:pPr>
          <a:r>
            <a:rPr lang="en-US" sz="1000">
              <a:effectLst/>
              <a:ea typeface="Calibri" panose="020F0502020204030204" pitchFamily="34" charset="0"/>
              <a:cs typeface="Mangal" panose="02040503050203030202" pitchFamily="18" charset="0"/>
            </a:rPr>
            <a:t>Dise Code – 23390222204</a:t>
          </a:r>
          <a:endParaRPr lang="en-US" sz="1100">
            <a:effectLst/>
            <a:ea typeface="Calibri" panose="020F0502020204030204" pitchFamily="34" charset="0"/>
            <a:cs typeface="Mangal" panose="02040503050203030202" pitchFamily="18" charset="0"/>
          </a:endParaRPr>
        </a:p>
        <a:p>
          <a:pPr marL="0" marR="0">
            <a:lnSpc>
              <a:spcPct val="107000"/>
            </a:lnSpc>
            <a:spcBef>
              <a:spcPts val="0"/>
            </a:spcBef>
            <a:spcAft>
              <a:spcPts val="300"/>
            </a:spcAft>
          </a:pPr>
          <a:r>
            <a:rPr lang="en-US" sz="1000">
              <a:effectLst/>
              <a:ea typeface="Calibri" panose="020F0502020204030204" pitchFamily="34" charset="0"/>
              <a:cs typeface="Mangal" panose="02040503050203030202" pitchFamily="18" charset="0"/>
            </a:rPr>
            <a:t>School Code - 712287</a:t>
          </a:r>
          <a:endParaRPr lang="en-US" sz="1100">
            <a:effectLst/>
            <a:ea typeface="Calibri" panose="020F0502020204030204" pitchFamily="34" charset="0"/>
            <a:cs typeface="Mangal" panose="02040503050203030202" pitchFamily="18" charset="0"/>
          </a:endParaRPr>
        </a:p>
      </xdr:txBody>
    </xdr:sp>
    <xdr:clientData/>
  </xdr:twoCellAnchor>
  <xdr:twoCellAnchor editAs="oneCell">
    <xdr:from>
      <xdr:col>24</xdr:col>
      <xdr:colOff>116416</xdr:colOff>
      <xdr:row>41</xdr:row>
      <xdr:rowOff>11921</xdr:rowOff>
    </xdr:from>
    <xdr:to>
      <xdr:col>26</xdr:col>
      <xdr:colOff>137583</xdr:colOff>
      <xdr:row>47</xdr:row>
      <xdr:rowOff>137584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5A39BA7-BCC4-4ACA-A738-C416F4D98C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5333" y="9060671"/>
          <a:ext cx="846667" cy="107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137585</xdr:colOff>
      <xdr:row>0</xdr:row>
      <xdr:rowOff>31750</xdr:rowOff>
    </xdr:from>
    <xdr:to>
      <xdr:col>2</xdr:col>
      <xdr:colOff>238494</xdr:colOff>
      <xdr:row>4</xdr:row>
      <xdr:rowOff>158750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56F50D1-E394-4900-BD2A-13FF9267AE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2" y="31750"/>
          <a:ext cx="714742" cy="9101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43C82A43-85D5-42E7-88A7-A8850CC381C8}" autoFormatId="16" applyNumberFormats="0" applyBorderFormats="0" applyFontFormats="0" applyPatternFormats="0" applyAlignmentFormats="0" applyWidthHeightFormats="0">
  <queryTableRefresh nextId="29">
    <queryTableFields count="28">
      <queryTableField id="1" name="RollNo" tableColumnId="1"/>
      <queryTableField id="2" name="StudentId" tableColumnId="2"/>
      <queryTableField id="3" name="StudentName" tableColumnId="3"/>
      <queryTableField id="4" name="Class" tableColumnId="4"/>
      <queryTableField id="5" name="Session" tableColumnId="5"/>
      <queryTableField id="6" name="Subject" tableColumnId="6"/>
      <queryTableField id="7" name="KEYID" tableColumnId="7"/>
      <queryTableField id="8" name="FINALEXAM" tableColumnId="8"/>
      <queryTableField id="9" name="HALFYEARLY" tableColumnId="9"/>
      <queryTableField id="10" name="QUARTERLY" tableColumnId="10"/>
      <queryTableField id="11" name="AdmissionNo" tableColumnId="11"/>
      <queryTableField id="12" name="DOB" tableColumnId="12"/>
      <queryTableField id="13" name="BloodGroup" tableColumnId="13"/>
      <queryTableField id="14" name="Address" tableColumnId="14"/>
      <queryTableField id="15" name="CategoryId" tableColumnId="15"/>
      <queryTableField id="16" name="FATHERNAME" tableColumnId="16"/>
      <queryTableField id="17" name="MOTHERNAME" tableColumnId="17"/>
      <queryTableField id="18" name="AADHAR" tableColumnId="18"/>
      <queryTableField id="19" name="SSSMID" tableColumnId="19"/>
      <queryTableField id="20" name="ReportCardText" tableColumnId="20"/>
      <queryTableField id="21" name="Caste" tableColumnId="21"/>
      <queryTableField id="22" name="Attendance" tableColumnId="22"/>
      <queryTableField id="23" name="TotalDays" tableColumnId="23"/>
      <queryTableField id="24" name="HLF_TOTAL" tableColumnId="24"/>
      <queryTableField id="25" name="HLF_ATTENDANCE" tableColumnId="25"/>
      <queryTableField id="26" name="YR_TOTAL" tableColumnId="26"/>
      <queryTableField id="27" name="YR_ATTENDANCE" tableColumnId="27"/>
      <queryTableField id="28" name="REMARKS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0B369D-B3DB-4CEE-91B8-8421F112CCBD}" name="bbnv_View_ReportCard_Pre_Primary" displayName="bbnv_View_ReportCard_Pre_Primary" ref="A1:AB330" tableType="queryTable" totalsRowShown="0">
  <autoFilter ref="A1:AB330" xr:uid="{9E059DD4-FDB8-41F7-B6BC-5F71C215923E}"/>
  <tableColumns count="28">
    <tableColumn id="1" xr3:uid="{FAD1A35A-5B70-4745-B28F-9437941F53AA}" uniqueName="1" name="RollNo" queryTableFieldId="1"/>
    <tableColumn id="2" xr3:uid="{C93BCCA3-654B-4CBF-9969-E9B4E251658B}" uniqueName="2" name="StudentId" queryTableFieldId="2"/>
    <tableColumn id="3" xr3:uid="{669FFF44-AE08-4E48-BA3C-7006F9C5C4DF}" uniqueName="3" name="StudentName" queryTableFieldId="3" dataDxfId="18"/>
    <tableColumn id="4" xr3:uid="{723468BA-EBD6-458B-86BF-1CB8DD4469D4}" uniqueName="4" name="Class" queryTableFieldId="4" dataDxfId="17"/>
    <tableColumn id="5" xr3:uid="{7A134B1C-A4D1-47D3-BAF8-799E760B43DB}" uniqueName="5" name="Session" queryTableFieldId="5" dataDxfId="16"/>
    <tableColumn id="6" xr3:uid="{9A8763E4-7E74-45E2-B2AC-E71ED8725152}" uniqueName="6" name="Subject" queryTableFieldId="6" dataDxfId="15"/>
    <tableColumn id="7" xr3:uid="{A9124E66-3BB9-46D7-8C24-6B8C7331A7FB}" uniqueName="7" name="KEYID" queryTableFieldId="7" dataDxfId="14"/>
    <tableColumn id="8" xr3:uid="{0F123295-9A82-48E5-BE5D-DD03B3220E22}" uniqueName="8" name="FINALEXAM" queryTableFieldId="8" dataDxfId="13"/>
    <tableColumn id="9" xr3:uid="{F3E1E7A2-5EAD-4D22-8E28-94A0CEF4BB36}" uniqueName="9" name="HALFYEARLY" queryTableFieldId="9" dataDxfId="12"/>
    <tableColumn id="10" xr3:uid="{114905D9-BFCC-4F60-A5FC-9B2480331B63}" uniqueName="10" name="QUARTERLY" queryTableFieldId="10" dataDxfId="11"/>
    <tableColumn id="11" xr3:uid="{1083BFAF-A6C8-4EC2-8F5A-AF85142CEC4B}" uniqueName="11" name="AdmissionNo" queryTableFieldId="11" dataDxfId="10"/>
    <tableColumn id="12" xr3:uid="{7EC43346-67FB-45E3-83E1-72542A17CE9E}" uniqueName="12" name="DOB" queryTableFieldId="12" dataDxfId="2"/>
    <tableColumn id="13" xr3:uid="{13DDB93B-5829-44D6-84E4-5EA9AD91B393}" uniqueName="13" name="BloodGroup" queryTableFieldId="13" dataDxfId="9"/>
    <tableColumn id="14" xr3:uid="{2327EA1C-1107-4B8B-BE31-D67CFF39A66F}" uniqueName="14" name="Address" queryTableFieldId="14" dataDxfId="8"/>
    <tableColumn id="15" xr3:uid="{52F96906-F3CA-4565-9830-A199C26CC226}" uniqueName="15" name="CategoryId" queryTableFieldId="15"/>
    <tableColumn id="16" xr3:uid="{996AC50D-E058-40BA-9B01-CFCB32B774D8}" uniqueName="16" name="FATHERNAME" queryTableFieldId="16" dataDxfId="7"/>
    <tableColumn id="17" xr3:uid="{C85C3F20-8050-444D-8CB5-B8019697BBB9}" uniqueName="17" name="MotherName" queryTableFieldId="17" dataDxfId="6"/>
    <tableColumn id="18" xr3:uid="{60BC085E-7C6A-48DB-A3AC-A3A1D3DF554F}" uniqueName="18" name="AADHAR" queryTableFieldId="18" dataDxfId="1"/>
    <tableColumn id="19" xr3:uid="{2D29A27F-A703-4770-A4CC-A7EAB661929B}" uniqueName="19" name="SSSMID" queryTableFieldId="19" dataDxfId="0"/>
    <tableColumn id="20" xr3:uid="{3EA5D9D1-815B-4069-B245-5818A5D6987A}" uniqueName="20" name="ReportCardText" queryTableFieldId="20" dataDxfId="5"/>
    <tableColumn id="21" xr3:uid="{E14F2E98-89B6-4320-971C-C70AF5B49E06}" uniqueName="21" name="Caste" queryTableFieldId="21" dataDxfId="4"/>
    <tableColumn id="22" xr3:uid="{49A6436B-72B9-499C-A2D2-C1E562217A90}" uniqueName="22" name="Attendance" queryTableFieldId="22"/>
    <tableColumn id="23" xr3:uid="{1F054465-4600-4ADB-8C5D-061E9813A859}" uniqueName="23" name="TotalDays" queryTableFieldId="23"/>
    <tableColumn id="24" xr3:uid="{B02924BF-4C95-4E5D-97D6-4B431A3EEA9B}" uniqueName="24" name="HLF_TOTAL" queryTableFieldId="24"/>
    <tableColumn id="25" xr3:uid="{6EFBD850-D361-4458-A06A-8E5A9E9CA75D}" uniqueName="25" name="HLF_ATTENDANCE" queryTableFieldId="25"/>
    <tableColumn id="26" xr3:uid="{11C686D8-95CB-481F-88AB-D8808231C761}" uniqueName="26" name="YR_TOTAL" queryTableFieldId="26"/>
    <tableColumn id="27" xr3:uid="{242B2B97-E792-4C63-A94F-CAEA76EC7262}" uniqueName="27" name="YR_ATTENDANCE" queryTableFieldId="27"/>
    <tableColumn id="28" xr3:uid="{6718D197-DC8C-4CF8-97C2-1E4AAF85A448}" uniqueName="28" name="REMARKS" queryTableFieldId="28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30"/>
  <sheetViews>
    <sheetView zoomScaleNormal="100" workbookViewId="0"/>
  </sheetViews>
  <sheetFormatPr defaultRowHeight="15"/>
  <cols>
    <col min="1" max="1" width="9.28515625" bestFit="1" customWidth="1"/>
    <col min="2" max="2" width="12" bestFit="1" customWidth="1"/>
    <col min="3" max="3" width="23.7109375" bestFit="1" customWidth="1"/>
    <col min="4" max="4" width="7.7109375" bestFit="1" customWidth="1"/>
    <col min="5" max="5" width="10" bestFit="1" customWidth="1"/>
    <col min="6" max="6" width="11.28515625" bestFit="1" customWidth="1"/>
    <col min="7" max="7" width="21.7109375" bestFit="1" customWidth="1"/>
    <col min="8" max="8" width="13.7109375" bestFit="1" customWidth="1"/>
    <col min="9" max="9" width="14.28515625" bestFit="1" customWidth="1"/>
    <col min="10" max="10" width="13.7109375" bestFit="1" customWidth="1"/>
    <col min="11" max="11" width="15.140625" bestFit="1" customWidth="1"/>
    <col min="12" max="12" width="10.42578125" style="48" bestFit="1" customWidth="1"/>
    <col min="13" max="13" width="14" bestFit="1" customWidth="1"/>
    <col min="14" max="14" width="48.42578125" bestFit="1" customWidth="1"/>
    <col min="15" max="15" width="12.85546875" bestFit="1" customWidth="1"/>
    <col min="16" max="16" width="30.5703125" bestFit="1" customWidth="1"/>
    <col min="17" max="17" width="20.42578125" bestFit="1" customWidth="1"/>
    <col min="18" max="18" width="14.5703125" style="81" bestFit="1" customWidth="1"/>
    <col min="19" max="19" width="11" style="81" bestFit="1" customWidth="1"/>
    <col min="20" max="20" width="17.5703125" bestFit="1" customWidth="1"/>
    <col min="21" max="21" width="8.140625" bestFit="1" customWidth="1"/>
    <col min="22" max="22" width="13.5703125" bestFit="1" customWidth="1"/>
    <col min="23" max="23" width="11.85546875" bestFit="1" customWidth="1"/>
    <col min="24" max="24" width="13" bestFit="1" customWidth="1"/>
    <col min="25" max="25" width="19.5703125" bestFit="1" customWidth="1"/>
    <col min="26" max="26" width="12.140625" bestFit="1" customWidth="1"/>
    <col min="27" max="27" width="18.5703125" bestFit="1" customWidth="1"/>
    <col min="28" max="28" width="11.85546875" bestFit="1" customWidth="1"/>
  </cols>
  <sheetData>
    <row r="1" spans="1:28">
      <c r="A1" t="s">
        <v>1</v>
      </c>
      <c r="B1" t="s">
        <v>0</v>
      </c>
      <c r="C1" t="s">
        <v>9</v>
      </c>
      <c r="D1" t="s">
        <v>2</v>
      </c>
      <c r="E1" t="s">
        <v>3</v>
      </c>
      <c r="F1" t="s">
        <v>4</v>
      </c>
      <c r="G1" t="s">
        <v>98</v>
      </c>
      <c r="H1" t="s">
        <v>10</v>
      </c>
      <c r="I1" t="s">
        <v>11</v>
      </c>
      <c r="J1" t="s">
        <v>12</v>
      </c>
      <c r="K1" t="s">
        <v>84</v>
      </c>
      <c r="L1" s="48" t="s">
        <v>85</v>
      </c>
      <c r="M1" t="s">
        <v>86</v>
      </c>
      <c r="N1" t="s">
        <v>72</v>
      </c>
      <c r="O1" t="s">
        <v>83</v>
      </c>
      <c r="P1" t="s">
        <v>87</v>
      </c>
      <c r="Q1" t="s">
        <v>136</v>
      </c>
      <c r="R1" s="81" t="s">
        <v>88</v>
      </c>
      <c r="S1" s="81" t="s">
        <v>73</v>
      </c>
      <c r="T1" t="s">
        <v>99</v>
      </c>
      <c r="U1" t="s">
        <v>74</v>
      </c>
      <c r="V1" t="s">
        <v>94</v>
      </c>
      <c r="W1" t="s">
        <v>100</v>
      </c>
      <c r="X1" t="s">
        <v>137</v>
      </c>
      <c r="Y1" t="s">
        <v>138</v>
      </c>
      <c r="Z1" t="s">
        <v>139</v>
      </c>
      <c r="AA1" t="s">
        <v>140</v>
      </c>
      <c r="AB1" t="s">
        <v>201</v>
      </c>
    </row>
    <row r="2" spans="1:28">
      <c r="A2">
        <v>1001</v>
      </c>
      <c r="B2">
        <v>1116</v>
      </c>
      <c r="C2" t="s">
        <v>743</v>
      </c>
      <c r="D2" t="s">
        <v>202</v>
      </c>
      <c r="E2" t="s">
        <v>744</v>
      </c>
      <c r="F2" t="s">
        <v>5</v>
      </c>
      <c r="G2" t="s">
        <v>203</v>
      </c>
      <c r="H2" t="s">
        <v>304</v>
      </c>
      <c r="I2" t="s">
        <v>299</v>
      </c>
      <c r="J2" t="s">
        <v>312</v>
      </c>
      <c r="K2" t="s">
        <v>745</v>
      </c>
      <c r="L2" s="48">
        <v>44244</v>
      </c>
      <c r="M2" t="s">
        <v>134</v>
      </c>
      <c r="N2" t="s">
        <v>746</v>
      </c>
      <c r="O2">
        <v>3</v>
      </c>
      <c r="P2" t="s">
        <v>747</v>
      </c>
      <c r="Q2" t="s">
        <v>748</v>
      </c>
      <c r="R2" s="81" t="s">
        <v>749</v>
      </c>
      <c r="S2" s="81" t="s">
        <v>750</v>
      </c>
      <c r="T2" t="s">
        <v>32</v>
      </c>
      <c r="U2" t="s">
        <v>77</v>
      </c>
      <c r="V2">
        <v>20</v>
      </c>
      <c r="W2">
        <v>50</v>
      </c>
      <c r="X2">
        <v>55</v>
      </c>
      <c r="Y2">
        <v>24</v>
      </c>
      <c r="Z2">
        <v>110</v>
      </c>
      <c r="AA2">
        <v>77</v>
      </c>
      <c r="AB2" t="s">
        <v>284</v>
      </c>
    </row>
    <row r="3" spans="1:28">
      <c r="A3">
        <v>1001</v>
      </c>
      <c r="B3">
        <v>1116</v>
      </c>
      <c r="C3" t="s">
        <v>743</v>
      </c>
      <c r="D3" t="s">
        <v>202</v>
      </c>
      <c r="E3" t="s">
        <v>744</v>
      </c>
      <c r="F3" t="s">
        <v>8</v>
      </c>
      <c r="G3" t="s">
        <v>205</v>
      </c>
      <c r="H3" t="s">
        <v>290</v>
      </c>
      <c r="I3" t="s">
        <v>294</v>
      </c>
      <c r="J3" t="s">
        <v>293</v>
      </c>
      <c r="K3" t="s">
        <v>745</v>
      </c>
      <c r="L3" s="48">
        <v>44244</v>
      </c>
      <c r="M3" t="s">
        <v>134</v>
      </c>
      <c r="N3" t="s">
        <v>746</v>
      </c>
      <c r="O3">
        <v>3</v>
      </c>
      <c r="P3" t="s">
        <v>747</v>
      </c>
      <c r="Q3" t="s">
        <v>748</v>
      </c>
      <c r="R3" s="81" t="s">
        <v>749</v>
      </c>
      <c r="S3" s="81" t="s">
        <v>750</v>
      </c>
      <c r="T3" t="s">
        <v>30</v>
      </c>
      <c r="U3" t="s">
        <v>77</v>
      </c>
      <c r="V3">
        <v>20</v>
      </c>
      <c r="W3">
        <v>50</v>
      </c>
      <c r="X3">
        <v>55</v>
      </c>
      <c r="Y3">
        <v>24</v>
      </c>
      <c r="Z3">
        <v>110</v>
      </c>
      <c r="AA3">
        <v>77</v>
      </c>
      <c r="AB3" t="s">
        <v>284</v>
      </c>
    </row>
    <row r="4" spans="1:28">
      <c r="A4">
        <v>1001</v>
      </c>
      <c r="B4">
        <v>1116</v>
      </c>
      <c r="C4" t="s">
        <v>743</v>
      </c>
      <c r="D4" t="s">
        <v>202</v>
      </c>
      <c r="E4" t="s">
        <v>744</v>
      </c>
      <c r="F4" t="s">
        <v>7</v>
      </c>
      <c r="G4" t="s">
        <v>207</v>
      </c>
      <c r="H4" t="s">
        <v>300</v>
      </c>
      <c r="I4" t="s">
        <v>285</v>
      </c>
      <c r="J4" t="s">
        <v>303</v>
      </c>
      <c r="K4" t="s">
        <v>745</v>
      </c>
      <c r="L4" s="48">
        <v>44244</v>
      </c>
      <c r="M4" t="s">
        <v>134</v>
      </c>
      <c r="N4" t="s">
        <v>746</v>
      </c>
      <c r="O4">
        <v>3</v>
      </c>
      <c r="P4" t="s">
        <v>747</v>
      </c>
      <c r="Q4" t="s">
        <v>748</v>
      </c>
      <c r="R4" s="81" t="s">
        <v>749</v>
      </c>
      <c r="S4" s="81" t="s">
        <v>750</v>
      </c>
      <c r="T4" t="s">
        <v>31</v>
      </c>
      <c r="U4" t="s">
        <v>77</v>
      </c>
      <c r="V4">
        <v>20</v>
      </c>
      <c r="W4">
        <v>50</v>
      </c>
      <c r="X4">
        <v>55</v>
      </c>
      <c r="Y4">
        <v>24</v>
      </c>
      <c r="Z4">
        <v>110</v>
      </c>
      <c r="AA4">
        <v>77</v>
      </c>
      <c r="AB4" t="s">
        <v>284</v>
      </c>
    </row>
    <row r="5" spans="1:28">
      <c r="A5">
        <v>1001</v>
      </c>
      <c r="B5">
        <v>1116</v>
      </c>
      <c r="C5" t="s">
        <v>743</v>
      </c>
      <c r="D5" t="s">
        <v>202</v>
      </c>
      <c r="E5" t="s">
        <v>744</v>
      </c>
      <c r="F5" t="s">
        <v>367</v>
      </c>
      <c r="G5" t="s">
        <v>368</v>
      </c>
      <c r="H5" t="s">
        <v>309</v>
      </c>
      <c r="I5" t="s">
        <v>312</v>
      </c>
      <c r="J5" t="s">
        <v>379</v>
      </c>
      <c r="K5" t="s">
        <v>745</v>
      </c>
      <c r="L5" s="48">
        <v>44244</v>
      </c>
      <c r="M5" t="s">
        <v>134</v>
      </c>
      <c r="N5" t="s">
        <v>746</v>
      </c>
      <c r="O5">
        <v>3</v>
      </c>
      <c r="P5" t="s">
        <v>747</v>
      </c>
      <c r="Q5" t="s">
        <v>748</v>
      </c>
      <c r="R5" s="81" t="s">
        <v>749</v>
      </c>
      <c r="S5" s="81" t="s">
        <v>750</v>
      </c>
      <c r="T5" t="s">
        <v>37</v>
      </c>
      <c r="U5" t="s">
        <v>77</v>
      </c>
      <c r="V5">
        <v>20</v>
      </c>
      <c r="W5">
        <v>50</v>
      </c>
      <c r="X5">
        <v>55</v>
      </c>
      <c r="Y5">
        <v>24</v>
      </c>
      <c r="Z5">
        <v>110</v>
      </c>
      <c r="AA5">
        <v>77</v>
      </c>
      <c r="AB5" t="s">
        <v>284</v>
      </c>
    </row>
    <row r="6" spans="1:28">
      <c r="A6">
        <v>1001</v>
      </c>
      <c r="B6">
        <v>1116</v>
      </c>
      <c r="C6" t="s">
        <v>743</v>
      </c>
      <c r="D6" t="s">
        <v>202</v>
      </c>
      <c r="E6" t="s">
        <v>744</v>
      </c>
      <c r="F6" t="s">
        <v>369</v>
      </c>
      <c r="G6" t="s">
        <v>370</v>
      </c>
      <c r="H6" t="s">
        <v>309</v>
      </c>
      <c r="I6" t="s">
        <v>312</v>
      </c>
      <c r="J6" t="s">
        <v>312</v>
      </c>
      <c r="K6" t="s">
        <v>745</v>
      </c>
      <c r="L6" s="48">
        <v>44244</v>
      </c>
      <c r="M6" t="s">
        <v>134</v>
      </c>
      <c r="N6" t="s">
        <v>746</v>
      </c>
      <c r="O6">
        <v>3</v>
      </c>
      <c r="P6" t="s">
        <v>747</v>
      </c>
      <c r="Q6" t="s">
        <v>748</v>
      </c>
      <c r="R6" s="81" t="s">
        <v>749</v>
      </c>
      <c r="S6" s="81" t="s">
        <v>750</v>
      </c>
      <c r="T6" t="s">
        <v>113</v>
      </c>
      <c r="U6" t="s">
        <v>77</v>
      </c>
      <c r="V6">
        <v>20</v>
      </c>
      <c r="W6">
        <v>50</v>
      </c>
      <c r="X6">
        <v>55</v>
      </c>
      <c r="Y6">
        <v>24</v>
      </c>
      <c r="Z6">
        <v>110</v>
      </c>
      <c r="AA6">
        <v>77</v>
      </c>
      <c r="AB6" t="s">
        <v>284</v>
      </c>
    </row>
    <row r="7" spans="1:28">
      <c r="A7">
        <v>1002</v>
      </c>
      <c r="B7">
        <v>1178</v>
      </c>
      <c r="C7" t="s">
        <v>751</v>
      </c>
      <c r="D7" t="s">
        <v>202</v>
      </c>
      <c r="E7" t="s">
        <v>744</v>
      </c>
      <c r="F7" t="s">
        <v>369</v>
      </c>
      <c r="G7" t="s">
        <v>371</v>
      </c>
      <c r="H7" t="s">
        <v>318</v>
      </c>
      <c r="I7" t="s">
        <v>312</v>
      </c>
      <c r="J7" t="s">
        <v>319</v>
      </c>
      <c r="K7" t="s">
        <v>752</v>
      </c>
      <c r="L7" s="48">
        <v>44185</v>
      </c>
      <c r="M7" t="s">
        <v>134</v>
      </c>
      <c r="N7" t="s">
        <v>559</v>
      </c>
      <c r="O7">
        <v>3</v>
      </c>
      <c r="P7" t="s">
        <v>753</v>
      </c>
      <c r="Q7" t="s">
        <v>754</v>
      </c>
      <c r="R7" s="81" t="s">
        <v>755</v>
      </c>
      <c r="S7" s="81" t="s">
        <v>756</v>
      </c>
      <c r="T7" t="s">
        <v>113</v>
      </c>
      <c r="U7" t="s">
        <v>77</v>
      </c>
      <c r="V7">
        <v>5</v>
      </c>
      <c r="W7">
        <v>50</v>
      </c>
      <c r="X7">
        <v>55</v>
      </c>
      <c r="Y7">
        <v>6</v>
      </c>
      <c r="Z7">
        <v>110</v>
      </c>
      <c r="AA7">
        <v>7</v>
      </c>
      <c r="AB7" t="s">
        <v>284</v>
      </c>
    </row>
    <row r="8" spans="1:28">
      <c r="A8">
        <v>1002</v>
      </c>
      <c r="B8">
        <v>1178</v>
      </c>
      <c r="C8" t="s">
        <v>751</v>
      </c>
      <c r="D8" t="s">
        <v>202</v>
      </c>
      <c r="E8" t="s">
        <v>744</v>
      </c>
      <c r="F8" t="s">
        <v>367</v>
      </c>
      <c r="G8" t="s">
        <v>372</v>
      </c>
      <c r="H8" t="s">
        <v>309</v>
      </c>
      <c r="I8" t="s">
        <v>312</v>
      </c>
      <c r="J8" t="s">
        <v>309</v>
      </c>
      <c r="K8" t="s">
        <v>752</v>
      </c>
      <c r="L8" s="48">
        <v>44185</v>
      </c>
      <c r="M8" t="s">
        <v>134</v>
      </c>
      <c r="N8" t="s">
        <v>559</v>
      </c>
      <c r="O8">
        <v>3</v>
      </c>
      <c r="P8" t="s">
        <v>753</v>
      </c>
      <c r="Q8" t="s">
        <v>754</v>
      </c>
      <c r="R8" s="81" t="s">
        <v>755</v>
      </c>
      <c r="S8" s="81" t="s">
        <v>756</v>
      </c>
      <c r="T8" t="s">
        <v>37</v>
      </c>
      <c r="U8" t="s">
        <v>77</v>
      </c>
      <c r="V8">
        <v>5</v>
      </c>
      <c r="W8">
        <v>50</v>
      </c>
      <c r="X8">
        <v>55</v>
      </c>
      <c r="Y8">
        <v>6</v>
      </c>
      <c r="Z8">
        <v>110</v>
      </c>
      <c r="AA8">
        <v>7</v>
      </c>
      <c r="AB8" t="s">
        <v>284</v>
      </c>
    </row>
    <row r="9" spans="1:28">
      <c r="A9">
        <v>1002</v>
      </c>
      <c r="B9">
        <v>1178</v>
      </c>
      <c r="C9" t="s">
        <v>751</v>
      </c>
      <c r="D9" t="s">
        <v>202</v>
      </c>
      <c r="E9" t="s">
        <v>744</v>
      </c>
      <c r="F9" t="s">
        <v>7</v>
      </c>
      <c r="G9" t="s">
        <v>208</v>
      </c>
      <c r="H9" t="s">
        <v>483</v>
      </c>
      <c r="I9" t="s">
        <v>483</v>
      </c>
      <c r="J9" t="s">
        <v>206</v>
      </c>
      <c r="K9" t="s">
        <v>752</v>
      </c>
      <c r="L9" s="48">
        <v>44185</v>
      </c>
      <c r="M9" t="s">
        <v>134</v>
      </c>
      <c r="N9" t="s">
        <v>559</v>
      </c>
      <c r="O9">
        <v>3</v>
      </c>
      <c r="P9" t="s">
        <v>753</v>
      </c>
      <c r="Q9" t="s">
        <v>754</v>
      </c>
      <c r="R9" s="81" t="s">
        <v>755</v>
      </c>
      <c r="S9" s="81" t="s">
        <v>756</v>
      </c>
      <c r="T9" t="s">
        <v>31</v>
      </c>
      <c r="U9" t="s">
        <v>77</v>
      </c>
      <c r="V9">
        <v>5</v>
      </c>
      <c r="W9">
        <v>50</v>
      </c>
      <c r="X9">
        <v>55</v>
      </c>
      <c r="Y9">
        <v>6</v>
      </c>
      <c r="Z9">
        <v>110</v>
      </c>
      <c r="AA9">
        <v>7</v>
      </c>
      <c r="AB9" t="s">
        <v>284</v>
      </c>
    </row>
    <row r="10" spans="1:28">
      <c r="A10">
        <v>1002</v>
      </c>
      <c r="B10">
        <v>1178</v>
      </c>
      <c r="C10" t="s">
        <v>751</v>
      </c>
      <c r="D10" t="s">
        <v>202</v>
      </c>
      <c r="E10" t="s">
        <v>744</v>
      </c>
      <c r="F10" t="s">
        <v>8</v>
      </c>
      <c r="G10" t="s">
        <v>209</v>
      </c>
      <c r="H10" t="s">
        <v>483</v>
      </c>
      <c r="I10" t="s">
        <v>483</v>
      </c>
      <c r="J10" t="s">
        <v>206</v>
      </c>
      <c r="K10" t="s">
        <v>752</v>
      </c>
      <c r="L10" s="48">
        <v>44185</v>
      </c>
      <c r="M10" t="s">
        <v>134</v>
      </c>
      <c r="N10" t="s">
        <v>559</v>
      </c>
      <c r="O10">
        <v>3</v>
      </c>
      <c r="P10" t="s">
        <v>753</v>
      </c>
      <c r="Q10" t="s">
        <v>754</v>
      </c>
      <c r="R10" s="81" t="s">
        <v>755</v>
      </c>
      <c r="S10" s="81" t="s">
        <v>756</v>
      </c>
      <c r="T10" t="s">
        <v>30</v>
      </c>
      <c r="U10" t="s">
        <v>77</v>
      </c>
      <c r="V10">
        <v>5</v>
      </c>
      <c r="W10">
        <v>50</v>
      </c>
      <c r="X10">
        <v>55</v>
      </c>
      <c r="Y10">
        <v>6</v>
      </c>
      <c r="Z10">
        <v>110</v>
      </c>
      <c r="AA10">
        <v>7</v>
      </c>
      <c r="AB10" t="s">
        <v>284</v>
      </c>
    </row>
    <row r="11" spans="1:28">
      <c r="A11">
        <v>1002</v>
      </c>
      <c r="B11">
        <v>1178</v>
      </c>
      <c r="C11" t="s">
        <v>751</v>
      </c>
      <c r="D11" t="s">
        <v>202</v>
      </c>
      <c r="E11" t="s">
        <v>744</v>
      </c>
      <c r="F11" t="s">
        <v>5</v>
      </c>
      <c r="G11" t="s">
        <v>210</v>
      </c>
      <c r="H11" t="s">
        <v>483</v>
      </c>
      <c r="I11" t="s">
        <v>483</v>
      </c>
      <c r="J11" t="s">
        <v>483</v>
      </c>
      <c r="K11" t="s">
        <v>752</v>
      </c>
      <c r="L11" s="48">
        <v>44185</v>
      </c>
      <c r="M11" t="s">
        <v>134</v>
      </c>
      <c r="N11" t="s">
        <v>559</v>
      </c>
      <c r="O11">
        <v>3</v>
      </c>
      <c r="P11" t="s">
        <v>753</v>
      </c>
      <c r="Q11" t="s">
        <v>754</v>
      </c>
      <c r="R11" s="81" t="s">
        <v>755</v>
      </c>
      <c r="S11" s="81" t="s">
        <v>756</v>
      </c>
      <c r="T11" t="s">
        <v>32</v>
      </c>
      <c r="U11" t="s">
        <v>77</v>
      </c>
      <c r="V11">
        <v>5</v>
      </c>
      <c r="W11">
        <v>50</v>
      </c>
      <c r="X11">
        <v>55</v>
      </c>
      <c r="Y11">
        <v>6</v>
      </c>
      <c r="Z11">
        <v>110</v>
      </c>
      <c r="AA11">
        <v>7</v>
      </c>
      <c r="AB11" t="s">
        <v>284</v>
      </c>
    </row>
    <row r="12" spans="1:28">
      <c r="A12">
        <v>1003</v>
      </c>
      <c r="B12">
        <v>1199</v>
      </c>
      <c r="C12" t="s">
        <v>757</v>
      </c>
      <c r="D12" t="s">
        <v>202</v>
      </c>
      <c r="E12" t="s">
        <v>744</v>
      </c>
      <c r="F12" t="s">
        <v>5</v>
      </c>
      <c r="G12" t="s">
        <v>211</v>
      </c>
      <c r="H12" t="s">
        <v>306</v>
      </c>
      <c r="I12" t="s">
        <v>307</v>
      </c>
      <c r="J12" t="s">
        <v>292</v>
      </c>
      <c r="K12" t="s">
        <v>758</v>
      </c>
      <c r="L12" s="48">
        <v>44427</v>
      </c>
      <c r="M12" t="s">
        <v>134</v>
      </c>
      <c r="N12" t="s">
        <v>569</v>
      </c>
      <c r="O12">
        <v>3</v>
      </c>
      <c r="P12" t="s">
        <v>759</v>
      </c>
      <c r="Q12" t="s">
        <v>499</v>
      </c>
      <c r="R12" s="81" t="s">
        <v>760</v>
      </c>
      <c r="S12" s="81" t="s">
        <v>761</v>
      </c>
      <c r="T12" t="s">
        <v>32</v>
      </c>
      <c r="U12" t="s">
        <v>77</v>
      </c>
      <c r="V12">
        <v>18</v>
      </c>
      <c r="W12">
        <v>50</v>
      </c>
      <c r="X12">
        <v>55</v>
      </c>
      <c r="Y12">
        <v>20</v>
      </c>
      <c r="Z12">
        <v>110</v>
      </c>
      <c r="AA12">
        <v>52</v>
      </c>
      <c r="AB12" t="s">
        <v>284</v>
      </c>
    </row>
    <row r="13" spans="1:28">
      <c r="A13">
        <v>1003</v>
      </c>
      <c r="B13">
        <v>1199</v>
      </c>
      <c r="C13" t="s">
        <v>757</v>
      </c>
      <c r="D13" t="s">
        <v>202</v>
      </c>
      <c r="E13" t="s">
        <v>744</v>
      </c>
      <c r="F13" t="s">
        <v>8</v>
      </c>
      <c r="G13" t="s">
        <v>212</v>
      </c>
      <c r="H13" t="s">
        <v>312</v>
      </c>
      <c r="I13" t="s">
        <v>292</v>
      </c>
      <c r="J13" t="s">
        <v>311</v>
      </c>
      <c r="K13" t="s">
        <v>758</v>
      </c>
      <c r="L13" s="48">
        <v>44427</v>
      </c>
      <c r="M13" t="s">
        <v>134</v>
      </c>
      <c r="N13" t="s">
        <v>569</v>
      </c>
      <c r="O13">
        <v>3</v>
      </c>
      <c r="P13" t="s">
        <v>759</v>
      </c>
      <c r="Q13" t="s">
        <v>499</v>
      </c>
      <c r="R13" s="81" t="s">
        <v>760</v>
      </c>
      <c r="S13" s="81" t="s">
        <v>761</v>
      </c>
      <c r="T13" t="s">
        <v>30</v>
      </c>
      <c r="U13" t="s">
        <v>77</v>
      </c>
      <c r="V13">
        <v>18</v>
      </c>
      <c r="W13">
        <v>50</v>
      </c>
      <c r="X13">
        <v>55</v>
      </c>
      <c r="Y13">
        <v>20</v>
      </c>
      <c r="Z13">
        <v>110</v>
      </c>
      <c r="AA13">
        <v>52</v>
      </c>
      <c r="AB13" t="s">
        <v>284</v>
      </c>
    </row>
    <row r="14" spans="1:28">
      <c r="A14">
        <v>1003</v>
      </c>
      <c r="B14">
        <v>1199</v>
      </c>
      <c r="C14" t="s">
        <v>757</v>
      </c>
      <c r="D14" t="s">
        <v>202</v>
      </c>
      <c r="E14" t="s">
        <v>744</v>
      </c>
      <c r="F14" t="s">
        <v>7</v>
      </c>
      <c r="G14" t="s">
        <v>213</v>
      </c>
      <c r="H14" t="s">
        <v>296</v>
      </c>
      <c r="I14" t="s">
        <v>298</v>
      </c>
      <c r="J14" t="s">
        <v>292</v>
      </c>
      <c r="K14" t="s">
        <v>758</v>
      </c>
      <c r="L14" s="48">
        <v>44427</v>
      </c>
      <c r="M14" t="s">
        <v>134</v>
      </c>
      <c r="N14" t="s">
        <v>569</v>
      </c>
      <c r="O14">
        <v>3</v>
      </c>
      <c r="P14" t="s">
        <v>759</v>
      </c>
      <c r="Q14" t="s">
        <v>499</v>
      </c>
      <c r="R14" s="81" t="s">
        <v>760</v>
      </c>
      <c r="S14" s="81" t="s">
        <v>761</v>
      </c>
      <c r="T14" t="s">
        <v>31</v>
      </c>
      <c r="U14" t="s">
        <v>77</v>
      </c>
      <c r="V14">
        <v>18</v>
      </c>
      <c r="W14">
        <v>50</v>
      </c>
      <c r="X14">
        <v>55</v>
      </c>
      <c r="Y14">
        <v>20</v>
      </c>
      <c r="Z14">
        <v>110</v>
      </c>
      <c r="AA14">
        <v>52</v>
      </c>
      <c r="AB14" t="s">
        <v>284</v>
      </c>
    </row>
    <row r="15" spans="1:28">
      <c r="A15">
        <v>1003</v>
      </c>
      <c r="B15">
        <v>1199</v>
      </c>
      <c r="C15" t="s">
        <v>757</v>
      </c>
      <c r="D15" t="s">
        <v>202</v>
      </c>
      <c r="E15" t="s">
        <v>744</v>
      </c>
      <c r="F15" t="s">
        <v>367</v>
      </c>
      <c r="G15" t="s">
        <v>373</v>
      </c>
      <c r="H15" t="s">
        <v>318</v>
      </c>
      <c r="I15" t="s">
        <v>312</v>
      </c>
      <c r="J15" t="s">
        <v>318</v>
      </c>
      <c r="K15" t="s">
        <v>758</v>
      </c>
      <c r="L15" s="48">
        <v>44427</v>
      </c>
      <c r="M15" t="s">
        <v>134</v>
      </c>
      <c r="N15" t="s">
        <v>569</v>
      </c>
      <c r="O15">
        <v>3</v>
      </c>
      <c r="P15" t="s">
        <v>759</v>
      </c>
      <c r="Q15" t="s">
        <v>499</v>
      </c>
      <c r="R15" s="81" t="s">
        <v>760</v>
      </c>
      <c r="S15" s="81" t="s">
        <v>761</v>
      </c>
      <c r="T15" t="s">
        <v>37</v>
      </c>
      <c r="U15" t="s">
        <v>77</v>
      </c>
      <c r="V15">
        <v>18</v>
      </c>
      <c r="W15">
        <v>50</v>
      </c>
      <c r="X15">
        <v>55</v>
      </c>
      <c r="Y15">
        <v>20</v>
      </c>
      <c r="Z15">
        <v>110</v>
      </c>
      <c r="AA15">
        <v>52</v>
      </c>
      <c r="AB15" t="s">
        <v>284</v>
      </c>
    </row>
    <row r="16" spans="1:28">
      <c r="A16">
        <v>1003</v>
      </c>
      <c r="B16">
        <v>1199</v>
      </c>
      <c r="C16" t="s">
        <v>757</v>
      </c>
      <c r="D16" t="s">
        <v>202</v>
      </c>
      <c r="E16" t="s">
        <v>744</v>
      </c>
      <c r="F16" t="s">
        <v>369</v>
      </c>
      <c r="G16" t="s">
        <v>374</v>
      </c>
      <c r="H16" t="s">
        <v>309</v>
      </c>
      <c r="I16" t="s">
        <v>312</v>
      </c>
      <c r="J16" t="s">
        <v>312</v>
      </c>
      <c r="K16" t="s">
        <v>758</v>
      </c>
      <c r="L16" s="48">
        <v>44427</v>
      </c>
      <c r="M16" t="s">
        <v>134</v>
      </c>
      <c r="N16" t="s">
        <v>569</v>
      </c>
      <c r="O16">
        <v>3</v>
      </c>
      <c r="P16" t="s">
        <v>759</v>
      </c>
      <c r="Q16" t="s">
        <v>499</v>
      </c>
      <c r="R16" s="81" t="s">
        <v>760</v>
      </c>
      <c r="S16" s="81" t="s">
        <v>761</v>
      </c>
      <c r="T16" t="s">
        <v>113</v>
      </c>
      <c r="U16" t="s">
        <v>77</v>
      </c>
      <c r="V16">
        <v>18</v>
      </c>
      <c r="W16">
        <v>50</v>
      </c>
      <c r="X16">
        <v>55</v>
      </c>
      <c r="Y16">
        <v>20</v>
      </c>
      <c r="Z16">
        <v>110</v>
      </c>
      <c r="AA16">
        <v>52</v>
      </c>
      <c r="AB16" t="s">
        <v>284</v>
      </c>
    </row>
    <row r="17" spans="1:28">
      <c r="A17">
        <v>1004</v>
      </c>
      <c r="B17">
        <v>1232</v>
      </c>
      <c r="C17" t="s">
        <v>762</v>
      </c>
      <c r="D17" t="s">
        <v>202</v>
      </c>
      <c r="E17" t="s">
        <v>744</v>
      </c>
      <c r="F17" t="s">
        <v>369</v>
      </c>
      <c r="G17" t="s">
        <v>375</v>
      </c>
      <c r="H17" t="s">
        <v>309</v>
      </c>
      <c r="I17" t="s">
        <v>312</v>
      </c>
      <c r="J17" t="s">
        <v>318</v>
      </c>
      <c r="K17" t="s">
        <v>763</v>
      </c>
      <c r="L17" s="48">
        <v>44197</v>
      </c>
      <c r="M17" t="s">
        <v>134</v>
      </c>
      <c r="N17" t="s">
        <v>764</v>
      </c>
      <c r="O17">
        <v>3</v>
      </c>
      <c r="P17" t="s">
        <v>765</v>
      </c>
      <c r="Q17" t="s">
        <v>766</v>
      </c>
      <c r="R17" s="81" t="s">
        <v>767</v>
      </c>
      <c r="S17" s="81" t="s">
        <v>768</v>
      </c>
      <c r="T17" t="s">
        <v>113</v>
      </c>
      <c r="U17" t="s">
        <v>77</v>
      </c>
      <c r="V17">
        <v>21</v>
      </c>
      <c r="W17">
        <v>50</v>
      </c>
      <c r="X17">
        <v>55</v>
      </c>
      <c r="Y17">
        <v>25</v>
      </c>
      <c r="Z17">
        <v>110</v>
      </c>
      <c r="AA17">
        <v>60</v>
      </c>
      <c r="AB17" t="s">
        <v>284</v>
      </c>
    </row>
    <row r="18" spans="1:28">
      <c r="A18">
        <v>1004</v>
      </c>
      <c r="B18">
        <v>1232</v>
      </c>
      <c r="C18" t="s">
        <v>762</v>
      </c>
      <c r="D18" t="s">
        <v>202</v>
      </c>
      <c r="E18" t="s">
        <v>744</v>
      </c>
      <c r="F18" t="s">
        <v>367</v>
      </c>
      <c r="G18" t="s">
        <v>376</v>
      </c>
      <c r="H18" t="s">
        <v>318</v>
      </c>
      <c r="I18" t="s">
        <v>312</v>
      </c>
      <c r="J18" t="s">
        <v>379</v>
      </c>
      <c r="K18" t="s">
        <v>763</v>
      </c>
      <c r="L18" s="48">
        <v>44197</v>
      </c>
      <c r="M18" t="s">
        <v>134</v>
      </c>
      <c r="N18" t="s">
        <v>764</v>
      </c>
      <c r="O18">
        <v>3</v>
      </c>
      <c r="P18" t="s">
        <v>765</v>
      </c>
      <c r="Q18" t="s">
        <v>766</v>
      </c>
      <c r="R18" s="81" t="s">
        <v>767</v>
      </c>
      <c r="S18" s="81" t="s">
        <v>768</v>
      </c>
      <c r="T18" t="s">
        <v>37</v>
      </c>
      <c r="U18" t="s">
        <v>77</v>
      </c>
      <c r="V18">
        <v>21</v>
      </c>
      <c r="W18">
        <v>50</v>
      </c>
      <c r="X18">
        <v>55</v>
      </c>
      <c r="Y18">
        <v>25</v>
      </c>
      <c r="Z18">
        <v>110</v>
      </c>
      <c r="AA18">
        <v>60</v>
      </c>
      <c r="AB18" t="s">
        <v>284</v>
      </c>
    </row>
    <row r="19" spans="1:28">
      <c r="A19">
        <v>1004</v>
      </c>
      <c r="B19">
        <v>1232</v>
      </c>
      <c r="C19" t="s">
        <v>762</v>
      </c>
      <c r="D19" t="s">
        <v>202</v>
      </c>
      <c r="E19" t="s">
        <v>744</v>
      </c>
      <c r="F19" t="s">
        <v>7</v>
      </c>
      <c r="G19" t="s">
        <v>214</v>
      </c>
      <c r="H19" t="s">
        <v>483</v>
      </c>
      <c r="I19" t="s">
        <v>327</v>
      </c>
      <c r="J19" t="s">
        <v>309</v>
      </c>
      <c r="K19" t="s">
        <v>763</v>
      </c>
      <c r="L19" s="48">
        <v>44197</v>
      </c>
      <c r="M19" t="s">
        <v>134</v>
      </c>
      <c r="N19" t="s">
        <v>764</v>
      </c>
      <c r="O19">
        <v>3</v>
      </c>
      <c r="P19" t="s">
        <v>765</v>
      </c>
      <c r="Q19" t="s">
        <v>766</v>
      </c>
      <c r="R19" s="81" t="s">
        <v>767</v>
      </c>
      <c r="S19" s="81" t="s">
        <v>768</v>
      </c>
      <c r="T19" t="s">
        <v>31</v>
      </c>
      <c r="U19" t="s">
        <v>77</v>
      </c>
      <c r="V19">
        <v>21</v>
      </c>
      <c r="W19">
        <v>50</v>
      </c>
      <c r="X19">
        <v>55</v>
      </c>
      <c r="Y19">
        <v>25</v>
      </c>
      <c r="Z19">
        <v>110</v>
      </c>
      <c r="AA19">
        <v>60</v>
      </c>
      <c r="AB19" t="s">
        <v>284</v>
      </c>
    </row>
    <row r="20" spans="1:28">
      <c r="A20">
        <v>1004</v>
      </c>
      <c r="B20">
        <v>1232</v>
      </c>
      <c r="C20" t="s">
        <v>762</v>
      </c>
      <c r="D20" t="s">
        <v>202</v>
      </c>
      <c r="E20" t="s">
        <v>744</v>
      </c>
      <c r="F20" t="s">
        <v>8</v>
      </c>
      <c r="G20" t="s">
        <v>215</v>
      </c>
      <c r="H20" t="s">
        <v>483</v>
      </c>
      <c r="I20" t="s">
        <v>501</v>
      </c>
      <c r="J20" t="s">
        <v>316</v>
      </c>
      <c r="K20" t="s">
        <v>763</v>
      </c>
      <c r="L20" s="48">
        <v>44197</v>
      </c>
      <c r="M20" t="s">
        <v>134</v>
      </c>
      <c r="N20" t="s">
        <v>764</v>
      </c>
      <c r="O20">
        <v>3</v>
      </c>
      <c r="P20" t="s">
        <v>765</v>
      </c>
      <c r="Q20" t="s">
        <v>766</v>
      </c>
      <c r="R20" s="81" t="s">
        <v>767</v>
      </c>
      <c r="S20" s="81" t="s">
        <v>768</v>
      </c>
      <c r="T20" t="s">
        <v>30</v>
      </c>
      <c r="U20" t="s">
        <v>77</v>
      </c>
      <c r="V20">
        <v>21</v>
      </c>
      <c r="W20">
        <v>50</v>
      </c>
      <c r="X20">
        <v>55</v>
      </c>
      <c r="Y20">
        <v>25</v>
      </c>
      <c r="Z20">
        <v>110</v>
      </c>
      <c r="AA20">
        <v>60</v>
      </c>
      <c r="AB20" t="s">
        <v>284</v>
      </c>
    </row>
    <row r="21" spans="1:28">
      <c r="A21">
        <v>1004</v>
      </c>
      <c r="B21">
        <v>1232</v>
      </c>
      <c r="C21" t="s">
        <v>762</v>
      </c>
      <c r="D21" t="s">
        <v>202</v>
      </c>
      <c r="E21" t="s">
        <v>744</v>
      </c>
      <c r="F21" t="s">
        <v>5</v>
      </c>
      <c r="G21" t="s">
        <v>216</v>
      </c>
      <c r="H21" t="s">
        <v>483</v>
      </c>
      <c r="I21" t="s">
        <v>321</v>
      </c>
      <c r="J21" t="s">
        <v>320</v>
      </c>
      <c r="K21" t="s">
        <v>763</v>
      </c>
      <c r="L21" s="48">
        <v>44197</v>
      </c>
      <c r="M21" t="s">
        <v>134</v>
      </c>
      <c r="N21" t="s">
        <v>764</v>
      </c>
      <c r="O21">
        <v>3</v>
      </c>
      <c r="P21" t="s">
        <v>765</v>
      </c>
      <c r="Q21" t="s">
        <v>766</v>
      </c>
      <c r="R21" s="81" t="s">
        <v>767</v>
      </c>
      <c r="S21" s="81" t="s">
        <v>768</v>
      </c>
      <c r="T21" t="s">
        <v>32</v>
      </c>
      <c r="U21" t="s">
        <v>77</v>
      </c>
      <c r="V21">
        <v>21</v>
      </c>
      <c r="W21">
        <v>50</v>
      </c>
      <c r="X21">
        <v>55</v>
      </c>
      <c r="Y21">
        <v>25</v>
      </c>
      <c r="Z21">
        <v>110</v>
      </c>
      <c r="AA21">
        <v>60</v>
      </c>
      <c r="AB21" t="s">
        <v>284</v>
      </c>
    </row>
    <row r="22" spans="1:28">
      <c r="A22">
        <v>1005</v>
      </c>
      <c r="B22">
        <v>1112</v>
      </c>
      <c r="C22" t="s">
        <v>769</v>
      </c>
      <c r="D22" t="s">
        <v>202</v>
      </c>
      <c r="E22" t="s">
        <v>744</v>
      </c>
      <c r="F22" t="s">
        <v>5</v>
      </c>
      <c r="G22" t="s">
        <v>217</v>
      </c>
      <c r="H22" t="s">
        <v>302</v>
      </c>
      <c r="I22" t="s">
        <v>303</v>
      </c>
      <c r="J22" t="s">
        <v>302</v>
      </c>
      <c r="K22" t="s">
        <v>770</v>
      </c>
      <c r="L22" s="48">
        <v>44260</v>
      </c>
      <c r="M22" t="s">
        <v>134</v>
      </c>
      <c r="N22" t="s">
        <v>771</v>
      </c>
      <c r="O22">
        <v>2</v>
      </c>
      <c r="P22" t="s">
        <v>772</v>
      </c>
      <c r="Q22" t="s">
        <v>773</v>
      </c>
      <c r="R22" s="81" t="s">
        <v>774</v>
      </c>
      <c r="S22" s="81" t="s">
        <v>775</v>
      </c>
      <c r="T22" t="s">
        <v>32</v>
      </c>
      <c r="U22" t="s">
        <v>76</v>
      </c>
      <c r="V22">
        <v>19</v>
      </c>
      <c r="W22">
        <v>50</v>
      </c>
      <c r="X22">
        <v>55</v>
      </c>
      <c r="Y22">
        <v>23</v>
      </c>
      <c r="Z22">
        <v>110</v>
      </c>
      <c r="AA22">
        <v>67</v>
      </c>
      <c r="AB22" t="s">
        <v>284</v>
      </c>
    </row>
    <row r="23" spans="1:28">
      <c r="A23">
        <v>1005</v>
      </c>
      <c r="B23">
        <v>1112</v>
      </c>
      <c r="C23" t="s">
        <v>769</v>
      </c>
      <c r="D23" t="s">
        <v>202</v>
      </c>
      <c r="E23" t="s">
        <v>744</v>
      </c>
      <c r="F23" t="s">
        <v>8</v>
      </c>
      <c r="G23" t="s">
        <v>218</v>
      </c>
      <c r="H23" t="s">
        <v>285</v>
      </c>
      <c r="I23" t="s">
        <v>313</v>
      </c>
      <c r="J23" t="s">
        <v>303</v>
      </c>
      <c r="K23" t="s">
        <v>770</v>
      </c>
      <c r="L23" s="48">
        <v>44260</v>
      </c>
      <c r="M23" t="s">
        <v>134</v>
      </c>
      <c r="N23" t="s">
        <v>771</v>
      </c>
      <c r="O23">
        <v>2</v>
      </c>
      <c r="P23" t="s">
        <v>772</v>
      </c>
      <c r="Q23" t="s">
        <v>773</v>
      </c>
      <c r="R23" s="81" t="s">
        <v>774</v>
      </c>
      <c r="S23" s="81" t="s">
        <v>775</v>
      </c>
      <c r="T23" t="s">
        <v>30</v>
      </c>
      <c r="U23" t="s">
        <v>76</v>
      </c>
      <c r="V23">
        <v>19</v>
      </c>
      <c r="W23">
        <v>50</v>
      </c>
      <c r="X23">
        <v>55</v>
      </c>
      <c r="Y23">
        <v>23</v>
      </c>
      <c r="Z23">
        <v>110</v>
      </c>
      <c r="AA23">
        <v>67</v>
      </c>
      <c r="AB23" t="s">
        <v>284</v>
      </c>
    </row>
    <row r="24" spans="1:28">
      <c r="A24">
        <v>1005</v>
      </c>
      <c r="B24">
        <v>1112</v>
      </c>
      <c r="C24" t="s">
        <v>769</v>
      </c>
      <c r="D24" t="s">
        <v>202</v>
      </c>
      <c r="E24" t="s">
        <v>744</v>
      </c>
      <c r="F24" t="s">
        <v>7</v>
      </c>
      <c r="G24" t="s">
        <v>219</v>
      </c>
      <c r="H24" t="s">
        <v>303</v>
      </c>
      <c r="I24" t="s">
        <v>319</v>
      </c>
      <c r="J24" t="s">
        <v>310</v>
      </c>
      <c r="K24" t="s">
        <v>770</v>
      </c>
      <c r="L24" s="48">
        <v>44260</v>
      </c>
      <c r="M24" t="s">
        <v>134</v>
      </c>
      <c r="N24" t="s">
        <v>771</v>
      </c>
      <c r="O24">
        <v>2</v>
      </c>
      <c r="P24" t="s">
        <v>772</v>
      </c>
      <c r="Q24" t="s">
        <v>773</v>
      </c>
      <c r="R24" s="81" t="s">
        <v>774</v>
      </c>
      <c r="S24" s="81" t="s">
        <v>775</v>
      </c>
      <c r="T24" t="s">
        <v>31</v>
      </c>
      <c r="U24" t="s">
        <v>76</v>
      </c>
      <c r="V24">
        <v>19</v>
      </c>
      <c r="W24">
        <v>50</v>
      </c>
      <c r="X24">
        <v>55</v>
      </c>
      <c r="Y24">
        <v>23</v>
      </c>
      <c r="Z24">
        <v>110</v>
      </c>
      <c r="AA24">
        <v>67</v>
      </c>
      <c r="AB24" t="s">
        <v>284</v>
      </c>
    </row>
    <row r="25" spans="1:28">
      <c r="A25">
        <v>1005</v>
      </c>
      <c r="B25">
        <v>1112</v>
      </c>
      <c r="C25" t="s">
        <v>769</v>
      </c>
      <c r="D25" t="s">
        <v>202</v>
      </c>
      <c r="E25" t="s">
        <v>744</v>
      </c>
      <c r="F25" t="s">
        <v>367</v>
      </c>
      <c r="G25" t="s">
        <v>377</v>
      </c>
      <c r="H25" t="s">
        <v>309</v>
      </c>
      <c r="I25" t="s">
        <v>312</v>
      </c>
      <c r="J25" t="s">
        <v>319</v>
      </c>
      <c r="K25" t="s">
        <v>770</v>
      </c>
      <c r="L25" s="48">
        <v>44260</v>
      </c>
      <c r="M25" t="s">
        <v>134</v>
      </c>
      <c r="N25" t="s">
        <v>771</v>
      </c>
      <c r="O25">
        <v>2</v>
      </c>
      <c r="P25" t="s">
        <v>772</v>
      </c>
      <c r="Q25" t="s">
        <v>773</v>
      </c>
      <c r="R25" s="81" t="s">
        <v>774</v>
      </c>
      <c r="S25" s="81" t="s">
        <v>775</v>
      </c>
      <c r="T25" t="s">
        <v>37</v>
      </c>
      <c r="U25" t="s">
        <v>76</v>
      </c>
      <c r="V25">
        <v>19</v>
      </c>
      <c r="W25">
        <v>50</v>
      </c>
      <c r="X25">
        <v>55</v>
      </c>
      <c r="Y25">
        <v>23</v>
      </c>
      <c r="Z25">
        <v>110</v>
      </c>
      <c r="AA25">
        <v>67</v>
      </c>
      <c r="AB25" t="s">
        <v>284</v>
      </c>
    </row>
    <row r="26" spans="1:28">
      <c r="A26">
        <v>1005</v>
      </c>
      <c r="B26">
        <v>1112</v>
      </c>
      <c r="C26" t="s">
        <v>769</v>
      </c>
      <c r="D26" t="s">
        <v>202</v>
      </c>
      <c r="E26" t="s">
        <v>744</v>
      </c>
      <c r="F26" t="s">
        <v>369</v>
      </c>
      <c r="G26" t="s">
        <v>378</v>
      </c>
      <c r="H26" t="s">
        <v>309</v>
      </c>
      <c r="I26" t="s">
        <v>312</v>
      </c>
      <c r="J26" t="s">
        <v>312</v>
      </c>
      <c r="K26" t="s">
        <v>770</v>
      </c>
      <c r="L26" s="48">
        <v>44260</v>
      </c>
      <c r="M26" t="s">
        <v>134</v>
      </c>
      <c r="N26" t="s">
        <v>771</v>
      </c>
      <c r="O26">
        <v>2</v>
      </c>
      <c r="P26" t="s">
        <v>772</v>
      </c>
      <c r="Q26" t="s">
        <v>773</v>
      </c>
      <c r="R26" s="81" t="s">
        <v>774</v>
      </c>
      <c r="S26" s="81" t="s">
        <v>775</v>
      </c>
      <c r="T26" t="s">
        <v>113</v>
      </c>
      <c r="U26" t="s">
        <v>76</v>
      </c>
      <c r="V26">
        <v>19</v>
      </c>
      <c r="W26">
        <v>50</v>
      </c>
      <c r="X26">
        <v>55</v>
      </c>
      <c r="Y26">
        <v>23</v>
      </c>
      <c r="Z26">
        <v>110</v>
      </c>
      <c r="AA26">
        <v>67</v>
      </c>
      <c r="AB26" t="s">
        <v>284</v>
      </c>
    </row>
    <row r="27" spans="1:28">
      <c r="A27">
        <v>1006</v>
      </c>
      <c r="B27">
        <v>1100</v>
      </c>
      <c r="C27" t="s">
        <v>581</v>
      </c>
      <c r="D27" t="s">
        <v>202</v>
      </c>
      <c r="E27" t="s">
        <v>744</v>
      </c>
      <c r="F27" t="s">
        <v>369</v>
      </c>
      <c r="G27" t="s">
        <v>380</v>
      </c>
      <c r="H27" t="s">
        <v>318</v>
      </c>
      <c r="I27" t="s">
        <v>312</v>
      </c>
      <c r="J27" t="s">
        <v>318</v>
      </c>
      <c r="K27" t="s">
        <v>582</v>
      </c>
      <c r="L27" s="48">
        <v>44001</v>
      </c>
      <c r="M27" t="s">
        <v>134</v>
      </c>
      <c r="N27" t="s">
        <v>552</v>
      </c>
      <c r="O27">
        <v>2</v>
      </c>
      <c r="P27" t="s">
        <v>583</v>
      </c>
      <c r="Q27" t="s">
        <v>584</v>
      </c>
      <c r="R27" s="81" t="s">
        <v>685</v>
      </c>
      <c r="S27" s="81" t="s">
        <v>686</v>
      </c>
      <c r="T27" t="s">
        <v>113</v>
      </c>
      <c r="U27" t="s">
        <v>76</v>
      </c>
      <c r="V27">
        <v>20</v>
      </c>
      <c r="W27">
        <v>50</v>
      </c>
      <c r="X27">
        <v>55</v>
      </c>
      <c r="Y27">
        <v>24</v>
      </c>
      <c r="Z27">
        <v>110</v>
      </c>
      <c r="AA27">
        <v>69</v>
      </c>
      <c r="AB27" t="s">
        <v>284</v>
      </c>
    </row>
    <row r="28" spans="1:28">
      <c r="A28">
        <v>1006</v>
      </c>
      <c r="B28">
        <v>1100</v>
      </c>
      <c r="C28" t="s">
        <v>581</v>
      </c>
      <c r="D28" t="s">
        <v>202</v>
      </c>
      <c r="E28" t="s">
        <v>744</v>
      </c>
      <c r="F28" t="s">
        <v>367</v>
      </c>
      <c r="G28" t="s">
        <v>381</v>
      </c>
      <c r="H28" t="s">
        <v>318</v>
      </c>
      <c r="I28" t="s">
        <v>312</v>
      </c>
      <c r="J28" t="s">
        <v>318</v>
      </c>
      <c r="K28" t="s">
        <v>582</v>
      </c>
      <c r="L28" s="48">
        <v>44001</v>
      </c>
      <c r="M28" t="s">
        <v>134</v>
      </c>
      <c r="N28" t="s">
        <v>552</v>
      </c>
      <c r="O28">
        <v>2</v>
      </c>
      <c r="P28" t="s">
        <v>583</v>
      </c>
      <c r="Q28" t="s">
        <v>584</v>
      </c>
      <c r="R28" s="81" t="s">
        <v>685</v>
      </c>
      <c r="S28" s="81" t="s">
        <v>686</v>
      </c>
      <c r="T28" t="s">
        <v>37</v>
      </c>
      <c r="U28" t="s">
        <v>76</v>
      </c>
      <c r="V28">
        <v>20</v>
      </c>
      <c r="W28">
        <v>50</v>
      </c>
      <c r="X28">
        <v>55</v>
      </c>
      <c r="Y28">
        <v>24</v>
      </c>
      <c r="Z28">
        <v>110</v>
      </c>
      <c r="AA28">
        <v>69</v>
      </c>
      <c r="AB28" t="s">
        <v>284</v>
      </c>
    </row>
    <row r="29" spans="1:28">
      <c r="A29">
        <v>1006</v>
      </c>
      <c r="B29">
        <v>1100</v>
      </c>
      <c r="C29" t="s">
        <v>581</v>
      </c>
      <c r="D29" t="s">
        <v>202</v>
      </c>
      <c r="E29" t="s">
        <v>744</v>
      </c>
      <c r="F29" t="s">
        <v>7</v>
      </c>
      <c r="G29" t="s">
        <v>220</v>
      </c>
      <c r="H29" t="s">
        <v>297</v>
      </c>
      <c r="I29" t="s">
        <v>307</v>
      </c>
      <c r="J29" t="s">
        <v>291</v>
      </c>
      <c r="K29" t="s">
        <v>582</v>
      </c>
      <c r="L29" s="48">
        <v>44001</v>
      </c>
      <c r="M29" t="s">
        <v>134</v>
      </c>
      <c r="N29" t="s">
        <v>552</v>
      </c>
      <c r="O29">
        <v>2</v>
      </c>
      <c r="P29" t="s">
        <v>583</v>
      </c>
      <c r="Q29" t="s">
        <v>584</v>
      </c>
      <c r="R29" s="81" t="s">
        <v>685</v>
      </c>
      <c r="S29" s="81" t="s">
        <v>686</v>
      </c>
      <c r="T29" t="s">
        <v>31</v>
      </c>
      <c r="U29" t="s">
        <v>76</v>
      </c>
      <c r="V29">
        <v>20</v>
      </c>
      <c r="W29">
        <v>50</v>
      </c>
      <c r="X29">
        <v>55</v>
      </c>
      <c r="Y29">
        <v>24</v>
      </c>
      <c r="Z29">
        <v>110</v>
      </c>
      <c r="AA29">
        <v>69</v>
      </c>
      <c r="AB29" t="s">
        <v>284</v>
      </c>
    </row>
    <row r="30" spans="1:28">
      <c r="A30">
        <v>1006</v>
      </c>
      <c r="B30">
        <v>1100</v>
      </c>
      <c r="C30" t="s">
        <v>581</v>
      </c>
      <c r="D30" t="s">
        <v>202</v>
      </c>
      <c r="E30" t="s">
        <v>744</v>
      </c>
      <c r="F30" t="s">
        <v>8</v>
      </c>
      <c r="G30" t="s">
        <v>221</v>
      </c>
      <c r="H30" t="s">
        <v>292</v>
      </c>
      <c r="I30" t="s">
        <v>291</v>
      </c>
      <c r="J30" t="s">
        <v>311</v>
      </c>
      <c r="K30" t="s">
        <v>582</v>
      </c>
      <c r="L30" s="48">
        <v>44001</v>
      </c>
      <c r="M30" t="s">
        <v>134</v>
      </c>
      <c r="N30" t="s">
        <v>552</v>
      </c>
      <c r="O30">
        <v>2</v>
      </c>
      <c r="P30" t="s">
        <v>583</v>
      </c>
      <c r="Q30" t="s">
        <v>584</v>
      </c>
      <c r="R30" s="81" t="s">
        <v>685</v>
      </c>
      <c r="S30" s="81" t="s">
        <v>686</v>
      </c>
      <c r="T30" t="s">
        <v>30</v>
      </c>
      <c r="U30" t="s">
        <v>76</v>
      </c>
      <c r="V30">
        <v>20</v>
      </c>
      <c r="W30">
        <v>50</v>
      </c>
      <c r="X30">
        <v>55</v>
      </c>
      <c r="Y30">
        <v>24</v>
      </c>
      <c r="Z30">
        <v>110</v>
      </c>
      <c r="AA30">
        <v>69</v>
      </c>
      <c r="AB30" t="s">
        <v>284</v>
      </c>
    </row>
    <row r="31" spans="1:28">
      <c r="A31">
        <v>1006</v>
      </c>
      <c r="B31">
        <v>1100</v>
      </c>
      <c r="C31" t="s">
        <v>581</v>
      </c>
      <c r="D31" t="s">
        <v>202</v>
      </c>
      <c r="E31" t="s">
        <v>744</v>
      </c>
      <c r="F31" t="s">
        <v>5</v>
      </c>
      <c r="G31" t="s">
        <v>222</v>
      </c>
      <c r="H31" t="s">
        <v>298</v>
      </c>
      <c r="I31" t="s">
        <v>312</v>
      </c>
      <c r="J31" t="s">
        <v>312</v>
      </c>
      <c r="K31" t="s">
        <v>582</v>
      </c>
      <c r="L31" s="48">
        <v>44001</v>
      </c>
      <c r="M31" t="s">
        <v>134</v>
      </c>
      <c r="N31" t="s">
        <v>552</v>
      </c>
      <c r="O31">
        <v>2</v>
      </c>
      <c r="P31" t="s">
        <v>583</v>
      </c>
      <c r="Q31" t="s">
        <v>584</v>
      </c>
      <c r="R31" s="81" t="s">
        <v>685</v>
      </c>
      <c r="S31" s="81" t="s">
        <v>686</v>
      </c>
      <c r="T31" t="s">
        <v>32</v>
      </c>
      <c r="U31" t="s">
        <v>76</v>
      </c>
      <c r="V31">
        <v>20</v>
      </c>
      <c r="W31">
        <v>50</v>
      </c>
      <c r="X31">
        <v>55</v>
      </c>
      <c r="Y31">
        <v>24</v>
      </c>
      <c r="Z31">
        <v>110</v>
      </c>
      <c r="AA31">
        <v>69</v>
      </c>
      <c r="AB31" t="s">
        <v>284</v>
      </c>
    </row>
    <row r="32" spans="1:28">
      <c r="A32">
        <v>1007</v>
      </c>
      <c r="B32">
        <v>1111</v>
      </c>
      <c r="C32" t="s">
        <v>776</v>
      </c>
      <c r="D32" t="s">
        <v>202</v>
      </c>
      <c r="E32" t="s">
        <v>744</v>
      </c>
      <c r="F32" t="s">
        <v>5</v>
      </c>
      <c r="G32" t="s">
        <v>223</v>
      </c>
      <c r="H32" t="s">
        <v>307</v>
      </c>
      <c r="I32" t="s">
        <v>311</v>
      </c>
      <c r="J32" t="s">
        <v>312</v>
      </c>
      <c r="K32" t="s">
        <v>777</v>
      </c>
      <c r="L32" s="48">
        <v>44159</v>
      </c>
      <c r="M32" t="s">
        <v>134</v>
      </c>
      <c r="N32" t="s">
        <v>778</v>
      </c>
      <c r="O32">
        <v>3</v>
      </c>
      <c r="P32" t="s">
        <v>779</v>
      </c>
      <c r="Q32" t="s">
        <v>780</v>
      </c>
      <c r="R32" s="81" t="s">
        <v>781</v>
      </c>
      <c r="S32" s="81" t="s">
        <v>782</v>
      </c>
      <c r="T32" t="s">
        <v>32</v>
      </c>
      <c r="U32" t="s">
        <v>77</v>
      </c>
      <c r="V32">
        <v>18</v>
      </c>
      <c r="W32">
        <v>50</v>
      </c>
      <c r="X32">
        <v>55</v>
      </c>
      <c r="Y32">
        <v>22</v>
      </c>
      <c r="Z32">
        <v>110</v>
      </c>
      <c r="AA32">
        <v>69</v>
      </c>
      <c r="AB32" t="s">
        <v>284</v>
      </c>
    </row>
    <row r="33" spans="1:28">
      <c r="A33">
        <v>1007</v>
      </c>
      <c r="B33">
        <v>1111</v>
      </c>
      <c r="C33" t="s">
        <v>776</v>
      </c>
      <c r="D33" t="s">
        <v>202</v>
      </c>
      <c r="E33" t="s">
        <v>744</v>
      </c>
      <c r="F33" t="s">
        <v>8</v>
      </c>
      <c r="G33" t="s">
        <v>224</v>
      </c>
      <c r="H33" t="s">
        <v>295</v>
      </c>
      <c r="I33" t="s">
        <v>293</v>
      </c>
      <c r="J33" t="s">
        <v>312</v>
      </c>
      <c r="K33" t="s">
        <v>777</v>
      </c>
      <c r="L33" s="48">
        <v>44159</v>
      </c>
      <c r="M33" t="s">
        <v>134</v>
      </c>
      <c r="N33" t="s">
        <v>778</v>
      </c>
      <c r="O33">
        <v>3</v>
      </c>
      <c r="P33" t="s">
        <v>779</v>
      </c>
      <c r="Q33" t="s">
        <v>780</v>
      </c>
      <c r="R33" s="81" t="s">
        <v>781</v>
      </c>
      <c r="S33" s="81" t="s">
        <v>782</v>
      </c>
      <c r="T33" t="s">
        <v>30</v>
      </c>
      <c r="U33" t="s">
        <v>77</v>
      </c>
      <c r="V33">
        <v>18</v>
      </c>
      <c r="W33">
        <v>50</v>
      </c>
      <c r="X33">
        <v>55</v>
      </c>
      <c r="Y33">
        <v>22</v>
      </c>
      <c r="Z33">
        <v>110</v>
      </c>
      <c r="AA33">
        <v>69</v>
      </c>
      <c r="AB33" t="s">
        <v>284</v>
      </c>
    </row>
    <row r="34" spans="1:28">
      <c r="A34">
        <v>1007</v>
      </c>
      <c r="B34">
        <v>1111</v>
      </c>
      <c r="C34" t="s">
        <v>776</v>
      </c>
      <c r="D34" t="s">
        <v>202</v>
      </c>
      <c r="E34" t="s">
        <v>744</v>
      </c>
      <c r="F34" t="s">
        <v>7</v>
      </c>
      <c r="G34" t="s">
        <v>225</v>
      </c>
      <c r="H34" t="s">
        <v>302</v>
      </c>
      <c r="I34" t="s">
        <v>313</v>
      </c>
      <c r="J34" t="s">
        <v>298</v>
      </c>
      <c r="K34" t="s">
        <v>777</v>
      </c>
      <c r="L34" s="48">
        <v>44159</v>
      </c>
      <c r="M34" t="s">
        <v>134</v>
      </c>
      <c r="N34" t="s">
        <v>778</v>
      </c>
      <c r="O34">
        <v>3</v>
      </c>
      <c r="P34" t="s">
        <v>779</v>
      </c>
      <c r="Q34" t="s">
        <v>780</v>
      </c>
      <c r="R34" s="81" t="s">
        <v>781</v>
      </c>
      <c r="S34" s="81" t="s">
        <v>782</v>
      </c>
      <c r="T34" t="s">
        <v>31</v>
      </c>
      <c r="U34" t="s">
        <v>77</v>
      </c>
      <c r="V34">
        <v>18</v>
      </c>
      <c r="W34">
        <v>50</v>
      </c>
      <c r="X34">
        <v>55</v>
      </c>
      <c r="Y34">
        <v>22</v>
      </c>
      <c r="Z34">
        <v>110</v>
      </c>
      <c r="AA34">
        <v>69</v>
      </c>
      <c r="AB34" t="s">
        <v>284</v>
      </c>
    </row>
    <row r="35" spans="1:28">
      <c r="A35">
        <v>1007</v>
      </c>
      <c r="B35">
        <v>1111</v>
      </c>
      <c r="C35" t="s">
        <v>776</v>
      </c>
      <c r="D35" t="s">
        <v>202</v>
      </c>
      <c r="E35" t="s">
        <v>744</v>
      </c>
      <c r="F35" t="s">
        <v>367</v>
      </c>
      <c r="G35" t="s">
        <v>382</v>
      </c>
      <c r="H35" t="s">
        <v>318</v>
      </c>
      <c r="I35" t="s">
        <v>312</v>
      </c>
      <c r="J35" t="s">
        <v>318</v>
      </c>
      <c r="K35" t="s">
        <v>777</v>
      </c>
      <c r="L35" s="48">
        <v>44159</v>
      </c>
      <c r="M35" t="s">
        <v>134</v>
      </c>
      <c r="N35" t="s">
        <v>778</v>
      </c>
      <c r="O35">
        <v>3</v>
      </c>
      <c r="P35" t="s">
        <v>779</v>
      </c>
      <c r="Q35" t="s">
        <v>780</v>
      </c>
      <c r="R35" s="81" t="s">
        <v>781</v>
      </c>
      <c r="S35" s="81" t="s">
        <v>782</v>
      </c>
      <c r="T35" t="s">
        <v>37</v>
      </c>
      <c r="U35" t="s">
        <v>77</v>
      </c>
      <c r="V35">
        <v>18</v>
      </c>
      <c r="W35">
        <v>50</v>
      </c>
      <c r="X35">
        <v>55</v>
      </c>
      <c r="Y35">
        <v>22</v>
      </c>
      <c r="Z35">
        <v>110</v>
      </c>
      <c r="AA35">
        <v>69</v>
      </c>
      <c r="AB35" t="s">
        <v>284</v>
      </c>
    </row>
    <row r="36" spans="1:28">
      <c r="A36">
        <v>1007</v>
      </c>
      <c r="B36">
        <v>1111</v>
      </c>
      <c r="C36" t="s">
        <v>776</v>
      </c>
      <c r="D36" t="s">
        <v>202</v>
      </c>
      <c r="E36" t="s">
        <v>744</v>
      </c>
      <c r="F36" t="s">
        <v>369</v>
      </c>
      <c r="G36" t="s">
        <v>383</v>
      </c>
      <c r="H36" t="s">
        <v>309</v>
      </c>
      <c r="I36" t="s">
        <v>312</v>
      </c>
      <c r="J36" t="s">
        <v>318</v>
      </c>
      <c r="K36" t="s">
        <v>777</v>
      </c>
      <c r="L36" s="48">
        <v>44159</v>
      </c>
      <c r="M36" t="s">
        <v>134</v>
      </c>
      <c r="N36" t="s">
        <v>778</v>
      </c>
      <c r="O36">
        <v>3</v>
      </c>
      <c r="P36" t="s">
        <v>779</v>
      </c>
      <c r="Q36" t="s">
        <v>780</v>
      </c>
      <c r="R36" s="81" t="s">
        <v>781</v>
      </c>
      <c r="S36" s="81" t="s">
        <v>782</v>
      </c>
      <c r="T36" t="s">
        <v>113</v>
      </c>
      <c r="U36" t="s">
        <v>77</v>
      </c>
      <c r="V36">
        <v>18</v>
      </c>
      <c r="W36">
        <v>50</v>
      </c>
      <c r="X36">
        <v>55</v>
      </c>
      <c r="Y36">
        <v>22</v>
      </c>
      <c r="Z36">
        <v>110</v>
      </c>
      <c r="AA36">
        <v>69</v>
      </c>
      <c r="AB36" t="s">
        <v>284</v>
      </c>
    </row>
    <row r="37" spans="1:28">
      <c r="A37">
        <v>1008</v>
      </c>
      <c r="B37">
        <v>1068</v>
      </c>
      <c r="C37" t="s">
        <v>598</v>
      </c>
      <c r="D37" t="s">
        <v>202</v>
      </c>
      <c r="E37" t="s">
        <v>744</v>
      </c>
      <c r="F37" t="s">
        <v>369</v>
      </c>
      <c r="G37" t="s">
        <v>384</v>
      </c>
      <c r="H37" t="s">
        <v>318</v>
      </c>
      <c r="I37" t="s">
        <v>312</v>
      </c>
      <c r="J37" t="s">
        <v>318</v>
      </c>
      <c r="K37" t="s">
        <v>599</v>
      </c>
      <c r="L37" s="48">
        <v>43945</v>
      </c>
      <c r="M37" t="s">
        <v>134</v>
      </c>
      <c r="N37" t="s">
        <v>600</v>
      </c>
      <c r="O37">
        <v>1</v>
      </c>
      <c r="P37" t="s">
        <v>601</v>
      </c>
      <c r="Q37" t="s">
        <v>602</v>
      </c>
      <c r="R37" s="81" t="s">
        <v>693</v>
      </c>
      <c r="S37" s="81" t="s">
        <v>694</v>
      </c>
      <c r="T37" t="s">
        <v>113</v>
      </c>
      <c r="U37" t="s">
        <v>75</v>
      </c>
      <c r="V37">
        <v>2</v>
      </c>
      <c r="W37">
        <v>50</v>
      </c>
      <c r="X37">
        <v>55</v>
      </c>
      <c r="Y37">
        <v>3</v>
      </c>
      <c r="Z37">
        <v>110</v>
      </c>
      <c r="AA37">
        <v>6</v>
      </c>
      <c r="AB37" t="s">
        <v>284</v>
      </c>
    </row>
    <row r="38" spans="1:28">
      <c r="A38">
        <v>1008</v>
      </c>
      <c r="B38">
        <v>1068</v>
      </c>
      <c r="C38" t="s">
        <v>598</v>
      </c>
      <c r="D38" t="s">
        <v>202</v>
      </c>
      <c r="E38" t="s">
        <v>744</v>
      </c>
      <c r="F38" t="s">
        <v>367</v>
      </c>
      <c r="G38" t="s">
        <v>385</v>
      </c>
      <c r="H38" t="s">
        <v>318</v>
      </c>
      <c r="I38" t="s">
        <v>312</v>
      </c>
      <c r="J38" t="s">
        <v>318</v>
      </c>
      <c r="K38" t="s">
        <v>599</v>
      </c>
      <c r="L38" s="48">
        <v>43945</v>
      </c>
      <c r="M38" t="s">
        <v>134</v>
      </c>
      <c r="N38" t="s">
        <v>600</v>
      </c>
      <c r="O38">
        <v>1</v>
      </c>
      <c r="P38" t="s">
        <v>601</v>
      </c>
      <c r="Q38" t="s">
        <v>602</v>
      </c>
      <c r="R38" s="81" t="s">
        <v>693</v>
      </c>
      <c r="S38" s="81" t="s">
        <v>694</v>
      </c>
      <c r="T38" t="s">
        <v>37</v>
      </c>
      <c r="U38" t="s">
        <v>75</v>
      </c>
      <c r="V38">
        <v>2</v>
      </c>
      <c r="W38">
        <v>50</v>
      </c>
      <c r="X38">
        <v>55</v>
      </c>
      <c r="Y38">
        <v>3</v>
      </c>
      <c r="Z38">
        <v>110</v>
      </c>
      <c r="AA38">
        <v>6</v>
      </c>
      <c r="AB38" t="s">
        <v>284</v>
      </c>
    </row>
    <row r="39" spans="1:28">
      <c r="A39">
        <v>1008</v>
      </c>
      <c r="B39">
        <v>1068</v>
      </c>
      <c r="C39" t="s">
        <v>598</v>
      </c>
      <c r="D39" t="s">
        <v>202</v>
      </c>
      <c r="E39" t="s">
        <v>744</v>
      </c>
      <c r="F39" t="s">
        <v>7</v>
      </c>
      <c r="G39" t="s">
        <v>226</v>
      </c>
      <c r="H39" t="s">
        <v>483</v>
      </c>
      <c r="I39" t="s">
        <v>483</v>
      </c>
      <c r="J39" t="s">
        <v>206</v>
      </c>
      <c r="K39" t="s">
        <v>599</v>
      </c>
      <c r="L39" s="48">
        <v>43945</v>
      </c>
      <c r="M39" t="s">
        <v>134</v>
      </c>
      <c r="N39" t="s">
        <v>600</v>
      </c>
      <c r="O39">
        <v>1</v>
      </c>
      <c r="P39" t="s">
        <v>601</v>
      </c>
      <c r="Q39" t="s">
        <v>602</v>
      </c>
      <c r="R39" s="81" t="s">
        <v>693</v>
      </c>
      <c r="S39" s="81" t="s">
        <v>694</v>
      </c>
      <c r="T39" t="s">
        <v>31</v>
      </c>
      <c r="U39" t="s">
        <v>75</v>
      </c>
      <c r="V39">
        <v>2</v>
      </c>
      <c r="W39">
        <v>50</v>
      </c>
      <c r="X39">
        <v>55</v>
      </c>
      <c r="Y39">
        <v>3</v>
      </c>
      <c r="Z39">
        <v>110</v>
      </c>
      <c r="AA39">
        <v>6</v>
      </c>
      <c r="AB39" t="s">
        <v>284</v>
      </c>
    </row>
    <row r="40" spans="1:28">
      <c r="A40">
        <v>1008</v>
      </c>
      <c r="B40">
        <v>1068</v>
      </c>
      <c r="C40" t="s">
        <v>598</v>
      </c>
      <c r="D40" t="s">
        <v>202</v>
      </c>
      <c r="E40" t="s">
        <v>744</v>
      </c>
      <c r="F40" t="s">
        <v>8</v>
      </c>
      <c r="G40" t="s">
        <v>228</v>
      </c>
      <c r="H40" t="s">
        <v>483</v>
      </c>
      <c r="I40" t="s">
        <v>483</v>
      </c>
      <c r="J40" t="s">
        <v>206</v>
      </c>
      <c r="K40" t="s">
        <v>599</v>
      </c>
      <c r="L40" s="48">
        <v>43945</v>
      </c>
      <c r="M40" t="s">
        <v>134</v>
      </c>
      <c r="N40" t="s">
        <v>600</v>
      </c>
      <c r="O40">
        <v>1</v>
      </c>
      <c r="P40" t="s">
        <v>601</v>
      </c>
      <c r="Q40" t="s">
        <v>602</v>
      </c>
      <c r="R40" s="81" t="s">
        <v>693</v>
      </c>
      <c r="S40" s="81" t="s">
        <v>694</v>
      </c>
      <c r="T40" t="s">
        <v>30</v>
      </c>
      <c r="U40" t="s">
        <v>75</v>
      </c>
      <c r="V40">
        <v>2</v>
      </c>
      <c r="W40">
        <v>50</v>
      </c>
      <c r="X40">
        <v>55</v>
      </c>
      <c r="Y40">
        <v>3</v>
      </c>
      <c r="Z40">
        <v>110</v>
      </c>
      <c r="AA40">
        <v>6</v>
      </c>
      <c r="AB40" t="s">
        <v>284</v>
      </c>
    </row>
    <row r="41" spans="1:28">
      <c r="A41">
        <v>1008</v>
      </c>
      <c r="B41">
        <v>1068</v>
      </c>
      <c r="C41" t="s">
        <v>598</v>
      </c>
      <c r="D41" t="s">
        <v>202</v>
      </c>
      <c r="E41" t="s">
        <v>744</v>
      </c>
      <c r="F41" t="s">
        <v>5</v>
      </c>
      <c r="G41" t="s">
        <v>229</v>
      </c>
      <c r="H41" t="s">
        <v>483</v>
      </c>
      <c r="I41" t="s">
        <v>483</v>
      </c>
      <c r="J41" t="s">
        <v>206</v>
      </c>
      <c r="K41" t="s">
        <v>599</v>
      </c>
      <c r="L41" s="48">
        <v>43945</v>
      </c>
      <c r="M41" t="s">
        <v>134</v>
      </c>
      <c r="N41" t="s">
        <v>600</v>
      </c>
      <c r="O41">
        <v>1</v>
      </c>
      <c r="P41" t="s">
        <v>601</v>
      </c>
      <c r="Q41" t="s">
        <v>602</v>
      </c>
      <c r="R41" s="81" t="s">
        <v>693</v>
      </c>
      <c r="S41" s="81" t="s">
        <v>694</v>
      </c>
      <c r="T41" t="s">
        <v>32</v>
      </c>
      <c r="U41" t="s">
        <v>75</v>
      </c>
      <c r="V41">
        <v>2</v>
      </c>
      <c r="W41">
        <v>50</v>
      </c>
      <c r="X41">
        <v>55</v>
      </c>
      <c r="Y41">
        <v>3</v>
      </c>
      <c r="Z41">
        <v>110</v>
      </c>
      <c r="AA41">
        <v>6</v>
      </c>
      <c r="AB41" t="s">
        <v>284</v>
      </c>
    </row>
    <row r="42" spans="1:28">
      <c r="A42">
        <v>1009</v>
      </c>
      <c r="B42">
        <v>1132</v>
      </c>
      <c r="C42" t="s">
        <v>783</v>
      </c>
      <c r="D42" t="s">
        <v>202</v>
      </c>
      <c r="E42" t="s">
        <v>744</v>
      </c>
      <c r="F42" t="s">
        <v>5</v>
      </c>
      <c r="G42" t="s">
        <v>230</v>
      </c>
      <c r="H42" t="s">
        <v>298</v>
      </c>
      <c r="I42" t="s">
        <v>299</v>
      </c>
      <c r="J42" t="s">
        <v>297</v>
      </c>
      <c r="K42" t="s">
        <v>784</v>
      </c>
      <c r="L42" s="48">
        <v>44122</v>
      </c>
      <c r="M42" t="s">
        <v>134</v>
      </c>
      <c r="N42" t="s">
        <v>785</v>
      </c>
      <c r="O42">
        <v>3</v>
      </c>
      <c r="P42" t="s">
        <v>786</v>
      </c>
      <c r="Q42" t="s">
        <v>787</v>
      </c>
      <c r="R42" s="81" t="s">
        <v>788</v>
      </c>
      <c r="S42" s="81" t="s">
        <v>789</v>
      </c>
      <c r="T42" t="s">
        <v>32</v>
      </c>
      <c r="U42" t="s">
        <v>77</v>
      </c>
      <c r="V42">
        <v>15</v>
      </c>
      <c r="W42">
        <v>50</v>
      </c>
      <c r="X42">
        <v>55</v>
      </c>
      <c r="Y42">
        <v>17</v>
      </c>
      <c r="Z42">
        <v>110</v>
      </c>
      <c r="AA42">
        <v>54</v>
      </c>
      <c r="AB42" t="s">
        <v>284</v>
      </c>
    </row>
    <row r="43" spans="1:28">
      <c r="A43">
        <v>1009</v>
      </c>
      <c r="B43">
        <v>1132</v>
      </c>
      <c r="C43" t="s">
        <v>783</v>
      </c>
      <c r="D43" t="s">
        <v>202</v>
      </c>
      <c r="E43" t="s">
        <v>744</v>
      </c>
      <c r="F43" t="s">
        <v>8</v>
      </c>
      <c r="G43" t="s">
        <v>231</v>
      </c>
      <c r="H43" t="s">
        <v>290</v>
      </c>
      <c r="I43" t="s">
        <v>291</v>
      </c>
      <c r="J43" t="s">
        <v>293</v>
      </c>
      <c r="K43" t="s">
        <v>784</v>
      </c>
      <c r="L43" s="48">
        <v>44122</v>
      </c>
      <c r="M43" t="s">
        <v>134</v>
      </c>
      <c r="N43" t="s">
        <v>785</v>
      </c>
      <c r="O43">
        <v>3</v>
      </c>
      <c r="P43" t="s">
        <v>786</v>
      </c>
      <c r="Q43" t="s">
        <v>787</v>
      </c>
      <c r="R43" s="81" t="s">
        <v>788</v>
      </c>
      <c r="S43" s="81" t="s">
        <v>789</v>
      </c>
      <c r="T43" t="s">
        <v>30</v>
      </c>
      <c r="U43" t="s">
        <v>77</v>
      </c>
      <c r="V43">
        <v>15</v>
      </c>
      <c r="W43">
        <v>50</v>
      </c>
      <c r="X43">
        <v>55</v>
      </c>
      <c r="Y43">
        <v>17</v>
      </c>
      <c r="Z43">
        <v>110</v>
      </c>
      <c r="AA43">
        <v>54</v>
      </c>
      <c r="AB43" t="s">
        <v>284</v>
      </c>
    </row>
    <row r="44" spans="1:28">
      <c r="A44">
        <v>1009</v>
      </c>
      <c r="B44">
        <v>1132</v>
      </c>
      <c r="C44" t="s">
        <v>783</v>
      </c>
      <c r="D44" t="s">
        <v>202</v>
      </c>
      <c r="E44" t="s">
        <v>744</v>
      </c>
      <c r="F44" t="s">
        <v>7</v>
      </c>
      <c r="G44" t="s">
        <v>232</v>
      </c>
      <c r="H44" t="s">
        <v>295</v>
      </c>
      <c r="I44" t="s">
        <v>313</v>
      </c>
      <c r="J44" t="s">
        <v>313</v>
      </c>
      <c r="K44" t="s">
        <v>784</v>
      </c>
      <c r="L44" s="48">
        <v>44122</v>
      </c>
      <c r="M44" t="s">
        <v>134</v>
      </c>
      <c r="N44" t="s">
        <v>785</v>
      </c>
      <c r="O44">
        <v>3</v>
      </c>
      <c r="P44" t="s">
        <v>786</v>
      </c>
      <c r="Q44" t="s">
        <v>787</v>
      </c>
      <c r="R44" s="81" t="s">
        <v>788</v>
      </c>
      <c r="S44" s="81" t="s">
        <v>789</v>
      </c>
      <c r="T44" t="s">
        <v>31</v>
      </c>
      <c r="U44" t="s">
        <v>77</v>
      </c>
      <c r="V44">
        <v>15</v>
      </c>
      <c r="W44">
        <v>50</v>
      </c>
      <c r="X44">
        <v>55</v>
      </c>
      <c r="Y44">
        <v>17</v>
      </c>
      <c r="Z44">
        <v>110</v>
      </c>
      <c r="AA44">
        <v>54</v>
      </c>
      <c r="AB44" t="s">
        <v>284</v>
      </c>
    </row>
    <row r="45" spans="1:28">
      <c r="A45">
        <v>1009</v>
      </c>
      <c r="B45">
        <v>1132</v>
      </c>
      <c r="C45" t="s">
        <v>783</v>
      </c>
      <c r="D45" t="s">
        <v>202</v>
      </c>
      <c r="E45" t="s">
        <v>744</v>
      </c>
      <c r="F45" t="s">
        <v>367</v>
      </c>
      <c r="G45" t="s">
        <v>386</v>
      </c>
      <c r="H45" t="s">
        <v>318</v>
      </c>
      <c r="I45" t="s">
        <v>312</v>
      </c>
      <c r="J45" t="s">
        <v>312</v>
      </c>
      <c r="K45" t="s">
        <v>784</v>
      </c>
      <c r="L45" s="48">
        <v>44122</v>
      </c>
      <c r="M45" t="s">
        <v>134</v>
      </c>
      <c r="N45" t="s">
        <v>785</v>
      </c>
      <c r="O45">
        <v>3</v>
      </c>
      <c r="P45" t="s">
        <v>786</v>
      </c>
      <c r="Q45" t="s">
        <v>787</v>
      </c>
      <c r="R45" s="81" t="s">
        <v>788</v>
      </c>
      <c r="S45" s="81" t="s">
        <v>789</v>
      </c>
      <c r="T45" t="s">
        <v>37</v>
      </c>
      <c r="U45" t="s">
        <v>77</v>
      </c>
      <c r="V45">
        <v>15</v>
      </c>
      <c r="W45">
        <v>50</v>
      </c>
      <c r="X45">
        <v>55</v>
      </c>
      <c r="Y45">
        <v>17</v>
      </c>
      <c r="Z45">
        <v>110</v>
      </c>
      <c r="AA45">
        <v>54</v>
      </c>
      <c r="AB45" t="s">
        <v>284</v>
      </c>
    </row>
    <row r="46" spans="1:28">
      <c r="A46">
        <v>1009</v>
      </c>
      <c r="B46">
        <v>1132</v>
      </c>
      <c r="C46" t="s">
        <v>783</v>
      </c>
      <c r="D46" t="s">
        <v>202</v>
      </c>
      <c r="E46" t="s">
        <v>744</v>
      </c>
      <c r="F46" t="s">
        <v>369</v>
      </c>
      <c r="G46" t="s">
        <v>387</v>
      </c>
      <c r="H46" t="s">
        <v>309</v>
      </c>
      <c r="I46" t="s">
        <v>312</v>
      </c>
      <c r="J46" t="s">
        <v>312</v>
      </c>
      <c r="K46" t="s">
        <v>784</v>
      </c>
      <c r="L46" s="48">
        <v>44122</v>
      </c>
      <c r="M46" t="s">
        <v>134</v>
      </c>
      <c r="N46" t="s">
        <v>785</v>
      </c>
      <c r="O46">
        <v>3</v>
      </c>
      <c r="P46" t="s">
        <v>786</v>
      </c>
      <c r="Q46" t="s">
        <v>787</v>
      </c>
      <c r="R46" s="81" t="s">
        <v>788</v>
      </c>
      <c r="S46" s="81" t="s">
        <v>789</v>
      </c>
      <c r="T46" t="s">
        <v>113</v>
      </c>
      <c r="U46" t="s">
        <v>77</v>
      </c>
      <c r="V46">
        <v>15</v>
      </c>
      <c r="W46">
        <v>50</v>
      </c>
      <c r="X46">
        <v>55</v>
      </c>
      <c r="Y46">
        <v>17</v>
      </c>
      <c r="Z46">
        <v>110</v>
      </c>
      <c r="AA46">
        <v>54</v>
      </c>
      <c r="AB46" t="s">
        <v>284</v>
      </c>
    </row>
    <row r="47" spans="1:28">
      <c r="A47">
        <v>1010</v>
      </c>
      <c r="B47">
        <v>1198</v>
      </c>
      <c r="C47" t="s">
        <v>790</v>
      </c>
      <c r="D47" t="s">
        <v>202</v>
      </c>
      <c r="E47" t="s">
        <v>744</v>
      </c>
      <c r="F47" t="s">
        <v>369</v>
      </c>
      <c r="G47" t="s">
        <v>388</v>
      </c>
      <c r="H47" t="s">
        <v>318</v>
      </c>
      <c r="I47" t="s">
        <v>312</v>
      </c>
      <c r="J47" t="s">
        <v>319</v>
      </c>
      <c r="K47" t="s">
        <v>791</v>
      </c>
      <c r="L47" s="48">
        <v>44139</v>
      </c>
      <c r="M47" t="s">
        <v>134</v>
      </c>
      <c r="N47" t="s">
        <v>575</v>
      </c>
      <c r="O47">
        <v>3</v>
      </c>
      <c r="P47" t="s">
        <v>792</v>
      </c>
      <c r="Q47" t="s">
        <v>793</v>
      </c>
      <c r="R47" s="81" t="s">
        <v>794</v>
      </c>
      <c r="S47" s="81" t="s">
        <v>795</v>
      </c>
      <c r="T47" t="s">
        <v>113</v>
      </c>
      <c r="U47" t="s">
        <v>77</v>
      </c>
      <c r="V47">
        <v>20</v>
      </c>
      <c r="W47">
        <v>50</v>
      </c>
      <c r="X47">
        <v>55</v>
      </c>
      <c r="Y47">
        <v>24</v>
      </c>
      <c r="Z47">
        <v>110</v>
      </c>
      <c r="AA47">
        <v>64</v>
      </c>
      <c r="AB47" t="s">
        <v>284</v>
      </c>
    </row>
    <row r="48" spans="1:28">
      <c r="A48">
        <v>1010</v>
      </c>
      <c r="B48">
        <v>1198</v>
      </c>
      <c r="C48" t="s">
        <v>790</v>
      </c>
      <c r="D48" t="s">
        <v>202</v>
      </c>
      <c r="E48" t="s">
        <v>744</v>
      </c>
      <c r="F48" t="s">
        <v>367</v>
      </c>
      <c r="G48" t="s">
        <v>389</v>
      </c>
      <c r="H48" t="s">
        <v>318</v>
      </c>
      <c r="I48" t="s">
        <v>312</v>
      </c>
      <c r="J48" t="s">
        <v>319</v>
      </c>
      <c r="K48" t="s">
        <v>791</v>
      </c>
      <c r="L48" s="48">
        <v>44139</v>
      </c>
      <c r="M48" t="s">
        <v>134</v>
      </c>
      <c r="N48" t="s">
        <v>575</v>
      </c>
      <c r="O48">
        <v>3</v>
      </c>
      <c r="P48" t="s">
        <v>792</v>
      </c>
      <c r="Q48" t="s">
        <v>793</v>
      </c>
      <c r="R48" s="81" t="s">
        <v>794</v>
      </c>
      <c r="S48" s="81" t="s">
        <v>795</v>
      </c>
      <c r="T48" t="s">
        <v>37</v>
      </c>
      <c r="U48" t="s">
        <v>77</v>
      </c>
      <c r="V48">
        <v>20</v>
      </c>
      <c r="W48">
        <v>50</v>
      </c>
      <c r="X48">
        <v>55</v>
      </c>
      <c r="Y48">
        <v>24</v>
      </c>
      <c r="Z48">
        <v>110</v>
      </c>
      <c r="AA48">
        <v>64</v>
      </c>
      <c r="AB48" t="s">
        <v>284</v>
      </c>
    </row>
    <row r="49" spans="1:28">
      <c r="A49">
        <v>1010</v>
      </c>
      <c r="B49">
        <v>1198</v>
      </c>
      <c r="C49" t="s">
        <v>790</v>
      </c>
      <c r="D49" t="s">
        <v>202</v>
      </c>
      <c r="E49" t="s">
        <v>744</v>
      </c>
      <c r="F49" t="s">
        <v>7</v>
      </c>
      <c r="G49" t="s">
        <v>233</v>
      </c>
      <c r="H49" t="s">
        <v>289</v>
      </c>
      <c r="I49" t="s">
        <v>299</v>
      </c>
      <c r="J49" t="s">
        <v>313</v>
      </c>
      <c r="K49" t="s">
        <v>791</v>
      </c>
      <c r="L49" s="48">
        <v>44139</v>
      </c>
      <c r="M49" t="s">
        <v>134</v>
      </c>
      <c r="N49" t="s">
        <v>575</v>
      </c>
      <c r="O49">
        <v>3</v>
      </c>
      <c r="P49" t="s">
        <v>792</v>
      </c>
      <c r="Q49" t="s">
        <v>793</v>
      </c>
      <c r="R49" s="81" t="s">
        <v>794</v>
      </c>
      <c r="S49" s="81" t="s">
        <v>795</v>
      </c>
      <c r="T49" t="s">
        <v>31</v>
      </c>
      <c r="U49" t="s">
        <v>77</v>
      </c>
      <c r="V49">
        <v>20</v>
      </c>
      <c r="W49">
        <v>50</v>
      </c>
      <c r="X49">
        <v>55</v>
      </c>
      <c r="Y49">
        <v>24</v>
      </c>
      <c r="Z49">
        <v>110</v>
      </c>
      <c r="AA49">
        <v>64</v>
      </c>
      <c r="AB49" t="s">
        <v>284</v>
      </c>
    </row>
    <row r="50" spans="1:28">
      <c r="A50">
        <v>1010</v>
      </c>
      <c r="B50">
        <v>1198</v>
      </c>
      <c r="C50" t="s">
        <v>790</v>
      </c>
      <c r="D50" t="s">
        <v>202</v>
      </c>
      <c r="E50" t="s">
        <v>744</v>
      </c>
      <c r="F50" t="s">
        <v>8</v>
      </c>
      <c r="G50" t="s">
        <v>234</v>
      </c>
      <c r="H50" t="s">
        <v>288</v>
      </c>
      <c r="I50" t="s">
        <v>285</v>
      </c>
      <c r="J50" t="s">
        <v>310</v>
      </c>
      <c r="K50" t="s">
        <v>791</v>
      </c>
      <c r="L50" s="48">
        <v>44139</v>
      </c>
      <c r="M50" t="s">
        <v>134</v>
      </c>
      <c r="N50" t="s">
        <v>575</v>
      </c>
      <c r="O50">
        <v>3</v>
      </c>
      <c r="P50" t="s">
        <v>792</v>
      </c>
      <c r="Q50" t="s">
        <v>793</v>
      </c>
      <c r="R50" s="81" t="s">
        <v>794</v>
      </c>
      <c r="S50" s="81" t="s">
        <v>795</v>
      </c>
      <c r="T50" t="s">
        <v>30</v>
      </c>
      <c r="U50" t="s">
        <v>77</v>
      </c>
      <c r="V50">
        <v>20</v>
      </c>
      <c r="W50">
        <v>50</v>
      </c>
      <c r="X50">
        <v>55</v>
      </c>
      <c r="Y50">
        <v>24</v>
      </c>
      <c r="Z50">
        <v>110</v>
      </c>
      <c r="AA50">
        <v>64</v>
      </c>
      <c r="AB50" t="s">
        <v>284</v>
      </c>
    </row>
    <row r="51" spans="1:28">
      <c r="A51">
        <v>1010</v>
      </c>
      <c r="B51">
        <v>1198</v>
      </c>
      <c r="C51" t="s">
        <v>790</v>
      </c>
      <c r="D51" t="s">
        <v>202</v>
      </c>
      <c r="E51" t="s">
        <v>744</v>
      </c>
      <c r="F51" t="s">
        <v>5</v>
      </c>
      <c r="G51" t="s">
        <v>235</v>
      </c>
      <c r="H51" t="s">
        <v>291</v>
      </c>
      <c r="I51" t="s">
        <v>303</v>
      </c>
      <c r="J51" t="s">
        <v>308</v>
      </c>
      <c r="K51" t="s">
        <v>791</v>
      </c>
      <c r="L51" s="48">
        <v>44139</v>
      </c>
      <c r="M51" t="s">
        <v>134</v>
      </c>
      <c r="N51" t="s">
        <v>575</v>
      </c>
      <c r="O51">
        <v>3</v>
      </c>
      <c r="P51" t="s">
        <v>792</v>
      </c>
      <c r="Q51" t="s">
        <v>793</v>
      </c>
      <c r="R51" s="81" t="s">
        <v>794</v>
      </c>
      <c r="S51" s="81" t="s">
        <v>795</v>
      </c>
      <c r="T51" t="s">
        <v>32</v>
      </c>
      <c r="U51" t="s">
        <v>77</v>
      </c>
      <c r="V51">
        <v>20</v>
      </c>
      <c r="W51">
        <v>50</v>
      </c>
      <c r="X51">
        <v>55</v>
      </c>
      <c r="Y51">
        <v>24</v>
      </c>
      <c r="Z51">
        <v>110</v>
      </c>
      <c r="AA51">
        <v>64</v>
      </c>
      <c r="AB51" t="s">
        <v>284</v>
      </c>
    </row>
    <row r="52" spans="1:28">
      <c r="A52">
        <v>1011</v>
      </c>
      <c r="B52">
        <v>1064</v>
      </c>
      <c r="C52" t="s">
        <v>630</v>
      </c>
      <c r="D52" t="s">
        <v>202</v>
      </c>
      <c r="E52" t="s">
        <v>744</v>
      </c>
      <c r="F52" t="s">
        <v>5</v>
      </c>
      <c r="G52" t="s">
        <v>238</v>
      </c>
      <c r="H52" t="s">
        <v>306</v>
      </c>
      <c r="I52" t="s">
        <v>310</v>
      </c>
      <c r="J52" t="s">
        <v>293</v>
      </c>
      <c r="K52" t="s">
        <v>631</v>
      </c>
      <c r="L52" s="48">
        <v>43498</v>
      </c>
      <c r="M52" t="s">
        <v>134</v>
      </c>
      <c r="N52" t="s">
        <v>632</v>
      </c>
      <c r="O52">
        <v>3</v>
      </c>
      <c r="P52" t="s">
        <v>610</v>
      </c>
      <c r="Q52" t="s">
        <v>611</v>
      </c>
      <c r="R52" s="81" t="s">
        <v>710</v>
      </c>
      <c r="S52" s="81" t="s">
        <v>711</v>
      </c>
      <c r="T52" t="s">
        <v>32</v>
      </c>
      <c r="U52" t="s">
        <v>77</v>
      </c>
      <c r="V52">
        <v>16</v>
      </c>
      <c r="W52">
        <v>50</v>
      </c>
      <c r="X52">
        <v>55</v>
      </c>
      <c r="Y52">
        <v>20</v>
      </c>
      <c r="Z52">
        <v>110</v>
      </c>
      <c r="AA52">
        <v>69</v>
      </c>
      <c r="AB52" t="s">
        <v>284</v>
      </c>
    </row>
    <row r="53" spans="1:28">
      <c r="A53">
        <v>1011</v>
      </c>
      <c r="B53">
        <v>1064</v>
      </c>
      <c r="C53" t="s">
        <v>630</v>
      </c>
      <c r="D53" t="s">
        <v>202</v>
      </c>
      <c r="E53" t="s">
        <v>744</v>
      </c>
      <c r="F53" t="s">
        <v>8</v>
      </c>
      <c r="G53" t="s">
        <v>236</v>
      </c>
      <c r="H53" t="s">
        <v>295</v>
      </c>
      <c r="I53" t="s">
        <v>310</v>
      </c>
      <c r="J53" t="s">
        <v>295</v>
      </c>
      <c r="K53" t="s">
        <v>631</v>
      </c>
      <c r="L53" s="48">
        <v>43498</v>
      </c>
      <c r="M53" t="s">
        <v>134</v>
      </c>
      <c r="N53" t="s">
        <v>632</v>
      </c>
      <c r="O53">
        <v>3</v>
      </c>
      <c r="P53" t="s">
        <v>610</v>
      </c>
      <c r="Q53" t="s">
        <v>611</v>
      </c>
      <c r="R53" s="81" t="s">
        <v>710</v>
      </c>
      <c r="S53" s="81" t="s">
        <v>711</v>
      </c>
      <c r="T53" t="s">
        <v>30</v>
      </c>
      <c r="U53" t="s">
        <v>77</v>
      </c>
      <c r="V53">
        <v>16</v>
      </c>
      <c r="W53">
        <v>50</v>
      </c>
      <c r="X53">
        <v>55</v>
      </c>
      <c r="Y53">
        <v>20</v>
      </c>
      <c r="Z53">
        <v>110</v>
      </c>
      <c r="AA53">
        <v>69</v>
      </c>
      <c r="AB53" t="s">
        <v>284</v>
      </c>
    </row>
    <row r="54" spans="1:28">
      <c r="A54">
        <v>1011</v>
      </c>
      <c r="B54">
        <v>1064</v>
      </c>
      <c r="C54" t="s">
        <v>630</v>
      </c>
      <c r="D54" t="s">
        <v>202</v>
      </c>
      <c r="E54" t="s">
        <v>744</v>
      </c>
      <c r="F54" t="s">
        <v>7</v>
      </c>
      <c r="G54" t="s">
        <v>239</v>
      </c>
      <c r="H54" t="s">
        <v>302</v>
      </c>
      <c r="I54" t="s">
        <v>299</v>
      </c>
      <c r="J54" t="s">
        <v>289</v>
      </c>
      <c r="K54" t="s">
        <v>631</v>
      </c>
      <c r="L54" s="48">
        <v>43498</v>
      </c>
      <c r="M54" t="s">
        <v>134</v>
      </c>
      <c r="N54" t="s">
        <v>632</v>
      </c>
      <c r="O54">
        <v>3</v>
      </c>
      <c r="P54" t="s">
        <v>610</v>
      </c>
      <c r="Q54" t="s">
        <v>611</v>
      </c>
      <c r="R54" s="81" t="s">
        <v>710</v>
      </c>
      <c r="S54" s="81" t="s">
        <v>711</v>
      </c>
      <c r="T54" t="s">
        <v>31</v>
      </c>
      <c r="U54" t="s">
        <v>77</v>
      </c>
      <c r="V54">
        <v>16</v>
      </c>
      <c r="W54">
        <v>50</v>
      </c>
      <c r="X54">
        <v>55</v>
      </c>
      <c r="Y54">
        <v>20</v>
      </c>
      <c r="Z54">
        <v>110</v>
      </c>
      <c r="AA54">
        <v>69</v>
      </c>
      <c r="AB54" t="s">
        <v>284</v>
      </c>
    </row>
    <row r="55" spans="1:28">
      <c r="A55">
        <v>1011</v>
      </c>
      <c r="B55">
        <v>1064</v>
      </c>
      <c r="C55" t="s">
        <v>630</v>
      </c>
      <c r="D55" t="s">
        <v>202</v>
      </c>
      <c r="E55" t="s">
        <v>744</v>
      </c>
      <c r="F55" t="s">
        <v>367</v>
      </c>
      <c r="G55" t="s">
        <v>390</v>
      </c>
      <c r="H55" t="s">
        <v>309</v>
      </c>
      <c r="I55" t="s">
        <v>312</v>
      </c>
      <c r="J55" t="s">
        <v>319</v>
      </c>
      <c r="K55" t="s">
        <v>631</v>
      </c>
      <c r="L55" s="48">
        <v>43498</v>
      </c>
      <c r="M55" t="s">
        <v>134</v>
      </c>
      <c r="N55" t="s">
        <v>632</v>
      </c>
      <c r="O55">
        <v>3</v>
      </c>
      <c r="P55" t="s">
        <v>610</v>
      </c>
      <c r="Q55" t="s">
        <v>611</v>
      </c>
      <c r="R55" s="81" t="s">
        <v>710</v>
      </c>
      <c r="S55" s="81" t="s">
        <v>711</v>
      </c>
      <c r="T55" t="s">
        <v>37</v>
      </c>
      <c r="U55" t="s">
        <v>77</v>
      </c>
      <c r="V55">
        <v>16</v>
      </c>
      <c r="W55">
        <v>50</v>
      </c>
      <c r="X55">
        <v>55</v>
      </c>
      <c r="Y55">
        <v>20</v>
      </c>
      <c r="Z55">
        <v>110</v>
      </c>
      <c r="AA55">
        <v>69</v>
      </c>
      <c r="AB55" t="s">
        <v>284</v>
      </c>
    </row>
    <row r="56" spans="1:28">
      <c r="A56">
        <v>1011</v>
      </c>
      <c r="B56">
        <v>1064</v>
      </c>
      <c r="C56" t="s">
        <v>630</v>
      </c>
      <c r="D56" t="s">
        <v>202</v>
      </c>
      <c r="E56" t="s">
        <v>744</v>
      </c>
      <c r="F56" t="s">
        <v>369</v>
      </c>
      <c r="G56" t="s">
        <v>391</v>
      </c>
      <c r="H56" t="s">
        <v>312</v>
      </c>
      <c r="I56" t="s">
        <v>312</v>
      </c>
      <c r="J56" t="s">
        <v>312</v>
      </c>
      <c r="K56" t="s">
        <v>631</v>
      </c>
      <c r="L56" s="48">
        <v>43498</v>
      </c>
      <c r="M56" t="s">
        <v>134</v>
      </c>
      <c r="N56" t="s">
        <v>632</v>
      </c>
      <c r="O56">
        <v>3</v>
      </c>
      <c r="P56" t="s">
        <v>610</v>
      </c>
      <c r="Q56" t="s">
        <v>611</v>
      </c>
      <c r="R56" s="81" t="s">
        <v>710</v>
      </c>
      <c r="S56" s="81" t="s">
        <v>711</v>
      </c>
      <c r="T56" t="s">
        <v>113</v>
      </c>
      <c r="U56" t="s">
        <v>77</v>
      </c>
      <c r="V56">
        <v>16</v>
      </c>
      <c r="W56">
        <v>50</v>
      </c>
      <c r="X56">
        <v>55</v>
      </c>
      <c r="Y56">
        <v>20</v>
      </c>
      <c r="Z56">
        <v>110</v>
      </c>
      <c r="AA56">
        <v>69</v>
      </c>
      <c r="AB56" t="s">
        <v>284</v>
      </c>
    </row>
    <row r="57" spans="1:28">
      <c r="A57">
        <v>1012</v>
      </c>
      <c r="B57">
        <v>1239</v>
      </c>
      <c r="C57" t="s">
        <v>796</v>
      </c>
      <c r="D57" t="s">
        <v>202</v>
      </c>
      <c r="E57" t="s">
        <v>744</v>
      </c>
      <c r="F57" t="s">
        <v>369</v>
      </c>
      <c r="G57" t="s">
        <v>392</v>
      </c>
      <c r="H57" t="s">
        <v>309</v>
      </c>
      <c r="I57" t="s">
        <v>312</v>
      </c>
      <c r="J57" t="s">
        <v>318</v>
      </c>
      <c r="K57" t="s">
        <v>797</v>
      </c>
      <c r="L57" s="48">
        <v>44067</v>
      </c>
      <c r="M57" t="s">
        <v>134</v>
      </c>
      <c r="N57" t="s">
        <v>551</v>
      </c>
      <c r="O57">
        <v>3</v>
      </c>
      <c r="P57" t="s">
        <v>798</v>
      </c>
      <c r="Q57" t="s">
        <v>799</v>
      </c>
      <c r="R57" s="81" t="s">
        <v>800</v>
      </c>
      <c r="S57" s="81" t="s">
        <v>284</v>
      </c>
      <c r="T57" t="s">
        <v>113</v>
      </c>
      <c r="U57" t="s">
        <v>77</v>
      </c>
      <c r="V57">
        <v>18</v>
      </c>
      <c r="W57">
        <v>50</v>
      </c>
      <c r="X57">
        <v>55</v>
      </c>
      <c r="Y57">
        <v>23</v>
      </c>
      <c r="Z57">
        <v>110</v>
      </c>
      <c r="AA57">
        <v>57</v>
      </c>
      <c r="AB57" t="s">
        <v>284</v>
      </c>
    </row>
    <row r="58" spans="1:28">
      <c r="A58">
        <v>1012</v>
      </c>
      <c r="B58">
        <v>1239</v>
      </c>
      <c r="C58" t="s">
        <v>796</v>
      </c>
      <c r="D58" t="s">
        <v>202</v>
      </c>
      <c r="E58" t="s">
        <v>744</v>
      </c>
      <c r="F58" t="s">
        <v>367</v>
      </c>
      <c r="G58" t="s">
        <v>393</v>
      </c>
      <c r="H58" t="s">
        <v>309</v>
      </c>
      <c r="I58" t="s">
        <v>312</v>
      </c>
      <c r="J58" t="s">
        <v>319</v>
      </c>
      <c r="K58" t="s">
        <v>797</v>
      </c>
      <c r="L58" s="48">
        <v>44067</v>
      </c>
      <c r="M58" t="s">
        <v>134</v>
      </c>
      <c r="N58" t="s">
        <v>551</v>
      </c>
      <c r="O58">
        <v>3</v>
      </c>
      <c r="P58" t="s">
        <v>798</v>
      </c>
      <c r="Q58" t="s">
        <v>799</v>
      </c>
      <c r="R58" s="81" t="s">
        <v>800</v>
      </c>
      <c r="S58" s="81" t="s">
        <v>284</v>
      </c>
      <c r="T58" t="s">
        <v>37</v>
      </c>
      <c r="U58" t="s">
        <v>77</v>
      </c>
      <c r="V58">
        <v>18</v>
      </c>
      <c r="W58">
        <v>50</v>
      </c>
      <c r="X58">
        <v>55</v>
      </c>
      <c r="Y58">
        <v>23</v>
      </c>
      <c r="Z58">
        <v>110</v>
      </c>
      <c r="AA58">
        <v>57</v>
      </c>
      <c r="AB58" t="s">
        <v>284</v>
      </c>
    </row>
    <row r="59" spans="1:28">
      <c r="A59">
        <v>1012</v>
      </c>
      <c r="B59">
        <v>1239</v>
      </c>
      <c r="C59" t="s">
        <v>796</v>
      </c>
      <c r="D59" t="s">
        <v>202</v>
      </c>
      <c r="E59" t="s">
        <v>744</v>
      </c>
      <c r="F59" t="s">
        <v>7</v>
      </c>
      <c r="G59" t="s">
        <v>241</v>
      </c>
      <c r="H59" t="s">
        <v>307</v>
      </c>
      <c r="I59" t="s">
        <v>316</v>
      </c>
      <c r="J59" t="s">
        <v>313</v>
      </c>
      <c r="K59" t="s">
        <v>797</v>
      </c>
      <c r="L59" s="48">
        <v>44067</v>
      </c>
      <c r="M59" t="s">
        <v>134</v>
      </c>
      <c r="N59" t="s">
        <v>551</v>
      </c>
      <c r="O59">
        <v>3</v>
      </c>
      <c r="P59" t="s">
        <v>798</v>
      </c>
      <c r="Q59" t="s">
        <v>799</v>
      </c>
      <c r="R59" s="81" t="s">
        <v>800</v>
      </c>
      <c r="S59" s="81" t="s">
        <v>284</v>
      </c>
      <c r="T59" t="s">
        <v>31</v>
      </c>
      <c r="U59" t="s">
        <v>77</v>
      </c>
      <c r="V59">
        <v>18</v>
      </c>
      <c r="W59">
        <v>50</v>
      </c>
      <c r="X59">
        <v>55</v>
      </c>
      <c r="Y59">
        <v>23</v>
      </c>
      <c r="Z59">
        <v>110</v>
      </c>
      <c r="AA59">
        <v>57</v>
      </c>
      <c r="AB59" t="s">
        <v>284</v>
      </c>
    </row>
    <row r="60" spans="1:28">
      <c r="A60">
        <v>1012</v>
      </c>
      <c r="B60">
        <v>1239</v>
      </c>
      <c r="C60" t="s">
        <v>796</v>
      </c>
      <c r="D60" t="s">
        <v>202</v>
      </c>
      <c r="E60" t="s">
        <v>744</v>
      </c>
      <c r="F60" t="s">
        <v>8</v>
      </c>
      <c r="G60" t="s">
        <v>242</v>
      </c>
      <c r="H60" t="s">
        <v>297</v>
      </c>
      <c r="I60" t="s">
        <v>315</v>
      </c>
      <c r="J60" t="s">
        <v>310</v>
      </c>
      <c r="K60" t="s">
        <v>797</v>
      </c>
      <c r="L60" s="48">
        <v>44067</v>
      </c>
      <c r="M60" t="s">
        <v>134</v>
      </c>
      <c r="N60" t="s">
        <v>551</v>
      </c>
      <c r="O60">
        <v>3</v>
      </c>
      <c r="P60" t="s">
        <v>798</v>
      </c>
      <c r="Q60" t="s">
        <v>799</v>
      </c>
      <c r="R60" s="81" t="s">
        <v>800</v>
      </c>
      <c r="S60" s="81" t="s">
        <v>284</v>
      </c>
      <c r="T60" t="s">
        <v>30</v>
      </c>
      <c r="U60" t="s">
        <v>77</v>
      </c>
      <c r="V60">
        <v>18</v>
      </c>
      <c r="W60">
        <v>50</v>
      </c>
      <c r="X60">
        <v>55</v>
      </c>
      <c r="Y60">
        <v>23</v>
      </c>
      <c r="Z60">
        <v>110</v>
      </c>
      <c r="AA60">
        <v>57</v>
      </c>
      <c r="AB60" t="s">
        <v>284</v>
      </c>
    </row>
    <row r="61" spans="1:28">
      <c r="A61">
        <v>1012</v>
      </c>
      <c r="B61">
        <v>1239</v>
      </c>
      <c r="C61" t="s">
        <v>796</v>
      </c>
      <c r="D61" t="s">
        <v>202</v>
      </c>
      <c r="E61" t="s">
        <v>744</v>
      </c>
      <c r="F61" t="s">
        <v>5</v>
      </c>
      <c r="G61" t="s">
        <v>243</v>
      </c>
      <c r="H61" t="s">
        <v>314</v>
      </c>
      <c r="I61" t="s">
        <v>327</v>
      </c>
      <c r="J61" t="s">
        <v>308</v>
      </c>
      <c r="K61" t="s">
        <v>797</v>
      </c>
      <c r="L61" s="48">
        <v>44067</v>
      </c>
      <c r="M61" t="s">
        <v>134</v>
      </c>
      <c r="N61" t="s">
        <v>551</v>
      </c>
      <c r="O61">
        <v>3</v>
      </c>
      <c r="P61" t="s">
        <v>798</v>
      </c>
      <c r="Q61" t="s">
        <v>799</v>
      </c>
      <c r="R61" s="81" t="s">
        <v>800</v>
      </c>
      <c r="S61" s="81" t="s">
        <v>284</v>
      </c>
      <c r="T61" t="s">
        <v>32</v>
      </c>
      <c r="U61" t="s">
        <v>77</v>
      </c>
      <c r="V61">
        <v>18</v>
      </c>
      <c r="W61">
        <v>50</v>
      </c>
      <c r="X61">
        <v>55</v>
      </c>
      <c r="Y61">
        <v>23</v>
      </c>
      <c r="Z61">
        <v>110</v>
      </c>
      <c r="AA61">
        <v>57</v>
      </c>
      <c r="AB61" t="s">
        <v>284</v>
      </c>
    </row>
    <row r="62" spans="1:28">
      <c r="A62">
        <v>1013</v>
      </c>
      <c r="B62">
        <v>1230</v>
      </c>
      <c r="C62" t="s">
        <v>801</v>
      </c>
      <c r="D62" t="s">
        <v>202</v>
      </c>
      <c r="E62" t="s">
        <v>744</v>
      </c>
      <c r="F62" t="s">
        <v>5</v>
      </c>
      <c r="G62" t="s">
        <v>244</v>
      </c>
      <c r="H62" t="s">
        <v>289</v>
      </c>
      <c r="I62" t="s">
        <v>288</v>
      </c>
      <c r="J62" t="s">
        <v>293</v>
      </c>
      <c r="K62" t="s">
        <v>802</v>
      </c>
      <c r="L62" s="48">
        <v>43620</v>
      </c>
      <c r="M62" t="s">
        <v>134</v>
      </c>
      <c r="N62" t="s">
        <v>573</v>
      </c>
      <c r="O62">
        <v>3</v>
      </c>
      <c r="P62" t="s">
        <v>803</v>
      </c>
      <c r="Q62" t="s">
        <v>804</v>
      </c>
      <c r="R62" s="81" t="s">
        <v>805</v>
      </c>
      <c r="S62" s="81" t="s">
        <v>806</v>
      </c>
      <c r="T62" t="s">
        <v>32</v>
      </c>
      <c r="U62" t="s">
        <v>77</v>
      </c>
      <c r="V62">
        <v>18</v>
      </c>
      <c r="W62">
        <v>50</v>
      </c>
      <c r="X62">
        <v>55</v>
      </c>
      <c r="Y62">
        <v>21</v>
      </c>
      <c r="Z62">
        <v>110</v>
      </c>
      <c r="AA62">
        <v>63</v>
      </c>
      <c r="AB62" t="s">
        <v>284</v>
      </c>
    </row>
    <row r="63" spans="1:28">
      <c r="A63">
        <v>1013</v>
      </c>
      <c r="B63">
        <v>1230</v>
      </c>
      <c r="C63" t="s">
        <v>801</v>
      </c>
      <c r="D63" t="s">
        <v>202</v>
      </c>
      <c r="E63" t="s">
        <v>744</v>
      </c>
      <c r="F63" t="s">
        <v>8</v>
      </c>
      <c r="G63" t="s">
        <v>245</v>
      </c>
      <c r="H63" t="s">
        <v>288</v>
      </c>
      <c r="I63" t="s">
        <v>305</v>
      </c>
      <c r="J63" t="s">
        <v>289</v>
      </c>
      <c r="K63" t="s">
        <v>802</v>
      </c>
      <c r="L63" s="48">
        <v>43620</v>
      </c>
      <c r="M63" t="s">
        <v>134</v>
      </c>
      <c r="N63" t="s">
        <v>573</v>
      </c>
      <c r="O63">
        <v>3</v>
      </c>
      <c r="P63" t="s">
        <v>803</v>
      </c>
      <c r="Q63" t="s">
        <v>804</v>
      </c>
      <c r="R63" s="81" t="s">
        <v>805</v>
      </c>
      <c r="S63" s="81" t="s">
        <v>806</v>
      </c>
      <c r="T63" t="s">
        <v>30</v>
      </c>
      <c r="U63" t="s">
        <v>77</v>
      </c>
      <c r="V63">
        <v>18</v>
      </c>
      <c r="W63">
        <v>50</v>
      </c>
      <c r="X63">
        <v>55</v>
      </c>
      <c r="Y63">
        <v>21</v>
      </c>
      <c r="Z63">
        <v>110</v>
      </c>
      <c r="AA63">
        <v>63</v>
      </c>
      <c r="AB63" t="s">
        <v>284</v>
      </c>
    </row>
    <row r="64" spans="1:28">
      <c r="A64">
        <v>1013</v>
      </c>
      <c r="B64">
        <v>1230</v>
      </c>
      <c r="C64" t="s">
        <v>801</v>
      </c>
      <c r="D64" t="s">
        <v>202</v>
      </c>
      <c r="E64" t="s">
        <v>744</v>
      </c>
      <c r="F64" t="s">
        <v>7</v>
      </c>
      <c r="G64" t="s">
        <v>246</v>
      </c>
      <c r="H64" t="s">
        <v>305</v>
      </c>
      <c r="I64" t="s">
        <v>290</v>
      </c>
      <c r="J64" t="s">
        <v>289</v>
      </c>
      <c r="K64" t="s">
        <v>802</v>
      </c>
      <c r="L64" s="48">
        <v>43620</v>
      </c>
      <c r="M64" t="s">
        <v>134</v>
      </c>
      <c r="N64" t="s">
        <v>573</v>
      </c>
      <c r="O64">
        <v>3</v>
      </c>
      <c r="P64" t="s">
        <v>803</v>
      </c>
      <c r="Q64" t="s">
        <v>804</v>
      </c>
      <c r="R64" s="81" t="s">
        <v>805</v>
      </c>
      <c r="S64" s="81" t="s">
        <v>806</v>
      </c>
      <c r="T64" t="s">
        <v>31</v>
      </c>
      <c r="U64" t="s">
        <v>77</v>
      </c>
      <c r="V64">
        <v>18</v>
      </c>
      <c r="W64">
        <v>50</v>
      </c>
      <c r="X64">
        <v>55</v>
      </c>
      <c r="Y64">
        <v>21</v>
      </c>
      <c r="Z64">
        <v>110</v>
      </c>
      <c r="AA64">
        <v>63</v>
      </c>
      <c r="AB64" t="s">
        <v>284</v>
      </c>
    </row>
    <row r="65" spans="1:28">
      <c r="A65">
        <v>1013</v>
      </c>
      <c r="B65">
        <v>1230</v>
      </c>
      <c r="C65" t="s">
        <v>801</v>
      </c>
      <c r="D65" t="s">
        <v>202</v>
      </c>
      <c r="E65" t="s">
        <v>744</v>
      </c>
      <c r="F65" t="s">
        <v>367</v>
      </c>
      <c r="G65" t="s">
        <v>394</v>
      </c>
      <c r="H65" t="s">
        <v>309</v>
      </c>
      <c r="I65" t="s">
        <v>312</v>
      </c>
      <c r="J65" t="s">
        <v>318</v>
      </c>
      <c r="K65" t="s">
        <v>802</v>
      </c>
      <c r="L65" s="48">
        <v>43620</v>
      </c>
      <c r="M65" t="s">
        <v>134</v>
      </c>
      <c r="N65" t="s">
        <v>573</v>
      </c>
      <c r="O65">
        <v>3</v>
      </c>
      <c r="P65" t="s">
        <v>803</v>
      </c>
      <c r="Q65" t="s">
        <v>804</v>
      </c>
      <c r="R65" s="81" t="s">
        <v>805</v>
      </c>
      <c r="S65" s="81" t="s">
        <v>806</v>
      </c>
      <c r="T65" t="s">
        <v>37</v>
      </c>
      <c r="U65" t="s">
        <v>77</v>
      </c>
      <c r="V65">
        <v>18</v>
      </c>
      <c r="W65">
        <v>50</v>
      </c>
      <c r="X65">
        <v>55</v>
      </c>
      <c r="Y65">
        <v>21</v>
      </c>
      <c r="Z65">
        <v>110</v>
      </c>
      <c r="AA65">
        <v>63</v>
      </c>
      <c r="AB65" t="s">
        <v>284</v>
      </c>
    </row>
    <row r="66" spans="1:28">
      <c r="A66">
        <v>1013</v>
      </c>
      <c r="B66">
        <v>1230</v>
      </c>
      <c r="C66" t="s">
        <v>801</v>
      </c>
      <c r="D66" t="s">
        <v>202</v>
      </c>
      <c r="E66" t="s">
        <v>744</v>
      </c>
      <c r="F66" t="s">
        <v>369</v>
      </c>
      <c r="G66" t="s">
        <v>395</v>
      </c>
      <c r="H66" t="s">
        <v>318</v>
      </c>
      <c r="I66" t="s">
        <v>312</v>
      </c>
      <c r="J66" t="s">
        <v>319</v>
      </c>
      <c r="K66" t="s">
        <v>802</v>
      </c>
      <c r="L66" s="48">
        <v>43620</v>
      </c>
      <c r="M66" t="s">
        <v>134</v>
      </c>
      <c r="N66" t="s">
        <v>573</v>
      </c>
      <c r="O66">
        <v>3</v>
      </c>
      <c r="P66" t="s">
        <v>803</v>
      </c>
      <c r="Q66" t="s">
        <v>804</v>
      </c>
      <c r="R66" s="81" t="s">
        <v>805</v>
      </c>
      <c r="S66" s="81" t="s">
        <v>806</v>
      </c>
      <c r="T66" t="s">
        <v>113</v>
      </c>
      <c r="U66" t="s">
        <v>77</v>
      </c>
      <c r="V66">
        <v>18</v>
      </c>
      <c r="W66">
        <v>50</v>
      </c>
      <c r="X66">
        <v>55</v>
      </c>
      <c r="Y66">
        <v>21</v>
      </c>
      <c r="Z66">
        <v>110</v>
      </c>
      <c r="AA66">
        <v>63</v>
      </c>
      <c r="AB66" t="s">
        <v>284</v>
      </c>
    </row>
    <row r="67" spans="1:28">
      <c r="A67">
        <v>1014</v>
      </c>
      <c r="B67">
        <v>1113</v>
      </c>
      <c r="C67" t="s">
        <v>807</v>
      </c>
      <c r="D67" t="s">
        <v>202</v>
      </c>
      <c r="E67" t="s">
        <v>744</v>
      </c>
      <c r="F67" t="s">
        <v>369</v>
      </c>
      <c r="G67" t="s">
        <v>396</v>
      </c>
      <c r="H67" t="s">
        <v>309</v>
      </c>
      <c r="I67" t="s">
        <v>312</v>
      </c>
      <c r="J67" t="s">
        <v>319</v>
      </c>
      <c r="K67" t="s">
        <v>808</v>
      </c>
      <c r="L67" s="48">
        <v>44162</v>
      </c>
      <c r="M67" t="s">
        <v>134</v>
      </c>
      <c r="N67" t="s">
        <v>559</v>
      </c>
      <c r="O67">
        <v>2</v>
      </c>
      <c r="P67" t="s">
        <v>809</v>
      </c>
      <c r="Q67" t="s">
        <v>810</v>
      </c>
      <c r="R67" s="81" t="s">
        <v>811</v>
      </c>
      <c r="S67" s="81" t="s">
        <v>812</v>
      </c>
      <c r="T67" t="s">
        <v>113</v>
      </c>
      <c r="U67" t="s">
        <v>76</v>
      </c>
      <c r="V67">
        <v>18</v>
      </c>
      <c r="W67">
        <v>50</v>
      </c>
      <c r="X67">
        <v>55</v>
      </c>
      <c r="Y67">
        <v>20</v>
      </c>
      <c r="Z67">
        <v>110</v>
      </c>
      <c r="AA67">
        <v>56</v>
      </c>
      <c r="AB67" t="s">
        <v>284</v>
      </c>
    </row>
    <row r="68" spans="1:28">
      <c r="A68">
        <v>1014</v>
      </c>
      <c r="B68">
        <v>1113</v>
      </c>
      <c r="C68" t="s">
        <v>807</v>
      </c>
      <c r="D68" t="s">
        <v>202</v>
      </c>
      <c r="E68" t="s">
        <v>744</v>
      </c>
      <c r="F68" t="s">
        <v>367</v>
      </c>
      <c r="G68" t="s">
        <v>397</v>
      </c>
      <c r="H68" t="s">
        <v>309</v>
      </c>
      <c r="I68" t="s">
        <v>312</v>
      </c>
      <c r="J68" t="s">
        <v>319</v>
      </c>
      <c r="K68" t="s">
        <v>808</v>
      </c>
      <c r="L68" s="48">
        <v>44162</v>
      </c>
      <c r="M68" t="s">
        <v>134</v>
      </c>
      <c r="N68" t="s">
        <v>559</v>
      </c>
      <c r="O68">
        <v>2</v>
      </c>
      <c r="P68" t="s">
        <v>809</v>
      </c>
      <c r="Q68" t="s">
        <v>810</v>
      </c>
      <c r="R68" s="81" t="s">
        <v>811</v>
      </c>
      <c r="S68" s="81" t="s">
        <v>812</v>
      </c>
      <c r="T68" t="s">
        <v>37</v>
      </c>
      <c r="U68" t="s">
        <v>76</v>
      </c>
      <c r="V68">
        <v>18</v>
      </c>
      <c r="W68">
        <v>50</v>
      </c>
      <c r="X68">
        <v>55</v>
      </c>
      <c r="Y68">
        <v>20</v>
      </c>
      <c r="Z68">
        <v>110</v>
      </c>
      <c r="AA68">
        <v>56</v>
      </c>
      <c r="AB68" t="s">
        <v>284</v>
      </c>
    </row>
    <row r="69" spans="1:28">
      <c r="A69">
        <v>1014</v>
      </c>
      <c r="B69">
        <v>1113</v>
      </c>
      <c r="C69" t="s">
        <v>807</v>
      </c>
      <c r="D69" t="s">
        <v>202</v>
      </c>
      <c r="E69" t="s">
        <v>744</v>
      </c>
      <c r="F69" t="s">
        <v>7</v>
      </c>
      <c r="G69" t="s">
        <v>247</v>
      </c>
      <c r="H69" t="s">
        <v>295</v>
      </c>
      <c r="I69" t="s">
        <v>313</v>
      </c>
      <c r="J69" t="s">
        <v>293</v>
      </c>
      <c r="K69" t="s">
        <v>808</v>
      </c>
      <c r="L69" s="48">
        <v>44162</v>
      </c>
      <c r="M69" t="s">
        <v>134</v>
      </c>
      <c r="N69" t="s">
        <v>559</v>
      </c>
      <c r="O69">
        <v>2</v>
      </c>
      <c r="P69" t="s">
        <v>809</v>
      </c>
      <c r="Q69" t="s">
        <v>810</v>
      </c>
      <c r="R69" s="81" t="s">
        <v>811</v>
      </c>
      <c r="S69" s="81" t="s">
        <v>812</v>
      </c>
      <c r="T69" t="s">
        <v>31</v>
      </c>
      <c r="U69" t="s">
        <v>76</v>
      </c>
      <c r="V69">
        <v>18</v>
      </c>
      <c r="W69">
        <v>50</v>
      </c>
      <c r="X69">
        <v>55</v>
      </c>
      <c r="Y69">
        <v>20</v>
      </c>
      <c r="Z69">
        <v>110</v>
      </c>
      <c r="AA69">
        <v>56</v>
      </c>
      <c r="AB69" t="s">
        <v>284</v>
      </c>
    </row>
    <row r="70" spans="1:28">
      <c r="A70">
        <v>1014</v>
      </c>
      <c r="B70">
        <v>1113</v>
      </c>
      <c r="C70" t="s">
        <v>807</v>
      </c>
      <c r="D70" t="s">
        <v>202</v>
      </c>
      <c r="E70" t="s">
        <v>744</v>
      </c>
      <c r="F70" t="s">
        <v>8</v>
      </c>
      <c r="G70" t="s">
        <v>248</v>
      </c>
      <c r="H70" t="s">
        <v>285</v>
      </c>
      <c r="I70" t="s">
        <v>304</v>
      </c>
      <c r="J70" t="s">
        <v>293</v>
      </c>
      <c r="K70" t="s">
        <v>808</v>
      </c>
      <c r="L70" s="48">
        <v>44162</v>
      </c>
      <c r="M70" t="s">
        <v>134</v>
      </c>
      <c r="N70" t="s">
        <v>559</v>
      </c>
      <c r="O70">
        <v>2</v>
      </c>
      <c r="P70" t="s">
        <v>809</v>
      </c>
      <c r="Q70" t="s">
        <v>810</v>
      </c>
      <c r="R70" s="81" t="s">
        <v>811</v>
      </c>
      <c r="S70" s="81" t="s">
        <v>812</v>
      </c>
      <c r="T70" t="s">
        <v>30</v>
      </c>
      <c r="U70" t="s">
        <v>76</v>
      </c>
      <c r="V70">
        <v>18</v>
      </c>
      <c r="W70">
        <v>50</v>
      </c>
      <c r="X70">
        <v>55</v>
      </c>
      <c r="Y70">
        <v>20</v>
      </c>
      <c r="Z70">
        <v>110</v>
      </c>
      <c r="AA70">
        <v>56</v>
      </c>
      <c r="AB70" t="s">
        <v>284</v>
      </c>
    </row>
    <row r="71" spans="1:28">
      <c r="A71">
        <v>1014</v>
      </c>
      <c r="B71">
        <v>1113</v>
      </c>
      <c r="C71" t="s">
        <v>807</v>
      </c>
      <c r="D71" t="s">
        <v>202</v>
      </c>
      <c r="E71" t="s">
        <v>744</v>
      </c>
      <c r="F71" t="s">
        <v>5</v>
      </c>
      <c r="G71" t="s">
        <v>249</v>
      </c>
      <c r="H71" t="s">
        <v>298</v>
      </c>
      <c r="I71" t="s">
        <v>307</v>
      </c>
      <c r="J71" t="s">
        <v>299</v>
      </c>
      <c r="K71" t="s">
        <v>808</v>
      </c>
      <c r="L71" s="48">
        <v>44162</v>
      </c>
      <c r="M71" t="s">
        <v>134</v>
      </c>
      <c r="N71" t="s">
        <v>559</v>
      </c>
      <c r="O71">
        <v>2</v>
      </c>
      <c r="P71" t="s">
        <v>809</v>
      </c>
      <c r="Q71" t="s">
        <v>810</v>
      </c>
      <c r="R71" s="81" t="s">
        <v>811</v>
      </c>
      <c r="S71" s="81" t="s">
        <v>812</v>
      </c>
      <c r="T71" t="s">
        <v>32</v>
      </c>
      <c r="U71" t="s">
        <v>76</v>
      </c>
      <c r="V71">
        <v>18</v>
      </c>
      <c r="W71">
        <v>50</v>
      </c>
      <c r="X71">
        <v>55</v>
      </c>
      <c r="Y71">
        <v>20</v>
      </c>
      <c r="Z71">
        <v>110</v>
      </c>
      <c r="AA71">
        <v>56</v>
      </c>
      <c r="AB71" t="s">
        <v>284</v>
      </c>
    </row>
    <row r="72" spans="1:28">
      <c r="A72">
        <v>1015</v>
      </c>
      <c r="B72">
        <v>1114</v>
      </c>
      <c r="C72" t="s">
        <v>813</v>
      </c>
      <c r="D72" t="s">
        <v>202</v>
      </c>
      <c r="E72" t="s">
        <v>744</v>
      </c>
      <c r="F72" t="s">
        <v>5</v>
      </c>
      <c r="G72" t="s">
        <v>251</v>
      </c>
      <c r="H72" t="s">
        <v>296</v>
      </c>
      <c r="I72" t="s">
        <v>300</v>
      </c>
      <c r="J72" t="s">
        <v>297</v>
      </c>
      <c r="K72" t="s">
        <v>814</v>
      </c>
      <c r="L72" s="48">
        <v>44109</v>
      </c>
      <c r="M72" t="s">
        <v>134</v>
      </c>
      <c r="N72" t="s">
        <v>815</v>
      </c>
      <c r="O72">
        <v>1</v>
      </c>
      <c r="P72" t="s">
        <v>816</v>
      </c>
      <c r="Q72" t="s">
        <v>817</v>
      </c>
      <c r="R72" s="81" t="s">
        <v>818</v>
      </c>
      <c r="S72" s="81" t="s">
        <v>819</v>
      </c>
      <c r="T72" t="s">
        <v>32</v>
      </c>
      <c r="U72" t="s">
        <v>75</v>
      </c>
      <c r="V72">
        <v>19</v>
      </c>
      <c r="W72">
        <v>50</v>
      </c>
      <c r="X72">
        <v>55</v>
      </c>
      <c r="Y72">
        <v>23</v>
      </c>
      <c r="Z72">
        <v>110</v>
      </c>
      <c r="AA72">
        <v>69</v>
      </c>
      <c r="AB72" t="s">
        <v>284</v>
      </c>
    </row>
    <row r="73" spans="1:28">
      <c r="A73">
        <v>1015</v>
      </c>
      <c r="B73">
        <v>1114</v>
      </c>
      <c r="C73" t="s">
        <v>813</v>
      </c>
      <c r="D73" t="s">
        <v>202</v>
      </c>
      <c r="E73" t="s">
        <v>744</v>
      </c>
      <c r="F73" t="s">
        <v>8</v>
      </c>
      <c r="G73" t="s">
        <v>250</v>
      </c>
      <c r="H73" t="s">
        <v>289</v>
      </c>
      <c r="I73" t="s">
        <v>305</v>
      </c>
      <c r="J73" t="s">
        <v>290</v>
      </c>
      <c r="K73" t="s">
        <v>814</v>
      </c>
      <c r="L73" s="48">
        <v>44109</v>
      </c>
      <c r="M73" t="s">
        <v>134</v>
      </c>
      <c r="N73" t="s">
        <v>815</v>
      </c>
      <c r="O73">
        <v>1</v>
      </c>
      <c r="P73" t="s">
        <v>816</v>
      </c>
      <c r="Q73" t="s">
        <v>817</v>
      </c>
      <c r="R73" s="81" t="s">
        <v>818</v>
      </c>
      <c r="S73" s="81" t="s">
        <v>819</v>
      </c>
      <c r="T73" t="s">
        <v>30</v>
      </c>
      <c r="U73" t="s">
        <v>75</v>
      </c>
      <c r="V73">
        <v>19</v>
      </c>
      <c r="W73">
        <v>50</v>
      </c>
      <c r="X73">
        <v>55</v>
      </c>
      <c r="Y73">
        <v>23</v>
      </c>
      <c r="Z73">
        <v>110</v>
      </c>
      <c r="AA73">
        <v>69</v>
      </c>
      <c r="AB73" t="s">
        <v>284</v>
      </c>
    </row>
    <row r="74" spans="1:28">
      <c r="A74">
        <v>1015</v>
      </c>
      <c r="B74">
        <v>1114</v>
      </c>
      <c r="C74" t="s">
        <v>813</v>
      </c>
      <c r="D74" t="s">
        <v>202</v>
      </c>
      <c r="E74" t="s">
        <v>744</v>
      </c>
      <c r="F74" t="s">
        <v>7</v>
      </c>
      <c r="G74" t="s">
        <v>252</v>
      </c>
      <c r="H74" t="s">
        <v>304</v>
      </c>
      <c r="I74" t="s">
        <v>305</v>
      </c>
      <c r="J74" t="s">
        <v>287</v>
      </c>
      <c r="K74" t="s">
        <v>814</v>
      </c>
      <c r="L74" s="48">
        <v>44109</v>
      </c>
      <c r="M74" t="s">
        <v>134</v>
      </c>
      <c r="N74" t="s">
        <v>815</v>
      </c>
      <c r="O74">
        <v>1</v>
      </c>
      <c r="P74" t="s">
        <v>816</v>
      </c>
      <c r="Q74" t="s">
        <v>817</v>
      </c>
      <c r="R74" s="81" t="s">
        <v>818</v>
      </c>
      <c r="S74" s="81" t="s">
        <v>819</v>
      </c>
      <c r="T74" t="s">
        <v>31</v>
      </c>
      <c r="U74" t="s">
        <v>75</v>
      </c>
      <c r="V74">
        <v>19</v>
      </c>
      <c r="W74">
        <v>50</v>
      </c>
      <c r="X74">
        <v>55</v>
      </c>
      <c r="Y74">
        <v>23</v>
      </c>
      <c r="Z74">
        <v>110</v>
      </c>
      <c r="AA74">
        <v>69</v>
      </c>
      <c r="AB74" t="s">
        <v>284</v>
      </c>
    </row>
    <row r="75" spans="1:28">
      <c r="A75">
        <v>1015</v>
      </c>
      <c r="B75">
        <v>1114</v>
      </c>
      <c r="C75" t="s">
        <v>813</v>
      </c>
      <c r="D75" t="s">
        <v>202</v>
      </c>
      <c r="E75" t="s">
        <v>744</v>
      </c>
      <c r="F75" t="s">
        <v>367</v>
      </c>
      <c r="G75" t="s">
        <v>398</v>
      </c>
      <c r="H75" t="s">
        <v>309</v>
      </c>
      <c r="I75" t="s">
        <v>312</v>
      </c>
      <c r="J75" t="s">
        <v>319</v>
      </c>
      <c r="K75" t="s">
        <v>814</v>
      </c>
      <c r="L75" s="48">
        <v>44109</v>
      </c>
      <c r="M75" t="s">
        <v>134</v>
      </c>
      <c r="N75" t="s">
        <v>815</v>
      </c>
      <c r="O75">
        <v>1</v>
      </c>
      <c r="P75" t="s">
        <v>816</v>
      </c>
      <c r="Q75" t="s">
        <v>817</v>
      </c>
      <c r="R75" s="81" t="s">
        <v>818</v>
      </c>
      <c r="S75" s="81" t="s">
        <v>819</v>
      </c>
      <c r="T75" t="s">
        <v>37</v>
      </c>
      <c r="U75" t="s">
        <v>75</v>
      </c>
      <c r="V75">
        <v>19</v>
      </c>
      <c r="W75">
        <v>50</v>
      </c>
      <c r="X75">
        <v>55</v>
      </c>
      <c r="Y75">
        <v>23</v>
      </c>
      <c r="Z75">
        <v>110</v>
      </c>
      <c r="AA75">
        <v>69</v>
      </c>
      <c r="AB75" t="s">
        <v>284</v>
      </c>
    </row>
    <row r="76" spans="1:28">
      <c r="A76">
        <v>1015</v>
      </c>
      <c r="B76">
        <v>1114</v>
      </c>
      <c r="C76" t="s">
        <v>813</v>
      </c>
      <c r="D76" t="s">
        <v>202</v>
      </c>
      <c r="E76" t="s">
        <v>744</v>
      </c>
      <c r="F76" t="s">
        <v>369</v>
      </c>
      <c r="G76" t="s">
        <v>399</v>
      </c>
      <c r="H76" t="s">
        <v>309</v>
      </c>
      <c r="I76" t="s">
        <v>312</v>
      </c>
      <c r="J76" t="s">
        <v>319</v>
      </c>
      <c r="K76" t="s">
        <v>814</v>
      </c>
      <c r="L76" s="48">
        <v>44109</v>
      </c>
      <c r="M76" t="s">
        <v>134</v>
      </c>
      <c r="N76" t="s">
        <v>815</v>
      </c>
      <c r="O76">
        <v>1</v>
      </c>
      <c r="P76" t="s">
        <v>816</v>
      </c>
      <c r="Q76" t="s">
        <v>817</v>
      </c>
      <c r="R76" s="81" t="s">
        <v>818</v>
      </c>
      <c r="S76" s="81" t="s">
        <v>819</v>
      </c>
      <c r="T76" t="s">
        <v>113</v>
      </c>
      <c r="U76" t="s">
        <v>75</v>
      </c>
      <c r="V76">
        <v>19</v>
      </c>
      <c r="W76">
        <v>50</v>
      </c>
      <c r="X76">
        <v>55</v>
      </c>
      <c r="Y76">
        <v>23</v>
      </c>
      <c r="Z76">
        <v>110</v>
      </c>
      <c r="AA76">
        <v>69</v>
      </c>
      <c r="AB76" t="s">
        <v>284</v>
      </c>
    </row>
    <row r="77" spans="1:28">
      <c r="A77">
        <v>1016</v>
      </c>
      <c r="B77">
        <v>1196</v>
      </c>
      <c r="C77" t="s">
        <v>820</v>
      </c>
      <c r="D77" t="s">
        <v>202</v>
      </c>
      <c r="E77" t="s">
        <v>744</v>
      </c>
      <c r="F77" t="s">
        <v>369</v>
      </c>
      <c r="G77" t="s">
        <v>400</v>
      </c>
      <c r="H77" t="s">
        <v>318</v>
      </c>
      <c r="I77" t="s">
        <v>312</v>
      </c>
      <c r="J77" t="s">
        <v>312</v>
      </c>
      <c r="K77" t="s">
        <v>821</v>
      </c>
      <c r="L77" s="48">
        <v>44103</v>
      </c>
      <c r="M77" t="s">
        <v>134</v>
      </c>
      <c r="N77" t="s">
        <v>822</v>
      </c>
      <c r="O77">
        <v>3</v>
      </c>
      <c r="P77" t="s">
        <v>823</v>
      </c>
      <c r="Q77" t="s">
        <v>741</v>
      </c>
      <c r="R77" s="81" t="s">
        <v>824</v>
      </c>
      <c r="S77" s="81" t="s">
        <v>825</v>
      </c>
      <c r="T77" t="s">
        <v>113</v>
      </c>
      <c r="U77" t="s">
        <v>77</v>
      </c>
      <c r="V77">
        <v>20</v>
      </c>
      <c r="W77">
        <v>50</v>
      </c>
      <c r="X77">
        <v>55</v>
      </c>
      <c r="Y77">
        <v>24</v>
      </c>
      <c r="Z77">
        <v>110</v>
      </c>
      <c r="AA77">
        <v>71</v>
      </c>
      <c r="AB77" t="s">
        <v>284</v>
      </c>
    </row>
    <row r="78" spans="1:28">
      <c r="A78">
        <v>1016</v>
      </c>
      <c r="B78">
        <v>1196</v>
      </c>
      <c r="C78" t="s">
        <v>820</v>
      </c>
      <c r="D78" t="s">
        <v>202</v>
      </c>
      <c r="E78" t="s">
        <v>744</v>
      </c>
      <c r="F78" t="s">
        <v>367</v>
      </c>
      <c r="G78" t="s">
        <v>401</v>
      </c>
      <c r="H78" t="s">
        <v>309</v>
      </c>
      <c r="I78" t="s">
        <v>312</v>
      </c>
      <c r="J78" t="s">
        <v>318</v>
      </c>
      <c r="K78" t="s">
        <v>821</v>
      </c>
      <c r="L78" s="48">
        <v>44103</v>
      </c>
      <c r="M78" t="s">
        <v>134</v>
      </c>
      <c r="N78" t="s">
        <v>822</v>
      </c>
      <c r="O78">
        <v>3</v>
      </c>
      <c r="P78" t="s">
        <v>823</v>
      </c>
      <c r="Q78" t="s">
        <v>741</v>
      </c>
      <c r="R78" s="81" t="s">
        <v>824</v>
      </c>
      <c r="S78" s="81" t="s">
        <v>825</v>
      </c>
      <c r="T78" t="s">
        <v>37</v>
      </c>
      <c r="U78" t="s">
        <v>77</v>
      </c>
      <c r="V78">
        <v>20</v>
      </c>
      <c r="W78">
        <v>50</v>
      </c>
      <c r="X78">
        <v>55</v>
      </c>
      <c r="Y78">
        <v>24</v>
      </c>
      <c r="Z78">
        <v>110</v>
      </c>
      <c r="AA78">
        <v>71</v>
      </c>
      <c r="AB78" t="s">
        <v>284</v>
      </c>
    </row>
    <row r="79" spans="1:28">
      <c r="A79">
        <v>1016</v>
      </c>
      <c r="B79">
        <v>1196</v>
      </c>
      <c r="C79" t="s">
        <v>820</v>
      </c>
      <c r="D79" t="s">
        <v>202</v>
      </c>
      <c r="E79" t="s">
        <v>744</v>
      </c>
      <c r="F79" t="s">
        <v>7</v>
      </c>
      <c r="G79" t="s">
        <v>253</v>
      </c>
      <c r="H79" t="s">
        <v>826</v>
      </c>
      <c r="I79" t="s">
        <v>298</v>
      </c>
      <c r="J79" t="s">
        <v>306</v>
      </c>
      <c r="K79" t="s">
        <v>821</v>
      </c>
      <c r="L79" s="48">
        <v>44103</v>
      </c>
      <c r="M79" t="s">
        <v>134</v>
      </c>
      <c r="N79" t="s">
        <v>822</v>
      </c>
      <c r="O79">
        <v>3</v>
      </c>
      <c r="P79" t="s">
        <v>823</v>
      </c>
      <c r="Q79" t="s">
        <v>741</v>
      </c>
      <c r="R79" s="81" t="s">
        <v>824</v>
      </c>
      <c r="S79" s="81" t="s">
        <v>825</v>
      </c>
      <c r="T79" t="s">
        <v>31</v>
      </c>
      <c r="U79" t="s">
        <v>77</v>
      </c>
      <c r="V79">
        <v>20</v>
      </c>
      <c r="W79">
        <v>50</v>
      </c>
      <c r="X79">
        <v>55</v>
      </c>
      <c r="Y79">
        <v>24</v>
      </c>
      <c r="Z79">
        <v>110</v>
      </c>
      <c r="AA79">
        <v>71</v>
      </c>
      <c r="AB79" t="s">
        <v>827</v>
      </c>
    </row>
    <row r="80" spans="1:28">
      <c r="A80">
        <v>1016</v>
      </c>
      <c r="B80">
        <v>1196</v>
      </c>
      <c r="C80" t="s">
        <v>820</v>
      </c>
      <c r="D80" t="s">
        <v>202</v>
      </c>
      <c r="E80" t="s">
        <v>744</v>
      </c>
      <c r="F80" t="s">
        <v>8</v>
      </c>
      <c r="G80" t="s">
        <v>254</v>
      </c>
      <c r="H80" t="s">
        <v>312</v>
      </c>
      <c r="I80" t="s">
        <v>293</v>
      </c>
      <c r="J80" t="s">
        <v>297</v>
      </c>
      <c r="K80" t="s">
        <v>821</v>
      </c>
      <c r="L80" s="48">
        <v>44103</v>
      </c>
      <c r="M80" t="s">
        <v>134</v>
      </c>
      <c r="N80" t="s">
        <v>822</v>
      </c>
      <c r="O80">
        <v>3</v>
      </c>
      <c r="P80" t="s">
        <v>823</v>
      </c>
      <c r="Q80" t="s">
        <v>741</v>
      </c>
      <c r="R80" s="81" t="s">
        <v>824</v>
      </c>
      <c r="S80" s="81" t="s">
        <v>825</v>
      </c>
      <c r="T80" t="s">
        <v>30</v>
      </c>
      <c r="U80" t="s">
        <v>77</v>
      </c>
      <c r="V80">
        <v>20</v>
      </c>
      <c r="W80">
        <v>50</v>
      </c>
      <c r="X80">
        <v>55</v>
      </c>
      <c r="Y80">
        <v>24</v>
      </c>
      <c r="Z80">
        <v>110</v>
      </c>
      <c r="AA80">
        <v>71</v>
      </c>
      <c r="AB80" t="s">
        <v>284</v>
      </c>
    </row>
    <row r="81" spans="1:28">
      <c r="A81">
        <v>1016</v>
      </c>
      <c r="B81">
        <v>1196</v>
      </c>
      <c r="C81" t="s">
        <v>820</v>
      </c>
      <c r="D81" t="s">
        <v>202</v>
      </c>
      <c r="E81" t="s">
        <v>744</v>
      </c>
      <c r="F81" t="s">
        <v>5</v>
      </c>
      <c r="G81" t="s">
        <v>255</v>
      </c>
      <c r="H81" t="s">
        <v>319</v>
      </c>
      <c r="I81" t="s">
        <v>302</v>
      </c>
      <c r="J81" t="s">
        <v>317</v>
      </c>
      <c r="K81" t="s">
        <v>821</v>
      </c>
      <c r="L81" s="48">
        <v>44103</v>
      </c>
      <c r="M81" t="s">
        <v>134</v>
      </c>
      <c r="N81" t="s">
        <v>822</v>
      </c>
      <c r="O81">
        <v>3</v>
      </c>
      <c r="P81" t="s">
        <v>823</v>
      </c>
      <c r="Q81" t="s">
        <v>741</v>
      </c>
      <c r="R81" s="81" t="s">
        <v>824</v>
      </c>
      <c r="S81" s="81" t="s">
        <v>825</v>
      </c>
      <c r="T81" t="s">
        <v>32</v>
      </c>
      <c r="U81" t="s">
        <v>77</v>
      </c>
      <c r="V81">
        <v>20</v>
      </c>
      <c r="W81">
        <v>50</v>
      </c>
      <c r="X81">
        <v>55</v>
      </c>
      <c r="Y81">
        <v>24</v>
      </c>
      <c r="Z81">
        <v>110</v>
      </c>
      <c r="AA81">
        <v>71</v>
      </c>
      <c r="AB81" t="s">
        <v>284</v>
      </c>
    </row>
    <row r="82" spans="1:28">
      <c r="A82">
        <v>1017</v>
      </c>
      <c r="B82">
        <v>1164</v>
      </c>
      <c r="C82" t="s">
        <v>828</v>
      </c>
      <c r="D82" t="s">
        <v>202</v>
      </c>
      <c r="E82" t="s">
        <v>744</v>
      </c>
      <c r="F82" t="s">
        <v>5</v>
      </c>
      <c r="G82" t="s">
        <v>256</v>
      </c>
      <c r="H82" t="s">
        <v>285</v>
      </c>
      <c r="I82" t="s">
        <v>292</v>
      </c>
      <c r="J82" t="s">
        <v>317</v>
      </c>
      <c r="K82" t="s">
        <v>829</v>
      </c>
      <c r="L82" s="48">
        <v>44067</v>
      </c>
      <c r="M82" t="s">
        <v>134</v>
      </c>
      <c r="N82" t="s">
        <v>575</v>
      </c>
      <c r="O82">
        <v>3</v>
      </c>
      <c r="P82" t="s">
        <v>830</v>
      </c>
      <c r="Q82" t="s">
        <v>831</v>
      </c>
      <c r="R82" s="81" t="s">
        <v>832</v>
      </c>
      <c r="S82" s="81" t="s">
        <v>833</v>
      </c>
      <c r="T82" t="s">
        <v>32</v>
      </c>
      <c r="U82" t="s">
        <v>77</v>
      </c>
      <c r="V82">
        <v>18</v>
      </c>
      <c r="W82">
        <v>50</v>
      </c>
      <c r="X82">
        <v>55</v>
      </c>
      <c r="Y82">
        <v>20</v>
      </c>
      <c r="Z82">
        <v>110</v>
      </c>
      <c r="AA82">
        <v>68</v>
      </c>
      <c r="AB82" t="s">
        <v>284</v>
      </c>
    </row>
    <row r="83" spans="1:28">
      <c r="A83">
        <v>1017</v>
      </c>
      <c r="B83">
        <v>1164</v>
      </c>
      <c r="C83" t="s">
        <v>828</v>
      </c>
      <c r="D83" t="s">
        <v>202</v>
      </c>
      <c r="E83" t="s">
        <v>744</v>
      </c>
      <c r="F83" t="s">
        <v>8</v>
      </c>
      <c r="G83" t="s">
        <v>257</v>
      </c>
      <c r="H83" t="s">
        <v>299</v>
      </c>
      <c r="I83" t="s">
        <v>301</v>
      </c>
      <c r="J83" t="s">
        <v>306</v>
      </c>
      <c r="K83" t="s">
        <v>829</v>
      </c>
      <c r="L83" s="48">
        <v>44067</v>
      </c>
      <c r="M83" t="s">
        <v>134</v>
      </c>
      <c r="N83" t="s">
        <v>575</v>
      </c>
      <c r="O83">
        <v>3</v>
      </c>
      <c r="P83" t="s">
        <v>830</v>
      </c>
      <c r="Q83" t="s">
        <v>831</v>
      </c>
      <c r="R83" s="81" t="s">
        <v>832</v>
      </c>
      <c r="S83" s="81" t="s">
        <v>833</v>
      </c>
      <c r="T83" t="s">
        <v>30</v>
      </c>
      <c r="U83" t="s">
        <v>77</v>
      </c>
      <c r="V83">
        <v>18</v>
      </c>
      <c r="W83">
        <v>50</v>
      </c>
      <c r="X83">
        <v>55</v>
      </c>
      <c r="Y83">
        <v>20</v>
      </c>
      <c r="Z83">
        <v>110</v>
      </c>
      <c r="AA83">
        <v>68</v>
      </c>
      <c r="AB83" t="s">
        <v>284</v>
      </c>
    </row>
    <row r="84" spans="1:28">
      <c r="A84">
        <v>1017</v>
      </c>
      <c r="B84">
        <v>1164</v>
      </c>
      <c r="C84" t="s">
        <v>828</v>
      </c>
      <c r="D84" t="s">
        <v>202</v>
      </c>
      <c r="E84" t="s">
        <v>744</v>
      </c>
      <c r="F84" t="s">
        <v>7</v>
      </c>
      <c r="G84" t="s">
        <v>258</v>
      </c>
      <c r="H84" t="s">
        <v>302</v>
      </c>
      <c r="I84" t="s">
        <v>310</v>
      </c>
      <c r="J84" t="s">
        <v>310</v>
      </c>
      <c r="K84" t="s">
        <v>829</v>
      </c>
      <c r="L84" s="48">
        <v>44067</v>
      </c>
      <c r="M84" t="s">
        <v>134</v>
      </c>
      <c r="N84" t="s">
        <v>575</v>
      </c>
      <c r="O84">
        <v>3</v>
      </c>
      <c r="P84" t="s">
        <v>830</v>
      </c>
      <c r="Q84" t="s">
        <v>831</v>
      </c>
      <c r="R84" s="81" t="s">
        <v>832</v>
      </c>
      <c r="S84" s="81" t="s">
        <v>833</v>
      </c>
      <c r="T84" t="s">
        <v>31</v>
      </c>
      <c r="U84" t="s">
        <v>77</v>
      </c>
      <c r="V84">
        <v>18</v>
      </c>
      <c r="W84">
        <v>50</v>
      </c>
      <c r="X84">
        <v>55</v>
      </c>
      <c r="Y84">
        <v>20</v>
      </c>
      <c r="Z84">
        <v>110</v>
      </c>
      <c r="AA84">
        <v>68</v>
      </c>
      <c r="AB84" t="s">
        <v>284</v>
      </c>
    </row>
    <row r="85" spans="1:28">
      <c r="A85">
        <v>1017</v>
      </c>
      <c r="B85">
        <v>1164</v>
      </c>
      <c r="C85" t="s">
        <v>828</v>
      </c>
      <c r="D85" t="s">
        <v>202</v>
      </c>
      <c r="E85" t="s">
        <v>744</v>
      </c>
      <c r="F85" t="s">
        <v>367</v>
      </c>
      <c r="G85" t="s">
        <v>402</v>
      </c>
      <c r="H85" t="s">
        <v>309</v>
      </c>
      <c r="I85" t="s">
        <v>312</v>
      </c>
      <c r="J85" t="s">
        <v>318</v>
      </c>
      <c r="K85" t="s">
        <v>829</v>
      </c>
      <c r="L85" s="48">
        <v>44067</v>
      </c>
      <c r="M85" t="s">
        <v>134</v>
      </c>
      <c r="N85" t="s">
        <v>575</v>
      </c>
      <c r="O85">
        <v>3</v>
      </c>
      <c r="P85" t="s">
        <v>830</v>
      </c>
      <c r="Q85" t="s">
        <v>831</v>
      </c>
      <c r="R85" s="81" t="s">
        <v>832</v>
      </c>
      <c r="S85" s="81" t="s">
        <v>833</v>
      </c>
      <c r="T85" t="s">
        <v>37</v>
      </c>
      <c r="U85" t="s">
        <v>77</v>
      </c>
      <c r="V85">
        <v>18</v>
      </c>
      <c r="W85">
        <v>50</v>
      </c>
      <c r="X85">
        <v>55</v>
      </c>
      <c r="Y85">
        <v>20</v>
      </c>
      <c r="Z85">
        <v>110</v>
      </c>
      <c r="AA85">
        <v>68</v>
      </c>
      <c r="AB85" t="s">
        <v>284</v>
      </c>
    </row>
    <row r="86" spans="1:28">
      <c r="A86">
        <v>1017</v>
      </c>
      <c r="B86">
        <v>1164</v>
      </c>
      <c r="C86" t="s">
        <v>828</v>
      </c>
      <c r="D86" t="s">
        <v>202</v>
      </c>
      <c r="E86" t="s">
        <v>744</v>
      </c>
      <c r="F86" t="s">
        <v>369</v>
      </c>
      <c r="G86" t="s">
        <v>403</v>
      </c>
      <c r="H86" t="s">
        <v>312</v>
      </c>
      <c r="I86" t="s">
        <v>312</v>
      </c>
      <c r="J86" t="s">
        <v>312</v>
      </c>
      <c r="K86" t="s">
        <v>829</v>
      </c>
      <c r="L86" s="48">
        <v>44067</v>
      </c>
      <c r="M86" t="s">
        <v>134</v>
      </c>
      <c r="N86" t="s">
        <v>575</v>
      </c>
      <c r="O86">
        <v>3</v>
      </c>
      <c r="P86" t="s">
        <v>830</v>
      </c>
      <c r="Q86" t="s">
        <v>831</v>
      </c>
      <c r="R86" s="81" t="s">
        <v>832</v>
      </c>
      <c r="S86" s="81" t="s">
        <v>833</v>
      </c>
      <c r="T86" t="s">
        <v>113</v>
      </c>
      <c r="U86" t="s">
        <v>77</v>
      </c>
      <c r="V86">
        <v>18</v>
      </c>
      <c r="W86">
        <v>50</v>
      </c>
      <c r="X86">
        <v>55</v>
      </c>
      <c r="Y86">
        <v>20</v>
      </c>
      <c r="Z86">
        <v>110</v>
      </c>
      <c r="AA86">
        <v>68</v>
      </c>
      <c r="AB86" t="s">
        <v>284</v>
      </c>
    </row>
    <row r="87" spans="1:28">
      <c r="A87">
        <v>1018</v>
      </c>
      <c r="B87">
        <v>1195</v>
      </c>
      <c r="C87" t="s">
        <v>834</v>
      </c>
      <c r="D87" t="s">
        <v>202</v>
      </c>
      <c r="E87" t="s">
        <v>744</v>
      </c>
      <c r="F87" t="s">
        <v>369</v>
      </c>
      <c r="G87" t="s">
        <v>404</v>
      </c>
      <c r="H87" t="s">
        <v>309</v>
      </c>
      <c r="I87" t="s">
        <v>312</v>
      </c>
      <c r="J87" t="s">
        <v>318</v>
      </c>
      <c r="K87" t="s">
        <v>835</v>
      </c>
      <c r="L87" s="48">
        <v>44076</v>
      </c>
      <c r="M87" t="s">
        <v>134</v>
      </c>
      <c r="N87" t="s">
        <v>564</v>
      </c>
      <c r="O87">
        <v>3</v>
      </c>
      <c r="P87" t="s">
        <v>836</v>
      </c>
      <c r="Q87" t="s">
        <v>837</v>
      </c>
      <c r="R87" s="81" t="s">
        <v>838</v>
      </c>
      <c r="S87" s="81" t="s">
        <v>839</v>
      </c>
      <c r="T87" t="s">
        <v>113</v>
      </c>
      <c r="U87" t="s">
        <v>77</v>
      </c>
      <c r="V87">
        <v>19</v>
      </c>
      <c r="W87">
        <v>50</v>
      </c>
      <c r="X87">
        <v>55</v>
      </c>
      <c r="Y87">
        <v>23</v>
      </c>
      <c r="Z87">
        <v>110</v>
      </c>
      <c r="AA87">
        <v>68</v>
      </c>
      <c r="AB87" t="s">
        <v>284</v>
      </c>
    </row>
    <row r="88" spans="1:28">
      <c r="A88">
        <v>1018</v>
      </c>
      <c r="B88">
        <v>1195</v>
      </c>
      <c r="C88" t="s">
        <v>834</v>
      </c>
      <c r="D88" t="s">
        <v>202</v>
      </c>
      <c r="E88" t="s">
        <v>744</v>
      </c>
      <c r="F88" t="s">
        <v>367</v>
      </c>
      <c r="G88" t="s">
        <v>405</v>
      </c>
      <c r="H88" t="s">
        <v>318</v>
      </c>
      <c r="I88" t="s">
        <v>312</v>
      </c>
      <c r="J88" t="s">
        <v>319</v>
      </c>
      <c r="K88" t="s">
        <v>835</v>
      </c>
      <c r="L88" s="48">
        <v>44076</v>
      </c>
      <c r="M88" t="s">
        <v>134</v>
      </c>
      <c r="N88" t="s">
        <v>564</v>
      </c>
      <c r="O88">
        <v>3</v>
      </c>
      <c r="P88" t="s">
        <v>836</v>
      </c>
      <c r="Q88" t="s">
        <v>837</v>
      </c>
      <c r="R88" s="81" t="s">
        <v>838</v>
      </c>
      <c r="S88" s="81" t="s">
        <v>839</v>
      </c>
      <c r="T88" t="s">
        <v>37</v>
      </c>
      <c r="U88" t="s">
        <v>77</v>
      </c>
      <c r="V88">
        <v>19</v>
      </c>
      <c r="W88">
        <v>50</v>
      </c>
      <c r="X88">
        <v>55</v>
      </c>
      <c r="Y88">
        <v>23</v>
      </c>
      <c r="Z88">
        <v>110</v>
      </c>
      <c r="AA88">
        <v>68</v>
      </c>
      <c r="AB88" t="s">
        <v>284</v>
      </c>
    </row>
    <row r="89" spans="1:28">
      <c r="A89">
        <v>1018</v>
      </c>
      <c r="B89">
        <v>1195</v>
      </c>
      <c r="C89" t="s">
        <v>834</v>
      </c>
      <c r="D89" t="s">
        <v>202</v>
      </c>
      <c r="E89" t="s">
        <v>744</v>
      </c>
      <c r="F89" t="s">
        <v>7</v>
      </c>
      <c r="G89" t="s">
        <v>259</v>
      </c>
      <c r="H89" t="s">
        <v>312</v>
      </c>
      <c r="I89" t="s">
        <v>307</v>
      </c>
      <c r="J89" t="s">
        <v>297</v>
      </c>
      <c r="K89" t="s">
        <v>835</v>
      </c>
      <c r="L89" s="48">
        <v>44076</v>
      </c>
      <c r="M89" t="s">
        <v>134</v>
      </c>
      <c r="N89" t="s">
        <v>564</v>
      </c>
      <c r="O89">
        <v>3</v>
      </c>
      <c r="P89" t="s">
        <v>836</v>
      </c>
      <c r="Q89" t="s">
        <v>837</v>
      </c>
      <c r="R89" s="81" t="s">
        <v>838</v>
      </c>
      <c r="S89" s="81" t="s">
        <v>839</v>
      </c>
      <c r="T89" t="s">
        <v>31</v>
      </c>
      <c r="U89" t="s">
        <v>77</v>
      </c>
      <c r="V89">
        <v>19</v>
      </c>
      <c r="W89">
        <v>50</v>
      </c>
      <c r="X89">
        <v>55</v>
      </c>
      <c r="Y89">
        <v>23</v>
      </c>
      <c r="Z89">
        <v>110</v>
      </c>
      <c r="AA89">
        <v>68</v>
      </c>
      <c r="AB89" t="s">
        <v>284</v>
      </c>
    </row>
    <row r="90" spans="1:28">
      <c r="A90">
        <v>1018</v>
      </c>
      <c r="B90">
        <v>1195</v>
      </c>
      <c r="C90" t="s">
        <v>834</v>
      </c>
      <c r="D90" t="s">
        <v>202</v>
      </c>
      <c r="E90" t="s">
        <v>744</v>
      </c>
      <c r="F90" t="s">
        <v>8</v>
      </c>
      <c r="G90" t="s">
        <v>260</v>
      </c>
      <c r="H90" t="s">
        <v>285</v>
      </c>
      <c r="I90" t="s">
        <v>293</v>
      </c>
      <c r="J90" t="s">
        <v>297</v>
      </c>
      <c r="K90" t="s">
        <v>835</v>
      </c>
      <c r="L90" s="48">
        <v>44076</v>
      </c>
      <c r="M90" t="s">
        <v>134</v>
      </c>
      <c r="N90" t="s">
        <v>564</v>
      </c>
      <c r="O90">
        <v>3</v>
      </c>
      <c r="P90" t="s">
        <v>836</v>
      </c>
      <c r="Q90" t="s">
        <v>837</v>
      </c>
      <c r="R90" s="81" t="s">
        <v>838</v>
      </c>
      <c r="S90" s="81" t="s">
        <v>839</v>
      </c>
      <c r="T90" t="s">
        <v>30</v>
      </c>
      <c r="U90" t="s">
        <v>77</v>
      </c>
      <c r="V90">
        <v>19</v>
      </c>
      <c r="W90">
        <v>50</v>
      </c>
      <c r="X90">
        <v>55</v>
      </c>
      <c r="Y90">
        <v>23</v>
      </c>
      <c r="Z90">
        <v>110</v>
      </c>
      <c r="AA90">
        <v>68</v>
      </c>
      <c r="AB90" t="s">
        <v>284</v>
      </c>
    </row>
    <row r="91" spans="1:28">
      <c r="A91">
        <v>1018</v>
      </c>
      <c r="B91">
        <v>1195</v>
      </c>
      <c r="C91" t="s">
        <v>834</v>
      </c>
      <c r="D91" t="s">
        <v>202</v>
      </c>
      <c r="E91" t="s">
        <v>744</v>
      </c>
      <c r="F91" t="s">
        <v>5</v>
      </c>
      <c r="G91" t="s">
        <v>261</v>
      </c>
      <c r="H91" t="s">
        <v>309</v>
      </c>
      <c r="I91" t="s">
        <v>309</v>
      </c>
      <c r="J91" t="s">
        <v>237</v>
      </c>
      <c r="K91" t="s">
        <v>835</v>
      </c>
      <c r="L91" s="48">
        <v>44076</v>
      </c>
      <c r="M91" t="s">
        <v>134</v>
      </c>
      <c r="N91" t="s">
        <v>564</v>
      </c>
      <c r="O91">
        <v>3</v>
      </c>
      <c r="P91" t="s">
        <v>836</v>
      </c>
      <c r="Q91" t="s">
        <v>837</v>
      </c>
      <c r="R91" s="81" t="s">
        <v>838</v>
      </c>
      <c r="S91" s="81" t="s">
        <v>839</v>
      </c>
      <c r="T91" t="s">
        <v>32</v>
      </c>
      <c r="U91" t="s">
        <v>77</v>
      </c>
      <c r="V91">
        <v>19</v>
      </c>
      <c r="W91">
        <v>50</v>
      </c>
      <c r="X91">
        <v>55</v>
      </c>
      <c r="Y91">
        <v>23</v>
      </c>
      <c r="Z91">
        <v>110</v>
      </c>
      <c r="AA91">
        <v>68</v>
      </c>
      <c r="AB91" t="s">
        <v>284</v>
      </c>
    </row>
    <row r="92" spans="1:28">
      <c r="A92">
        <v>1019</v>
      </c>
      <c r="B92">
        <v>1109</v>
      </c>
      <c r="C92" t="s">
        <v>840</v>
      </c>
      <c r="D92" t="s">
        <v>202</v>
      </c>
      <c r="E92" t="s">
        <v>744</v>
      </c>
      <c r="F92" t="s">
        <v>5</v>
      </c>
      <c r="G92" t="s">
        <v>262</v>
      </c>
      <c r="H92" t="s">
        <v>309</v>
      </c>
      <c r="I92" t="s">
        <v>318</v>
      </c>
      <c r="J92" t="s">
        <v>237</v>
      </c>
      <c r="K92" t="s">
        <v>841</v>
      </c>
      <c r="L92" s="48">
        <v>44033</v>
      </c>
      <c r="M92" t="s">
        <v>134</v>
      </c>
      <c r="N92" t="s">
        <v>842</v>
      </c>
      <c r="O92">
        <v>3</v>
      </c>
      <c r="P92" t="s">
        <v>843</v>
      </c>
      <c r="Q92" t="s">
        <v>844</v>
      </c>
      <c r="R92" s="81" t="s">
        <v>845</v>
      </c>
      <c r="S92" s="81" t="s">
        <v>846</v>
      </c>
      <c r="T92" t="s">
        <v>32</v>
      </c>
      <c r="U92" t="s">
        <v>77</v>
      </c>
      <c r="V92">
        <v>19</v>
      </c>
      <c r="W92">
        <v>50</v>
      </c>
      <c r="X92">
        <v>55</v>
      </c>
      <c r="Y92">
        <v>20</v>
      </c>
      <c r="Z92">
        <v>110</v>
      </c>
      <c r="AA92">
        <v>59</v>
      </c>
      <c r="AB92" t="s">
        <v>284</v>
      </c>
    </row>
    <row r="93" spans="1:28">
      <c r="A93">
        <v>1019</v>
      </c>
      <c r="B93">
        <v>1109</v>
      </c>
      <c r="C93" t="s">
        <v>840</v>
      </c>
      <c r="D93" t="s">
        <v>202</v>
      </c>
      <c r="E93" t="s">
        <v>744</v>
      </c>
      <c r="F93" t="s">
        <v>8</v>
      </c>
      <c r="G93" t="s">
        <v>263</v>
      </c>
      <c r="H93" t="s">
        <v>206</v>
      </c>
      <c r="I93" t="s">
        <v>297</v>
      </c>
      <c r="J93" t="s">
        <v>320</v>
      </c>
      <c r="K93" t="s">
        <v>841</v>
      </c>
      <c r="L93" s="48">
        <v>44033</v>
      </c>
      <c r="M93" t="s">
        <v>134</v>
      </c>
      <c r="N93" t="s">
        <v>842</v>
      </c>
      <c r="O93">
        <v>3</v>
      </c>
      <c r="P93" t="s">
        <v>843</v>
      </c>
      <c r="Q93" t="s">
        <v>844</v>
      </c>
      <c r="R93" s="81" t="s">
        <v>845</v>
      </c>
      <c r="S93" s="81" t="s">
        <v>846</v>
      </c>
      <c r="T93" t="s">
        <v>30</v>
      </c>
      <c r="U93" t="s">
        <v>77</v>
      </c>
      <c r="V93">
        <v>19</v>
      </c>
      <c r="W93">
        <v>50</v>
      </c>
      <c r="X93">
        <v>55</v>
      </c>
      <c r="Y93">
        <v>20</v>
      </c>
      <c r="Z93">
        <v>110</v>
      </c>
      <c r="AA93">
        <v>59</v>
      </c>
      <c r="AB93" t="s">
        <v>284</v>
      </c>
    </row>
    <row r="94" spans="1:28">
      <c r="A94">
        <v>1019</v>
      </c>
      <c r="B94">
        <v>1109</v>
      </c>
      <c r="C94" t="s">
        <v>840</v>
      </c>
      <c r="D94" t="s">
        <v>202</v>
      </c>
      <c r="E94" t="s">
        <v>744</v>
      </c>
      <c r="F94" t="s">
        <v>7</v>
      </c>
      <c r="G94" t="s">
        <v>264</v>
      </c>
      <c r="H94" t="s">
        <v>206</v>
      </c>
      <c r="I94" t="s">
        <v>309</v>
      </c>
      <c r="J94" t="s">
        <v>315</v>
      </c>
      <c r="K94" t="s">
        <v>841</v>
      </c>
      <c r="L94" s="48">
        <v>44033</v>
      </c>
      <c r="M94" t="s">
        <v>134</v>
      </c>
      <c r="N94" t="s">
        <v>842</v>
      </c>
      <c r="O94">
        <v>3</v>
      </c>
      <c r="P94" t="s">
        <v>843</v>
      </c>
      <c r="Q94" t="s">
        <v>844</v>
      </c>
      <c r="R94" s="81" t="s">
        <v>845</v>
      </c>
      <c r="S94" s="81" t="s">
        <v>846</v>
      </c>
      <c r="T94" t="s">
        <v>31</v>
      </c>
      <c r="U94" t="s">
        <v>77</v>
      </c>
      <c r="V94">
        <v>19</v>
      </c>
      <c r="W94">
        <v>50</v>
      </c>
      <c r="X94">
        <v>55</v>
      </c>
      <c r="Y94">
        <v>20</v>
      </c>
      <c r="Z94">
        <v>110</v>
      </c>
      <c r="AA94">
        <v>59</v>
      </c>
      <c r="AB94" t="s">
        <v>284</v>
      </c>
    </row>
    <row r="95" spans="1:28">
      <c r="A95">
        <v>1019</v>
      </c>
      <c r="B95">
        <v>1109</v>
      </c>
      <c r="C95" t="s">
        <v>840</v>
      </c>
      <c r="D95" t="s">
        <v>202</v>
      </c>
      <c r="E95" t="s">
        <v>744</v>
      </c>
      <c r="F95" t="s">
        <v>367</v>
      </c>
      <c r="G95" t="s">
        <v>406</v>
      </c>
      <c r="H95" t="s">
        <v>318</v>
      </c>
      <c r="I95" t="s">
        <v>312</v>
      </c>
      <c r="J95" t="s">
        <v>319</v>
      </c>
      <c r="K95" t="s">
        <v>841</v>
      </c>
      <c r="L95" s="48">
        <v>44033</v>
      </c>
      <c r="M95" t="s">
        <v>134</v>
      </c>
      <c r="N95" t="s">
        <v>842</v>
      </c>
      <c r="O95">
        <v>3</v>
      </c>
      <c r="P95" t="s">
        <v>843</v>
      </c>
      <c r="Q95" t="s">
        <v>844</v>
      </c>
      <c r="R95" s="81" t="s">
        <v>845</v>
      </c>
      <c r="S95" s="81" t="s">
        <v>846</v>
      </c>
      <c r="T95" t="s">
        <v>37</v>
      </c>
      <c r="U95" t="s">
        <v>77</v>
      </c>
      <c r="V95">
        <v>19</v>
      </c>
      <c r="W95">
        <v>50</v>
      </c>
      <c r="X95">
        <v>55</v>
      </c>
      <c r="Y95">
        <v>20</v>
      </c>
      <c r="Z95">
        <v>110</v>
      </c>
      <c r="AA95">
        <v>59</v>
      </c>
      <c r="AB95" t="s">
        <v>284</v>
      </c>
    </row>
    <row r="96" spans="1:28">
      <c r="A96">
        <v>1019</v>
      </c>
      <c r="B96">
        <v>1109</v>
      </c>
      <c r="C96" t="s">
        <v>840</v>
      </c>
      <c r="D96" t="s">
        <v>202</v>
      </c>
      <c r="E96" t="s">
        <v>744</v>
      </c>
      <c r="F96" t="s">
        <v>369</v>
      </c>
      <c r="G96" t="s">
        <v>407</v>
      </c>
      <c r="H96" t="s">
        <v>309</v>
      </c>
      <c r="I96" t="s">
        <v>312</v>
      </c>
      <c r="J96" t="s">
        <v>318</v>
      </c>
      <c r="K96" t="s">
        <v>841</v>
      </c>
      <c r="L96" s="48">
        <v>44033</v>
      </c>
      <c r="M96" t="s">
        <v>134</v>
      </c>
      <c r="N96" t="s">
        <v>842</v>
      </c>
      <c r="O96">
        <v>3</v>
      </c>
      <c r="P96" t="s">
        <v>843</v>
      </c>
      <c r="Q96" t="s">
        <v>844</v>
      </c>
      <c r="R96" s="81" t="s">
        <v>845</v>
      </c>
      <c r="S96" s="81" t="s">
        <v>846</v>
      </c>
      <c r="T96" t="s">
        <v>113</v>
      </c>
      <c r="U96" t="s">
        <v>77</v>
      </c>
      <c r="V96">
        <v>19</v>
      </c>
      <c r="W96">
        <v>50</v>
      </c>
      <c r="X96">
        <v>55</v>
      </c>
      <c r="Y96">
        <v>20</v>
      </c>
      <c r="Z96">
        <v>110</v>
      </c>
      <c r="AA96">
        <v>59</v>
      </c>
      <c r="AB96" t="s">
        <v>284</v>
      </c>
    </row>
    <row r="97" spans="1:28">
      <c r="A97">
        <v>1020</v>
      </c>
      <c r="B97">
        <v>1084</v>
      </c>
      <c r="C97" t="s">
        <v>661</v>
      </c>
      <c r="D97" t="s">
        <v>202</v>
      </c>
      <c r="E97" t="s">
        <v>744</v>
      </c>
      <c r="F97" t="s">
        <v>369</v>
      </c>
      <c r="G97" t="s">
        <v>408</v>
      </c>
      <c r="H97" t="s">
        <v>309</v>
      </c>
      <c r="I97" t="s">
        <v>312</v>
      </c>
      <c r="J97" t="s">
        <v>318</v>
      </c>
      <c r="K97" t="s">
        <v>662</v>
      </c>
      <c r="L97" s="48">
        <v>43711</v>
      </c>
      <c r="M97" t="s">
        <v>134</v>
      </c>
      <c r="N97" t="s">
        <v>575</v>
      </c>
      <c r="O97">
        <v>2</v>
      </c>
      <c r="P97" t="s">
        <v>663</v>
      </c>
      <c r="Q97" t="s">
        <v>664</v>
      </c>
      <c r="R97" s="81" t="s">
        <v>729</v>
      </c>
      <c r="S97" s="81" t="s">
        <v>730</v>
      </c>
      <c r="T97" t="s">
        <v>113</v>
      </c>
      <c r="U97" t="s">
        <v>76</v>
      </c>
      <c r="V97">
        <v>18</v>
      </c>
      <c r="W97">
        <v>50</v>
      </c>
      <c r="X97">
        <v>55</v>
      </c>
      <c r="Y97">
        <v>21</v>
      </c>
      <c r="Z97">
        <v>110</v>
      </c>
      <c r="AA97">
        <v>56</v>
      </c>
      <c r="AB97" t="s">
        <v>284</v>
      </c>
    </row>
    <row r="98" spans="1:28">
      <c r="A98">
        <v>1020</v>
      </c>
      <c r="B98">
        <v>1084</v>
      </c>
      <c r="C98" t="s">
        <v>661</v>
      </c>
      <c r="D98" t="s">
        <v>202</v>
      </c>
      <c r="E98" t="s">
        <v>744</v>
      </c>
      <c r="F98" t="s">
        <v>367</v>
      </c>
      <c r="G98" t="s">
        <v>409</v>
      </c>
      <c r="H98" t="s">
        <v>309</v>
      </c>
      <c r="I98" t="s">
        <v>312</v>
      </c>
      <c r="J98" t="s">
        <v>318</v>
      </c>
      <c r="K98" t="s">
        <v>662</v>
      </c>
      <c r="L98" s="48">
        <v>43711</v>
      </c>
      <c r="M98" t="s">
        <v>134</v>
      </c>
      <c r="N98" t="s">
        <v>575</v>
      </c>
      <c r="O98">
        <v>2</v>
      </c>
      <c r="P98" t="s">
        <v>663</v>
      </c>
      <c r="Q98" t="s">
        <v>664</v>
      </c>
      <c r="R98" s="81" t="s">
        <v>729</v>
      </c>
      <c r="S98" s="81" t="s">
        <v>730</v>
      </c>
      <c r="T98" t="s">
        <v>37</v>
      </c>
      <c r="U98" t="s">
        <v>76</v>
      </c>
      <c r="V98">
        <v>18</v>
      </c>
      <c r="W98">
        <v>50</v>
      </c>
      <c r="X98">
        <v>55</v>
      </c>
      <c r="Y98">
        <v>21</v>
      </c>
      <c r="Z98">
        <v>110</v>
      </c>
      <c r="AA98">
        <v>56</v>
      </c>
      <c r="AB98" t="s">
        <v>284</v>
      </c>
    </row>
    <row r="99" spans="1:28">
      <c r="A99">
        <v>1020</v>
      </c>
      <c r="B99">
        <v>1084</v>
      </c>
      <c r="C99" t="s">
        <v>661</v>
      </c>
      <c r="D99" t="s">
        <v>202</v>
      </c>
      <c r="E99" t="s">
        <v>744</v>
      </c>
      <c r="F99" t="s">
        <v>7</v>
      </c>
      <c r="G99" t="s">
        <v>265</v>
      </c>
      <c r="H99" t="s">
        <v>312</v>
      </c>
      <c r="I99" t="s">
        <v>296</v>
      </c>
      <c r="J99" t="s">
        <v>297</v>
      </c>
      <c r="K99" t="s">
        <v>662</v>
      </c>
      <c r="L99" s="48">
        <v>43711</v>
      </c>
      <c r="M99" t="s">
        <v>134</v>
      </c>
      <c r="N99" t="s">
        <v>575</v>
      </c>
      <c r="O99">
        <v>2</v>
      </c>
      <c r="P99" t="s">
        <v>663</v>
      </c>
      <c r="Q99" t="s">
        <v>664</v>
      </c>
      <c r="R99" s="81" t="s">
        <v>729</v>
      </c>
      <c r="S99" s="81" t="s">
        <v>730</v>
      </c>
      <c r="T99" t="s">
        <v>31</v>
      </c>
      <c r="U99" t="s">
        <v>76</v>
      </c>
      <c r="V99">
        <v>18</v>
      </c>
      <c r="W99">
        <v>50</v>
      </c>
      <c r="X99">
        <v>55</v>
      </c>
      <c r="Y99">
        <v>21</v>
      </c>
      <c r="Z99">
        <v>110</v>
      </c>
      <c r="AA99">
        <v>56</v>
      </c>
      <c r="AB99" t="s">
        <v>284</v>
      </c>
    </row>
    <row r="100" spans="1:28">
      <c r="A100">
        <v>1020</v>
      </c>
      <c r="B100">
        <v>1084</v>
      </c>
      <c r="C100" t="s">
        <v>661</v>
      </c>
      <c r="D100" t="s">
        <v>202</v>
      </c>
      <c r="E100" t="s">
        <v>744</v>
      </c>
      <c r="F100" t="s">
        <v>8</v>
      </c>
      <c r="G100" t="s">
        <v>266</v>
      </c>
      <c r="H100" t="s">
        <v>312</v>
      </c>
      <c r="I100" t="s">
        <v>306</v>
      </c>
      <c r="J100" t="s">
        <v>302</v>
      </c>
      <c r="K100" t="s">
        <v>662</v>
      </c>
      <c r="L100" s="48">
        <v>43711</v>
      </c>
      <c r="M100" t="s">
        <v>134</v>
      </c>
      <c r="N100" t="s">
        <v>575</v>
      </c>
      <c r="O100">
        <v>2</v>
      </c>
      <c r="P100" t="s">
        <v>663</v>
      </c>
      <c r="Q100" t="s">
        <v>664</v>
      </c>
      <c r="R100" s="81" t="s">
        <v>729</v>
      </c>
      <c r="S100" s="81" t="s">
        <v>730</v>
      </c>
      <c r="T100" t="s">
        <v>30</v>
      </c>
      <c r="U100" t="s">
        <v>76</v>
      </c>
      <c r="V100">
        <v>18</v>
      </c>
      <c r="W100">
        <v>50</v>
      </c>
      <c r="X100">
        <v>55</v>
      </c>
      <c r="Y100">
        <v>21</v>
      </c>
      <c r="Z100">
        <v>110</v>
      </c>
      <c r="AA100">
        <v>56</v>
      </c>
      <c r="AB100" t="s">
        <v>284</v>
      </c>
    </row>
    <row r="101" spans="1:28">
      <c r="A101">
        <v>1021</v>
      </c>
      <c r="B101">
        <v>1102</v>
      </c>
      <c r="C101" t="s">
        <v>665</v>
      </c>
      <c r="D101" t="s">
        <v>202</v>
      </c>
      <c r="E101" t="s">
        <v>744</v>
      </c>
      <c r="F101" t="s">
        <v>8</v>
      </c>
      <c r="G101" t="s">
        <v>268</v>
      </c>
      <c r="H101" t="s">
        <v>289</v>
      </c>
      <c r="I101" t="s">
        <v>305</v>
      </c>
      <c r="J101" t="s">
        <v>294</v>
      </c>
      <c r="K101" t="s">
        <v>666</v>
      </c>
      <c r="L101" s="48">
        <v>43371</v>
      </c>
      <c r="M101" t="s">
        <v>134</v>
      </c>
      <c r="N101" t="s">
        <v>575</v>
      </c>
      <c r="O101">
        <v>2</v>
      </c>
      <c r="P101" t="s">
        <v>667</v>
      </c>
      <c r="Q101" t="s">
        <v>668</v>
      </c>
      <c r="R101" s="81" t="s">
        <v>731</v>
      </c>
      <c r="S101" s="81" t="s">
        <v>732</v>
      </c>
      <c r="T101" t="s">
        <v>30</v>
      </c>
      <c r="U101" t="s">
        <v>76</v>
      </c>
      <c r="V101">
        <v>17</v>
      </c>
      <c r="W101">
        <v>50</v>
      </c>
      <c r="X101">
        <v>55</v>
      </c>
      <c r="Y101">
        <v>21</v>
      </c>
      <c r="Z101">
        <v>110</v>
      </c>
      <c r="AA101">
        <v>65</v>
      </c>
      <c r="AB101" t="s">
        <v>284</v>
      </c>
    </row>
    <row r="102" spans="1:28">
      <c r="A102">
        <v>1021</v>
      </c>
      <c r="B102">
        <v>1102</v>
      </c>
      <c r="C102" t="s">
        <v>665</v>
      </c>
      <c r="D102" t="s">
        <v>202</v>
      </c>
      <c r="E102" t="s">
        <v>744</v>
      </c>
      <c r="F102" t="s">
        <v>5</v>
      </c>
      <c r="G102" t="s">
        <v>267</v>
      </c>
      <c r="H102" t="s">
        <v>298</v>
      </c>
      <c r="I102" t="s">
        <v>291</v>
      </c>
      <c r="J102" t="s">
        <v>291</v>
      </c>
      <c r="K102" t="s">
        <v>666</v>
      </c>
      <c r="L102" s="48">
        <v>43371</v>
      </c>
      <c r="M102" t="s">
        <v>134</v>
      </c>
      <c r="N102" t="s">
        <v>575</v>
      </c>
      <c r="O102">
        <v>2</v>
      </c>
      <c r="P102" t="s">
        <v>667</v>
      </c>
      <c r="Q102" t="s">
        <v>668</v>
      </c>
      <c r="R102" s="81" t="s">
        <v>731</v>
      </c>
      <c r="S102" s="81" t="s">
        <v>732</v>
      </c>
      <c r="T102" t="s">
        <v>32</v>
      </c>
      <c r="U102" t="s">
        <v>76</v>
      </c>
      <c r="V102">
        <v>17</v>
      </c>
      <c r="W102">
        <v>50</v>
      </c>
      <c r="X102">
        <v>55</v>
      </c>
      <c r="Y102">
        <v>21</v>
      </c>
      <c r="Z102">
        <v>110</v>
      </c>
      <c r="AA102">
        <v>65</v>
      </c>
      <c r="AB102" t="s">
        <v>284</v>
      </c>
    </row>
    <row r="103" spans="1:28">
      <c r="A103">
        <v>1021</v>
      </c>
      <c r="B103">
        <v>1102</v>
      </c>
      <c r="C103" t="s">
        <v>665</v>
      </c>
      <c r="D103" t="s">
        <v>202</v>
      </c>
      <c r="E103" t="s">
        <v>744</v>
      </c>
      <c r="F103" t="s">
        <v>7</v>
      </c>
      <c r="G103" t="s">
        <v>269</v>
      </c>
      <c r="H103" t="s">
        <v>287</v>
      </c>
      <c r="I103" t="s">
        <v>305</v>
      </c>
      <c r="J103" t="s">
        <v>299</v>
      </c>
      <c r="K103" t="s">
        <v>666</v>
      </c>
      <c r="L103" s="48">
        <v>43371</v>
      </c>
      <c r="M103" t="s">
        <v>134</v>
      </c>
      <c r="N103" t="s">
        <v>575</v>
      </c>
      <c r="O103">
        <v>2</v>
      </c>
      <c r="P103" t="s">
        <v>667</v>
      </c>
      <c r="Q103" t="s">
        <v>668</v>
      </c>
      <c r="R103" s="81" t="s">
        <v>731</v>
      </c>
      <c r="S103" s="81" t="s">
        <v>732</v>
      </c>
      <c r="T103" t="s">
        <v>31</v>
      </c>
      <c r="U103" t="s">
        <v>76</v>
      </c>
      <c r="V103">
        <v>17</v>
      </c>
      <c r="W103">
        <v>50</v>
      </c>
      <c r="X103">
        <v>55</v>
      </c>
      <c r="Y103">
        <v>21</v>
      </c>
      <c r="Z103">
        <v>110</v>
      </c>
      <c r="AA103">
        <v>65</v>
      </c>
      <c r="AB103" t="s">
        <v>284</v>
      </c>
    </row>
    <row r="104" spans="1:28">
      <c r="A104">
        <v>1021</v>
      </c>
      <c r="B104">
        <v>1102</v>
      </c>
      <c r="C104" t="s">
        <v>665</v>
      </c>
      <c r="D104" t="s">
        <v>202</v>
      </c>
      <c r="E104" t="s">
        <v>744</v>
      </c>
      <c r="F104" t="s">
        <v>367</v>
      </c>
      <c r="G104" t="s">
        <v>410</v>
      </c>
      <c r="H104" t="s">
        <v>309</v>
      </c>
      <c r="I104" t="s">
        <v>312</v>
      </c>
      <c r="J104" t="s">
        <v>312</v>
      </c>
      <c r="K104" t="s">
        <v>666</v>
      </c>
      <c r="L104" s="48">
        <v>43371</v>
      </c>
      <c r="M104" t="s">
        <v>134</v>
      </c>
      <c r="N104" t="s">
        <v>575</v>
      </c>
      <c r="O104">
        <v>2</v>
      </c>
      <c r="P104" t="s">
        <v>667</v>
      </c>
      <c r="Q104" t="s">
        <v>668</v>
      </c>
      <c r="R104" s="81" t="s">
        <v>731</v>
      </c>
      <c r="S104" s="81" t="s">
        <v>732</v>
      </c>
      <c r="T104" t="s">
        <v>37</v>
      </c>
      <c r="U104" t="s">
        <v>76</v>
      </c>
      <c r="V104">
        <v>17</v>
      </c>
      <c r="W104">
        <v>50</v>
      </c>
      <c r="X104">
        <v>55</v>
      </c>
      <c r="Y104">
        <v>21</v>
      </c>
      <c r="Z104">
        <v>110</v>
      </c>
      <c r="AA104">
        <v>65</v>
      </c>
      <c r="AB104" t="s">
        <v>284</v>
      </c>
    </row>
    <row r="105" spans="1:28">
      <c r="A105">
        <v>1021</v>
      </c>
      <c r="B105">
        <v>1102</v>
      </c>
      <c r="C105" t="s">
        <v>665</v>
      </c>
      <c r="D105" t="s">
        <v>202</v>
      </c>
      <c r="E105" t="s">
        <v>744</v>
      </c>
      <c r="F105" t="s">
        <v>369</v>
      </c>
      <c r="G105" t="s">
        <v>411</v>
      </c>
      <c r="H105" t="s">
        <v>309</v>
      </c>
      <c r="I105" t="s">
        <v>312</v>
      </c>
      <c r="J105" t="s">
        <v>312</v>
      </c>
      <c r="K105" t="s">
        <v>666</v>
      </c>
      <c r="L105" s="48">
        <v>43371</v>
      </c>
      <c r="M105" t="s">
        <v>134</v>
      </c>
      <c r="N105" t="s">
        <v>575</v>
      </c>
      <c r="O105">
        <v>2</v>
      </c>
      <c r="P105" t="s">
        <v>667</v>
      </c>
      <c r="Q105" t="s">
        <v>668</v>
      </c>
      <c r="R105" s="81" t="s">
        <v>731</v>
      </c>
      <c r="S105" s="81" t="s">
        <v>732</v>
      </c>
      <c r="T105" t="s">
        <v>113</v>
      </c>
      <c r="U105" t="s">
        <v>76</v>
      </c>
      <c r="V105">
        <v>17</v>
      </c>
      <c r="W105">
        <v>50</v>
      </c>
      <c r="X105">
        <v>55</v>
      </c>
      <c r="Y105">
        <v>21</v>
      </c>
      <c r="Z105">
        <v>110</v>
      </c>
      <c r="AA105">
        <v>65</v>
      </c>
      <c r="AB105" t="s">
        <v>284</v>
      </c>
    </row>
    <row r="106" spans="1:28">
      <c r="A106">
        <v>1022</v>
      </c>
      <c r="B106">
        <v>1110</v>
      </c>
      <c r="C106" t="s">
        <v>847</v>
      </c>
      <c r="D106" t="s">
        <v>202</v>
      </c>
      <c r="E106" t="s">
        <v>744</v>
      </c>
      <c r="F106" t="s">
        <v>369</v>
      </c>
      <c r="G106" t="s">
        <v>412</v>
      </c>
      <c r="H106" t="s">
        <v>309</v>
      </c>
      <c r="I106" t="s">
        <v>312</v>
      </c>
      <c r="J106" t="s">
        <v>319</v>
      </c>
      <c r="K106" t="s">
        <v>848</v>
      </c>
      <c r="L106" s="48">
        <v>44179</v>
      </c>
      <c r="M106" t="s">
        <v>134</v>
      </c>
      <c r="N106" t="s">
        <v>849</v>
      </c>
      <c r="O106">
        <v>9</v>
      </c>
      <c r="P106" t="s">
        <v>850</v>
      </c>
      <c r="Q106" t="s">
        <v>974</v>
      </c>
      <c r="R106" s="81" t="s">
        <v>851</v>
      </c>
      <c r="S106" s="81" t="s">
        <v>852</v>
      </c>
      <c r="T106" t="s">
        <v>113</v>
      </c>
      <c r="U106" t="s">
        <v>82</v>
      </c>
      <c r="V106">
        <v>16</v>
      </c>
      <c r="W106">
        <v>50</v>
      </c>
      <c r="X106">
        <v>55</v>
      </c>
      <c r="Y106">
        <v>20</v>
      </c>
      <c r="Z106">
        <v>110</v>
      </c>
      <c r="AA106">
        <v>68</v>
      </c>
      <c r="AB106" t="s">
        <v>284</v>
      </c>
    </row>
    <row r="107" spans="1:28">
      <c r="A107">
        <v>1022</v>
      </c>
      <c r="B107">
        <v>1110</v>
      </c>
      <c r="C107" t="s">
        <v>847</v>
      </c>
      <c r="D107" t="s">
        <v>202</v>
      </c>
      <c r="E107" t="s">
        <v>744</v>
      </c>
      <c r="F107" t="s">
        <v>367</v>
      </c>
      <c r="G107" t="s">
        <v>413</v>
      </c>
      <c r="H107" t="s">
        <v>318</v>
      </c>
      <c r="I107" t="s">
        <v>312</v>
      </c>
      <c r="J107" t="s">
        <v>318</v>
      </c>
      <c r="K107" t="s">
        <v>848</v>
      </c>
      <c r="L107" s="48">
        <v>44179</v>
      </c>
      <c r="M107" t="s">
        <v>134</v>
      </c>
      <c r="N107" t="s">
        <v>849</v>
      </c>
      <c r="O107">
        <v>9</v>
      </c>
      <c r="P107" t="s">
        <v>850</v>
      </c>
      <c r="Q107" t="s">
        <v>974</v>
      </c>
      <c r="R107" s="81" t="s">
        <v>851</v>
      </c>
      <c r="S107" s="81" t="s">
        <v>852</v>
      </c>
      <c r="T107" t="s">
        <v>37</v>
      </c>
      <c r="U107" t="s">
        <v>82</v>
      </c>
      <c r="V107">
        <v>16</v>
      </c>
      <c r="W107">
        <v>50</v>
      </c>
      <c r="X107">
        <v>55</v>
      </c>
      <c r="Y107">
        <v>20</v>
      </c>
      <c r="Z107">
        <v>110</v>
      </c>
      <c r="AA107">
        <v>68</v>
      </c>
      <c r="AB107" t="s">
        <v>284</v>
      </c>
    </row>
    <row r="108" spans="1:28">
      <c r="A108">
        <v>1022</v>
      </c>
      <c r="B108">
        <v>1110</v>
      </c>
      <c r="C108" t="s">
        <v>847</v>
      </c>
      <c r="D108" t="s">
        <v>202</v>
      </c>
      <c r="E108" t="s">
        <v>744</v>
      </c>
      <c r="F108" t="s">
        <v>7</v>
      </c>
      <c r="G108" t="s">
        <v>270</v>
      </c>
      <c r="H108" t="s">
        <v>290</v>
      </c>
      <c r="I108" t="s">
        <v>294</v>
      </c>
      <c r="J108" t="s">
        <v>285</v>
      </c>
      <c r="K108" t="s">
        <v>848</v>
      </c>
      <c r="L108" s="48">
        <v>44179</v>
      </c>
      <c r="M108" t="s">
        <v>134</v>
      </c>
      <c r="N108" t="s">
        <v>849</v>
      </c>
      <c r="O108">
        <v>9</v>
      </c>
      <c r="P108" t="s">
        <v>850</v>
      </c>
      <c r="Q108" t="s">
        <v>974</v>
      </c>
      <c r="R108" s="81" t="s">
        <v>851</v>
      </c>
      <c r="S108" s="81" t="s">
        <v>852</v>
      </c>
      <c r="T108" t="s">
        <v>31</v>
      </c>
      <c r="U108" t="s">
        <v>82</v>
      </c>
      <c r="V108">
        <v>16</v>
      </c>
      <c r="W108">
        <v>50</v>
      </c>
      <c r="X108">
        <v>55</v>
      </c>
      <c r="Y108">
        <v>20</v>
      </c>
      <c r="Z108">
        <v>110</v>
      </c>
      <c r="AA108">
        <v>68</v>
      </c>
      <c r="AB108" t="s">
        <v>284</v>
      </c>
    </row>
    <row r="109" spans="1:28">
      <c r="A109">
        <v>1022</v>
      </c>
      <c r="B109">
        <v>1110</v>
      </c>
      <c r="C109" t="s">
        <v>847</v>
      </c>
      <c r="D109" t="s">
        <v>202</v>
      </c>
      <c r="E109" t="s">
        <v>744</v>
      </c>
      <c r="F109" t="s">
        <v>5</v>
      </c>
      <c r="G109" t="s">
        <v>272</v>
      </c>
      <c r="H109" t="s">
        <v>302</v>
      </c>
      <c r="I109" t="s">
        <v>299</v>
      </c>
      <c r="J109" t="s">
        <v>291</v>
      </c>
      <c r="K109" t="s">
        <v>848</v>
      </c>
      <c r="L109" s="48">
        <v>44179</v>
      </c>
      <c r="M109" t="s">
        <v>134</v>
      </c>
      <c r="N109" t="s">
        <v>849</v>
      </c>
      <c r="O109">
        <v>9</v>
      </c>
      <c r="P109" t="s">
        <v>850</v>
      </c>
      <c r="Q109" t="s">
        <v>974</v>
      </c>
      <c r="R109" s="81" t="s">
        <v>851</v>
      </c>
      <c r="S109" s="81" t="s">
        <v>852</v>
      </c>
      <c r="T109" t="s">
        <v>32</v>
      </c>
      <c r="U109" t="s">
        <v>82</v>
      </c>
      <c r="V109">
        <v>16</v>
      </c>
      <c r="W109">
        <v>50</v>
      </c>
      <c r="X109">
        <v>55</v>
      </c>
      <c r="Y109">
        <v>20</v>
      </c>
      <c r="Z109">
        <v>110</v>
      </c>
      <c r="AA109">
        <v>68</v>
      </c>
      <c r="AB109" t="s">
        <v>284</v>
      </c>
    </row>
    <row r="110" spans="1:28">
      <c r="A110">
        <v>1022</v>
      </c>
      <c r="B110">
        <v>1110</v>
      </c>
      <c r="C110" t="s">
        <v>847</v>
      </c>
      <c r="D110" t="s">
        <v>202</v>
      </c>
      <c r="E110" t="s">
        <v>744</v>
      </c>
      <c r="F110" t="s">
        <v>8</v>
      </c>
      <c r="G110" t="s">
        <v>271</v>
      </c>
      <c r="H110" t="s">
        <v>305</v>
      </c>
      <c r="I110" t="s">
        <v>305</v>
      </c>
      <c r="J110" t="s">
        <v>287</v>
      </c>
      <c r="K110" t="s">
        <v>848</v>
      </c>
      <c r="L110" s="48">
        <v>44179</v>
      </c>
      <c r="M110" t="s">
        <v>134</v>
      </c>
      <c r="N110" t="s">
        <v>849</v>
      </c>
      <c r="O110">
        <v>9</v>
      </c>
      <c r="P110" t="s">
        <v>850</v>
      </c>
      <c r="Q110" t="s">
        <v>974</v>
      </c>
      <c r="R110" s="81" t="s">
        <v>851</v>
      </c>
      <c r="S110" s="81" t="s">
        <v>852</v>
      </c>
      <c r="T110" t="s">
        <v>30</v>
      </c>
      <c r="U110" t="s">
        <v>82</v>
      </c>
      <c r="V110">
        <v>16</v>
      </c>
      <c r="W110">
        <v>50</v>
      </c>
      <c r="X110">
        <v>55</v>
      </c>
      <c r="Y110">
        <v>20</v>
      </c>
      <c r="Z110">
        <v>110</v>
      </c>
      <c r="AA110">
        <v>68</v>
      </c>
      <c r="AB110" t="s">
        <v>284</v>
      </c>
    </row>
    <row r="111" spans="1:28">
      <c r="A111">
        <v>1023</v>
      </c>
      <c r="B111">
        <v>1108</v>
      </c>
      <c r="C111" t="s">
        <v>853</v>
      </c>
      <c r="D111" t="s">
        <v>202</v>
      </c>
      <c r="E111" t="s">
        <v>744</v>
      </c>
      <c r="F111" t="s">
        <v>8</v>
      </c>
      <c r="G111" t="s">
        <v>274</v>
      </c>
      <c r="H111" t="s">
        <v>826</v>
      </c>
      <c r="I111" t="s">
        <v>303</v>
      </c>
      <c r="J111" t="s">
        <v>303</v>
      </c>
      <c r="K111" t="s">
        <v>854</v>
      </c>
      <c r="L111" s="48">
        <v>44327</v>
      </c>
      <c r="M111" t="s">
        <v>134</v>
      </c>
      <c r="N111" t="s">
        <v>855</v>
      </c>
      <c r="O111">
        <v>3</v>
      </c>
      <c r="P111" t="s">
        <v>856</v>
      </c>
      <c r="Q111" t="s">
        <v>857</v>
      </c>
      <c r="R111" s="81" t="s">
        <v>858</v>
      </c>
      <c r="S111" s="81" t="s">
        <v>859</v>
      </c>
      <c r="T111" t="s">
        <v>30</v>
      </c>
      <c r="U111" t="s">
        <v>77</v>
      </c>
      <c r="V111">
        <v>18</v>
      </c>
      <c r="W111">
        <v>50</v>
      </c>
      <c r="X111">
        <v>55</v>
      </c>
      <c r="Y111">
        <v>22</v>
      </c>
      <c r="Z111">
        <v>110</v>
      </c>
      <c r="AA111">
        <v>69</v>
      </c>
      <c r="AB111" t="s">
        <v>827</v>
      </c>
    </row>
    <row r="112" spans="1:28">
      <c r="A112">
        <v>1023</v>
      </c>
      <c r="B112">
        <v>1108</v>
      </c>
      <c r="C112" t="s">
        <v>853</v>
      </c>
      <c r="D112" t="s">
        <v>202</v>
      </c>
      <c r="E112" t="s">
        <v>744</v>
      </c>
      <c r="F112" t="s">
        <v>5</v>
      </c>
      <c r="G112" t="s">
        <v>273</v>
      </c>
      <c r="H112" t="s">
        <v>297</v>
      </c>
      <c r="I112" t="s">
        <v>309</v>
      </c>
      <c r="J112" t="s">
        <v>316</v>
      </c>
      <c r="K112" t="s">
        <v>854</v>
      </c>
      <c r="L112" s="48">
        <v>44327</v>
      </c>
      <c r="M112" t="s">
        <v>134</v>
      </c>
      <c r="N112" t="s">
        <v>855</v>
      </c>
      <c r="O112">
        <v>3</v>
      </c>
      <c r="P112" t="s">
        <v>856</v>
      </c>
      <c r="Q112" t="s">
        <v>857</v>
      </c>
      <c r="R112" s="81" t="s">
        <v>858</v>
      </c>
      <c r="S112" s="81" t="s">
        <v>859</v>
      </c>
      <c r="T112" t="s">
        <v>32</v>
      </c>
      <c r="U112" t="s">
        <v>77</v>
      </c>
      <c r="V112">
        <v>18</v>
      </c>
      <c r="W112">
        <v>50</v>
      </c>
      <c r="X112">
        <v>55</v>
      </c>
      <c r="Y112">
        <v>22</v>
      </c>
      <c r="Z112">
        <v>110</v>
      </c>
      <c r="AA112">
        <v>69</v>
      </c>
      <c r="AB112" t="s">
        <v>284</v>
      </c>
    </row>
    <row r="113" spans="1:28">
      <c r="A113">
        <v>1023</v>
      </c>
      <c r="B113">
        <v>1108</v>
      </c>
      <c r="C113" t="s">
        <v>853</v>
      </c>
      <c r="D113" t="s">
        <v>202</v>
      </c>
      <c r="E113" t="s">
        <v>744</v>
      </c>
      <c r="F113" t="s">
        <v>7</v>
      </c>
      <c r="G113" t="s">
        <v>275</v>
      </c>
      <c r="H113" t="s">
        <v>309</v>
      </c>
      <c r="I113" t="s">
        <v>742</v>
      </c>
      <c r="J113" t="s">
        <v>306</v>
      </c>
      <c r="K113" t="s">
        <v>854</v>
      </c>
      <c r="L113" s="48">
        <v>44327</v>
      </c>
      <c r="M113" t="s">
        <v>134</v>
      </c>
      <c r="N113" t="s">
        <v>855</v>
      </c>
      <c r="O113">
        <v>3</v>
      </c>
      <c r="P113" t="s">
        <v>856</v>
      </c>
      <c r="Q113" t="s">
        <v>857</v>
      </c>
      <c r="R113" s="81" t="s">
        <v>858</v>
      </c>
      <c r="S113" s="81" t="s">
        <v>859</v>
      </c>
      <c r="T113" t="s">
        <v>31</v>
      </c>
      <c r="U113" t="s">
        <v>77</v>
      </c>
      <c r="V113">
        <v>18</v>
      </c>
      <c r="W113">
        <v>50</v>
      </c>
      <c r="X113">
        <v>55</v>
      </c>
      <c r="Y113">
        <v>22</v>
      </c>
      <c r="Z113">
        <v>110</v>
      </c>
      <c r="AA113">
        <v>69</v>
      </c>
      <c r="AB113" t="s">
        <v>284</v>
      </c>
    </row>
    <row r="114" spans="1:28">
      <c r="A114">
        <v>1023</v>
      </c>
      <c r="B114">
        <v>1108</v>
      </c>
      <c r="C114" t="s">
        <v>853</v>
      </c>
      <c r="D114" t="s">
        <v>202</v>
      </c>
      <c r="E114" t="s">
        <v>744</v>
      </c>
      <c r="F114" t="s">
        <v>367</v>
      </c>
      <c r="G114" t="s">
        <v>414</v>
      </c>
      <c r="H114" t="s">
        <v>318</v>
      </c>
      <c r="I114" t="s">
        <v>312</v>
      </c>
      <c r="J114" t="s">
        <v>312</v>
      </c>
      <c r="K114" t="s">
        <v>854</v>
      </c>
      <c r="L114" s="48">
        <v>44327</v>
      </c>
      <c r="M114" t="s">
        <v>134</v>
      </c>
      <c r="N114" t="s">
        <v>855</v>
      </c>
      <c r="O114">
        <v>3</v>
      </c>
      <c r="P114" t="s">
        <v>856</v>
      </c>
      <c r="Q114" t="s">
        <v>857</v>
      </c>
      <c r="R114" s="81" t="s">
        <v>858</v>
      </c>
      <c r="S114" s="81" t="s">
        <v>859</v>
      </c>
      <c r="T114" t="s">
        <v>37</v>
      </c>
      <c r="U114" t="s">
        <v>77</v>
      </c>
      <c r="V114">
        <v>18</v>
      </c>
      <c r="W114">
        <v>50</v>
      </c>
      <c r="X114">
        <v>55</v>
      </c>
      <c r="Y114">
        <v>22</v>
      </c>
      <c r="Z114">
        <v>110</v>
      </c>
      <c r="AA114">
        <v>69</v>
      </c>
      <c r="AB114" t="s">
        <v>284</v>
      </c>
    </row>
    <row r="115" spans="1:28">
      <c r="A115">
        <v>1023</v>
      </c>
      <c r="B115">
        <v>1108</v>
      </c>
      <c r="C115" t="s">
        <v>853</v>
      </c>
      <c r="D115" t="s">
        <v>202</v>
      </c>
      <c r="E115" t="s">
        <v>744</v>
      </c>
      <c r="F115" t="s">
        <v>369</v>
      </c>
      <c r="G115" t="s">
        <v>415</v>
      </c>
      <c r="H115" t="s">
        <v>318</v>
      </c>
      <c r="I115" t="s">
        <v>312</v>
      </c>
      <c r="J115" t="s">
        <v>319</v>
      </c>
      <c r="K115" t="s">
        <v>854</v>
      </c>
      <c r="L115" s="48">
        <v>44327</v>
      </c>
      <c r="M115" t="s">
        <v>134</v>
      </c>
      <c r="N115" t="s">
        <v>855</v>
      </c>
      <c r="O115">
        <v>3</v>
      </c>
      <c r="P115" t="s">
        <v>856</v>
      </c>
      <c r="Q115" t="s">
        <v>857</v>
      </c>
      <c r="R115" s="81" t="s">
        <v>858</v>
      </c>
      <c r="S115" s="81" t="s">
        <v>859</v>
      </c>
      <c r="T115" t="s">
        <v>113</v>
      </c>
      <c r="U115" t="s">
        <v>77</v>
      </c>
      <c r="V115">
        <v>18</v>
      </c>
      <c r="W115">
        <v>50</v>
      </c>
      <c r="X115">
        <v>55</v>
      </c>
      <c r="Y115">
        <v>22</v>
      </c>
      <c r="Z115">
        <v>110</v>
      </c>
      <c r="AA115">
        <v>69</v>
      </c>
      <c r="AB115" t="s">
        <v>284</v>
      </c>
    </row>
    <row r="116" spans="1:28">
      <c r="A116">
        <v>1024</v>
      </c>
      <c r="B116">
        <v>1171</v>
      </c>
      <c r="C116" t="s">
        <v>860</v>
      </c>
      <c r="D116" t="s">
        <v>202</v>
      </c>
      <c r="E116" t="s">
        <v>744</v>
      </c>
      <c r="F116" t="s">
        <v>369</v>
      </c>
      <c r="G116" t="s">
        <v>416</v>
      </c>
      <c r="H116" t="s">
        <v>312</v>
      </c>
      <c r="I116" t="s">
        <v>312</v>
      </c>
      <c r="J116" t="s">
        <v>318</v>
      </c>
      <c r="K116" t="s">
        <v>861</v>
      </c>
      <c r="L116" s="48">
        <v>43881</v>
      </c>
      <c r="M116" t="s">
        <v>134</v>
      </c>
      <c r="N116" t="s">
        <v>575</v>
      </c>
      <c r="O116">
        <v>9</v>
      </c>
      <c r="P116" t="s">
        <v>862</v>
      </c>
      <c r="Q116" t="s">
        <v>863</v>
      </c>
      <c r="R116" s="81" t="s">
        <v>864</v>
      </c>
      <c r="S116" s="81" t="s">
        <v>865</v>
      </c>
      <c r="T116" t="s">
        <v>113</v>
      </c>
      <c r="U116" t="s">
        <v>82</v>
      </c>
      <c r="V116">
        <v>21</v>
      </c>
      <c r="W116">
        <v>50</v>
      </c>
      <c r="X116">
        <v>55</v>
      </c>
      <c r="Y116">
        <v>25</v>
      </c>
      <c r="Z116">
        <v>110</v>
      </c>
      <c r="AA116">
        <v>75</v>
      </c>
      <c r="AB116" t="s">
        <v>284</v>
      </c>
    </row>
    <row r="117" spans="1:28">
      <c r="A117">
        <v>1024</v>
      </c>
      <c r="B117">
        <v>1171</v>
      </c>
      <c r="C117" t="s">
        <v>860</v>
      </c>
      <c r="D117" t="s">
        <v>202</v>
      </c>
      <c r="E117" t="s">
        <v>744</v>
      </c>
      <c r="F117" t="s">
        <v>367</v>
      </c>
      <c r="G117" t="s">
        <v>417</v>
      </c>
      <c r="H117" t="s">
        <v>309</v>
      </c>
      <c r="I117" t="s">
        <v>312</v>
      </c>
      <c r="J117" t="s">
        <v>312</v>
      </c>
      <c r="K117" t="s">
        <v>861</v>
      </c>
      <c r="L117" s="48">
        <v>43881</v>
      </c>
      <c r="M117" t="s">
        <v>134</v>
      </c>
      <c r="N117" t="s">
        <v>575</v>
      </c>
      <c r="O117">
        <v>9</v>
      </c>
      <c r="P117" t="s">
        <v>862</v>
      </c>
      <c r="Q117" t="s">
        <v>863</v>
      </c>
      <c r="R117" s="81" t="s">
        <v>864</v>
      </c>
      <c r="S117" s="81" t="s">
        <v>865</v>
      </c>
      <c r="T117" t="s">
        <v>37</v>
      </c>
      <c r="U117" t="s">
        <v>82</v>
      </c>
      <c r="V117">
        <v>21</v>
      </c>
      <c r="W117">
        <v>50</v>
      </c>
      <c r="X117">
        <v>55</v>
      </c>
      <c r="Y117">
        <v>25</v>
      </c>
      <c r="Z117">
        <v>110</v>
      </c>
      <c r="AA117">
        <v>75</v>
      </c>
      <c r="AB117" t="s">
        <v>284</v>
      </c>
    </row>
    <row r="118" spans="1:28">
      <c r="A118">
        <v>1024</v>
      </c>
      <c r="B118">
        <v>1171</v>
      </c>
      <c r="C118" t="s">
        <v>860</v>
      </c>
      <c r="D118" t="s">
        <v>202</v>
      </c>
      <c r="E118" t="s">
        <v>744</v>
      </c>
      <c r="F118" t="s">
        <v>7</v>
      </c>
      <c r="G118" t="s">
        <v>276</v>
      </c>
      <c r="H118" t="s">
        <v>299</v>
      </c>
      <c r="I118" t="s">
        <v>310</v>
      </c>
      <c r="J118" t="s">
        <v>287</v>
      </c>
      <c r="K118" t="s">
        <v>861</v>
      </c>
      <c r="L118" s="48">
        <v>43881</v>
      </c>
      <c r="M118" t="s">
        <v>134</v>
      </c>
      <c r="N118" t="s">
        <v>575</v>
      </c>
      <c r="O118">
        <v>9</v>
      </c>
      <c r="P118" t="s">
        <v>862</v>
      </c>
      <c r="Q118" t="s">
        <v>863</v>
      </c>
      <c r="R118" s="81" t="s">
        <v>864</v>
      </c>
      <c r="S118" s="81" t="s">
        <v>865</v>
      </c>
      <c r="T118" t="s">
        <v>31</v>
      </c>
      <c r="U118" t="s">
        <v>82</v>
      </c>
      <c r="V118">
        <v>21</v>
      </c>
      <c r="W118">
        <v>50</v>
      </c>
      <c r="X118">
        <v>55</v>
      </c>
      <c r="Y118">
        <v>25</v>
      </c>
      <c r="Z118">
        <v>110</v>
      </c>
      <c r="AA118">
        <v>75</v>
      </c>
      <c r="AB118" t="s">
        <v>284</v>
      </c>
    </row>
    <row r="119" spans="1:28">
      <c r="A119">
        <v>1024</v>
      </c>
      <c r="B119">
        <v>1171</v>
      </c>
      <c r="C119" t="s">
        <v>860</v>
      </c>
      <c r="D119" t="s">
        <v>202</v>
      </c>
      <c r="E119" t="s">
        <v>744</v>
      </c>
      <c r="F119" t="s">
        <v>5</v>
      </c>
      <c r="G119" t="s">
        <v>278</v>
      </c>
      <c r="H119" t="s">
        <v>311</v>
      </c>
      <c r="I119" t="s">
        <v>300</v>
      </c>
      <c r="J119" t="s">
        <v>313</v>
      </c>
      <c r="K119" t="s">
        <v>861</v>
      </c>
      <c r="L119" s="48">
        <v>43881</v>
      </c>
      <c r="M119" t="s">
        <v>134</v>
      </c>
      <c r="N119" t="s">
        <v>575</v>
      </c>
      <c r="O119">
        <v>9</v>
      </c>
      <c r="P119" t="s">
        <v>862</v>
      </c>
      <c r="Q119" t="s">
        <v>863</v>
      </c>
      <c r="R119" s="81" t="s">
        <v>864</v>
      </c>
      <c r="S119" s="81" t="s">
        <v>865</v>
      </c>
      <c r="T119" t="s">
        <v>32</v>
      </c>
      <c r="U119" t="s">
        <v>82</v>
      </c>
      <c r="V119">
        <v>21</v>
      </c>
      <c r="W119">
        <v>50</v>
      </c>
      <c r="X119">
        <v>55</v>
      </c>
      <c r="Y119">
        <v>25</v>
      </c>
      <c r="Z119">
        <v>110</v>
      </c>
      <c r="AA119">
        <v>75</v>
      </c>
      <c r="AB119" t="s">
        <v>284</v>
      </c>
    </row>
    <row r="120" spans="1:28">
      <c r="A120">
        <v>1024</v>
      </c>
      <c r="B120">
        <v>1171</v>
      </c>
      <c r="C120" t="s">
        <v>860</v>
      </c>
      <c r="D120" t="s">
        <v>202</v>
      </c>
      <c r="E120" t="s">
        <v>744</v>
      </c>
      <c r="F120" t="s">
        <v>8</v>
      </c>
      <c r="G120" t="s">
        <v>277</v>
      </c>
      <c r="H120" t="s">
        <v>294</v>
      </c>
      <c r="I120" t="s">
        <v>294</v>
      </c>
      <c r="J120" t="s">
        <v>301</v>
      </c>
      <c r="K120" t="s">
        <v>861</v>
      </c>
      <c r="L120" s="48">
        <v>43881</v>
      </c>
      <c r="M120" t="s">
        <v>134</v>
      </c>
      <c r="N120" t="s">
        <v>575</v>
      </c>
      <c r="O120">
        <v>9</v>
      </c>
      <c r="P120" t="s">
        <v>862</v>
      </c>
      <c r="Q120" t="s">
        <v>863</v>
      </c>
      <c r="R120" s="81" t="s">
        <v>864</v>
      </c>
      <c r="S120" s="81" t="s">
        <v>865</v>
      </c>
      <c r="T120" t="s">
        <v>30</v>
      </c>
      <c r="U120" t="s">
        <v>82</v>
      </c>
      <c r="V120">
        <v>21</v>
      </c>
      <c r="W120">
        <v>50</v>
      </c>
      <c r="X120">
        <v>55</v>
      </c>
      <c r="Y120">
        <v>25</v>
      </c>
      <c r="Z120">
        <v>110</v>
      </c>
      <c r="AA120">
        <v>75</v>
      </c>
      <c r="AB120" t="s">
        <v>284</v>
      </c>
    </row>
    <row r="121" spans="1:28">
      <c r="A121">
        <v>1025</v>
      </c>
      <c r="B121">
        <v>1129</v>
      </c>
      <c r="C121" t="s">
        <v>866</v>
      </c>
      <c r="D121" t="s">
        <v>202</v>
      </c>
      <c r="E121" t="s">
        <v>744</v>
      </c>
      <c r="F121" t="s">
        <v>8</v>
      </c>
      <c r="G121" t="s">
        <v>280</v>
      </c>
      <c r="H121" t="s">
        <v>299</v>
      </c>
      <c r="I121" t="s">
        <v>307</v>
      </c>
      <c r="J121" t="s">
        <v>318</v>
      </c>
      <c r="K121" t="s">
        <v>867</v>
      </c>
      <c r="L121" s="48">
        <v>43945</v>
      </c>
      <c r="M121" t="s">
        <v>134</v>
      </c>
      <c r="N121" t="s">
        <v>868</v>
      </c>
      <c r="O121">
        <v>2</v>
      </c>
      <c r="P121" t="s">
        <v>869</v>
      </c>
      <c r="Q121" t="s">
        <v>870</v>
      </c>
      <c r="R121" s="81" t="s">
        <v>871</v>
      </c>
      <c r="S121" s="81" t="s">
        <v>872</v>
      </c>
      <c r="T121" t="s">
        <v>30</v>
      </c>
      <c r="U121" t="s">
        <v>76</v>
      </c>
      <c r="V121">
        <v>18</v>
      </c>
      <c r="W121">
        <v>50</v>
      </c>
      <c r="X121">
        <v>55</v>
      </c>
      <c r="Y121">
        <v>22</v>
      </c>
      <c r="Z121">
        <v>110</v>
      </c>
      <c r="AA121">
        <v>62</v>
      </c>
      <c r="AB121" t="s">
        <v>284</v>
      </c>
    </row>
    <row r="122" spans="1:28">
      <c r="A122">
        <v>1025</v>
      </c>
      <c r="B122">
        <v>1129</v>
      </c>
      <c r="C122" t="s">
        <v>866</v>
      </c>
      <c r="D122" t="s">
        <v>202</v>
      </c>
      <c r="E122" t="s">
        <v>744</v>
      </c>
      <c r="F122" t="s">
        <v>5</v>
      </c>
      <c r="G122" t="s">
        <v>279</v>
      </c>
      <c r="H122" t="s">
        <v>315</v>
      </c>
      <c r="I122" t="s">
        <v>282</v>
      </c>
      <c r="J122" t="s">
        <v>308</v>
      </c>
      <c r="K122" t="s">
        <v>867</v>
      </c>
      <c r="L122" s="48">
        <v>43945</v>
      </c>
      <c r="M122" t="s">
        <v>134</v>
      </c>
      <c r="N122" t="s">
        <v>868</v>
      </c>
      <c r="O122">
        <v>2</v>
      </c>
      <c r="P122" t="s">
        <v>869</v>
      </c>
      <c r="Q122" t="s">
        <v>870</v>
      </c>
      <c r="R122" s="81" t="s">
        <v>871</v>
      </c>
      <c r="S122" s="81" t="s">
        <v>872</v>
      </c>
      <c r="T122" t="s">
        <v>32</v>
      </c>
      <c r="U122" t="s">
        <v>76</v>
      </c>
      <c r="V122">
        <v>18</v>
      </c>
      <c r="W122">
        <v>50</v>
      </c>
      <c r="X122">
        <v>55</v>
      </c>
      <c r="Y122">
        <v>22</v>
      </c>
      <c r="Z122">
        <v>110</v>
      </c>
      <c r="AA122">
        <v>62</v>
      </c>
      <c r="AB122" t="s">
        <v>284</v>
      </c>
    </row>
    <row r="123" spans="1:28">
      <c r="A123">
        <v>1025</v>
      </c>
      <c r="B123">
        <v>1129</v>
      </c>
      <c r="C123" t="s">
        <v>866</v>
      </c>
      <c r="D123" t="s">
        <v>202</v>
      </c>
      <c r="E123" t="s">
        <v>744</v>
      </c>
      <c r="F123" t="s">
        <v>7</v>
      </c>
      <c r="G123" t="s">
        <v>281</v>
      </c>
      <c r="H123" t="s">
        <v>319</v>
      </c>
      <c r="I123" t="s">
        <v>307</v>
      </c>
      <c r="J123" t="s">
        <v>298</v>
      </c>
      <c r="K123" t="s">
        <v>867</v>
      </c>
      <c r="L123" s="48">
        <v>43945</v>
      </c>
      <c r="M123" t="s">
        <v>134</v>
      </c>
      <c r="N123" t="s">
        <v>868</v>
      </c>
      <c r="O123">
        <v>2</v>
      </c>
      <c r="P123" t="s">
        <v>869</v>
      </c>
      <c r="Q123" t="s">
        <v>870</v>
      </c>
      <c r="R123" s="81" t="s">
        <v>871</v>
      </c>
      <c r="S123" s="81" t="s">
        <v>872</v>
      </c>
      <c r="T123" t="s">
        <v>31</v>
      </c>
      <c r="U123" t="s">
        <v>76</v>
      </c>
      <c r="V123">
        <v>18</v>
      </c>
      <c r="W123">
        <v>50</v>
      </c>
      <c r="X123">
        <v>55</v>
      </c>
      <c r="Y123">
        <v>22</v>
      </c>
      <c r="Z123">
        <v>110</v>
      </c>
      <c r="AA123">
        <v>62</v>
      </c>
      <c r="AB123" t="s">
        <v>284</v>
      </c>
    </row>
    <row r="124" spans="1:28">
      <c r="A124">
        <v>1025</v>
      </c>
      <c r="B124">
        <v>1129</v>
      </c>
      <c r="C124" t="s">
        <v>866</v>
      </c>
      <c r="D124" t="s">
        <v>202</v>
      </c>
      <c r="E124" t="s">
        <v>744</v>
      </c>
      <c r="F124" t="s">
        <v>367</v>
      </c>
      <c r="G124" t="s">
        <v>418</v>
      </c>
      <c r="H124" t="s">
        <v>309</v>
      </c>
      <c r="I124" t="s">
        <v>312</v>
      </c>
      <c r="J124" t="s">
        <v>319</v>
      </c>
      <c r="K124" t="s">
        <v>867</v>
      </c>
      <c r="L124" s="48">
        <v>43945</v>
      </c>
      <c r="M124" t="s">
        <v>134</v>
      </c>
      <c r="N124" t="s">
        <v>868</v>
      </c>
      <c r="O124">
        <v>2</v>
      </c>
      <c r="P124" t="s">
        <v>869</v>
      </c>
      <c r="Q124" t="s">
        <v>870</v>
      </c>
      <c r="R124" s="81" t="s">
        <v>871</v>
      </c>
      <c r="S124" s="81" t="s">
        <v>872</v>
      </c>
      <c r="T124" t="s">
        <v>37</v>
      </c>
      <c r="U124" t="s">
        <v>76</v>
      </c>
      <c r="V124">
        <v>18</v>
      </c>
      <c r="W124">
        <v>50</v>
      </c>
      <c r="X124">
        <v>55</v>
      </c>
      <c r="Y124">
        <v>22</v>
      </c>
      <c r="Z124">
        <v>110</v>
      </c>
      <c r="AA124">
        <v>62</v>
      </c>
      <c r="AB124" t="s">
        <v>284</v>
      </c>
    </row>
    <row r="125" spans="1:28">
      <c r="A125">
        <v>1025</v>
      </c>
      <c r="B125">
        <v>1129</v>
      </c>
      <c r="C125" t="s">
        <v>866</v>
      </c>
      <c r="D125" t="s">
        <v>202</v>
      </c>
      <c r="E125" t="s">
        <v>744</v>
      </c>
      <c r="F125" t="s">
        <v>369</v>
      </c>
      <c r="G125" t="s">
        <v>419</v>
      </c>
      <c r="H125" t="s">
        <v>309</v>
      </c>
      <c r="I125" t="s">
        <v>312</v>
      </c>
      <c r="J125" t="s">
        <v>312</v>
      </c>
      <c r="K125" t="s">
        <v>867</v>
      </c>
      <c r="L125" s="48">
        <v>43945</v>
      </c>
      <c r="M125" t="s">
        <v>134</v>
      </c>
      <c r="N125" t="s">
        <v>868</v>
      </c>
      <c r="O125">
        <v>2</v>
      </c>
      <c r="P125" t="s">
        <v>869</v>
      </c>
      <c r="Q125" t="s">
        <v>870</v>
      </c>
      <c r="R125" s="81" t="s">
        <v>871</v>
      </c>
      <c r="S125" s="81" t="s">
        <v>872</v>
      </c>
      <c r="T125" t="s">
        <v>113</v>
      </c>
      <c r="U125" t="s">
        <v>76</v>
      </c>
      <c r="V125">
        <v>18</v>
      </c>
      <c r="W125">
        <v>50</v>
      </c>
      <c r="X125">
        <v>55</v>
      </c>
      <c r="Y125">
        <v>22</v>
      </c>
      <c r="Z125">
        <v>110</v>
      </c>
      <c r="AA125">
        <v>62</v>
      </c>
      <c r="AB125" t="s">
        <v>284</v>
      </c>
    </row>
    <row r="126" spans="1:28">
      <c r="A126">
        <v>1026</v>
      </c>
      <c r="B126">
        <v>1146</v>
      </c>
      <c r="C126" t="s">
        <v>873</v>
      </c>
      <c r="D126" t="s">
        <v>202</v>
      </c>
      <c r="E126" t="s">
        <v>744</v>
      </c>
      <c r="F126" t="s">
        <v>369</v>
      </c>
      <c r="G126" t="s">
        <v>513</v>
      </c>
      <c r="H126" t="s">
        <v>309</v>
      </c>
      <c r="I126" t="s">
        <v>312</v>
      </c>
      <c r="J126" t="s">
        <v>312</v>
      </c>
      <c r="K126" t="s">
        <v>874</v>
      </c>
      <c r="L126" s="48">
        <v>44115</v>
      </c>
      <c r="M126" t="s">
        <v>134</v>
      </c>
      <c r="N126" t="s">
        <v>490</v>
      </c>
      <c r="O126">
        <v>2</v>
      </c>
      <c r="P126" t="s">
        <v>549</v>
      </c>
      <c r="Q126" t="s">
        <v>550</v>
      </c>
      <c r="R126" s="81" t="s">
        <v>875</v>
      </c>
      <c r="S126" s="81" t="s">
        <v>876</v>
      </c>
      <c r="T126" t="s">
        <v>113</v>
      </c>
      <c r="U126" t="s">
        <v>76</v>
      </c>
      <c r="V126">
        <v>20</v>
      </c>
      <c r="W126">
        <v>50</v>
      </c>
      <c r="X126">
        <v>55</v>
      </c>
      <c r="Y126">
        <v>24</v>
      </c>
      <c r="Z126">
        <v>110</v>
      </c>
      <c r="AA126">
        <v>70</v>
      </c>
      <c r="AB126" t="s">
        <v>284</v>
      </c>
    </row>
    <row r="127" spans="1:28">
      <c r="A127">
        <v>1026</v>
      </c>
      <c r="B127">
        <v>1146</v>
      </c>
      <c r="C127" t="s">
        <v>873</v>
      </c>
      <c r="D127" t="s">
        <v>202</v>
      </c>
      <c r="E127" t="s">
        <v>744</v>
      </c>
      <c r="F127" t="s">
        <v>367</v>
      </c>
      <c r="G127" t="s">
        <v>512</v>
      </c>
      <c r="H127" t="s">
        <v>309</v>
      </c>
      <c r="I127" t="s">
        <v>312</v>
      </c>
      <c r="J127" t="s">
        <v>318</v>
      </c>
      <c r="K127" t="s">
        <v>874</v>
      </c>
      <c r="L127" s="48">
        <v>44115</v>
      </c>
      <c r="M127" t="s">
        <v>134</v>
      </c>
      <c r="N127" t="s">
        <v>490</v>
      </c>
      <c r="O127">
        <v>2</v>
      </c>
      <c r="P127" t="s">
        <v>549</v>
      </c>
      <c r="Q127" t="s">
        <v>550</v>
      </c>
      <c r="R127" s="81" t="s">
        <v>875</v>
      </c>
      <c r="S127" s="81" t="s">
        <v>876</v>
      </c>
      <c r="T127" t="s">
        <v>37</v>
      </c>
      <c r="U127" t="s">
        <v>76</v>
      </c>
      <c r="V127">
        <v>20</v>
      </c>
      <c r="W127">
        <v>50</v>
      </c>
      <c r="X127">
        <v>55</v>
      </c>
      <c r="Y127">
        <v>24</v>
      </c>
      <c r="Z127">
        <v>110</v>
      </c>
      <c r="AA127">
        <v>70</v>
      </c>
      <c r="AB127" t="s">
        <v>284</v>
      </c>
    </row>
    <row r="128" spans="1:28">
      <c r="A128">
        <v>1026</v>
      </c>
      <c r="B128">
        <v>1146</v>
      </c>
      <c r="C128" t="s">
        <v>873</v>
      </c>
      <c r="D128" t="s">
        <v>202</v>
      </c>
      <c r="E128" t="s">
        <v>744</v>
      </c>
      <c r="F128" t="s">
        <v>7</v>
      </c>
      <c r="G128" t="s">
        <v>511</v>
      </c>
      <c r="H128" t="s">
        <v>291</v>
      </c>
      <c r="I128" t="s">
        <v>293</v>
      </c>
      <c r="J128" t="s">
        <v>291</v>
      </c>
      <c r="K128" t="s">
        <v>874</v>
      </c>
      <c r="L128" s="48">
        <v>44115</v>
      </c>
      <c r="M128" t="s">
        <v>134</v>
      </c>
      <c r="N128" t="s">
        <v>490</v>
      </c>
      <c r="O128">
        <v>2</v>
      </c>
      <c r="P128" t="s">
        <v>549</v>
      </c>
      <c r="Q128" t="s">
        <v>550</v>
      </c>
      <c r="R128" s="81" t="s">
        <v>875</v>
      </c>
      <c r="S128" s="81" t="s">
        <v>876</v>
      </c>
      <c r="T128" t="s">
        <v>31</v>
      </c>
      <c r="U128" t="s">
        <v>76</v>
      </c>
      <c r="V128">
        <v>20</v>
      </c>
      <c r="W128">
        <v>50</v>
      </c>
      <c r="X128">
        <v>55</v>
      </c>
      <c r="Y128">
        <v>24</v>
      </c>
      <c r="Z128">
        <v>110</v>
      </c>
      <c r="AA128">
        <v>70</v>
      </c>
      <c r="AB128" t="s">
        <v>284</v>
      </c>
    </row>
    <row r="129" spans="1:28">
      <c r="A129">
        <v>1026</v>
      </c>
      <c r="B129">
        <v>1146</v>
      </c>
      <c r="C129" t="s">
        <v>873</v>
      </c>
      <c r="D129" t="s">
        <v>202</v>
      </c>
      <c r="E129" t="s">
        <v>744</v>
      </c>
      <c r="F129" t="s">
        <v>5</v>
      </c>
      <c r="G129" t="s">
        <v>509</v>
      </c>
      <c r="H129" t="s">
        <v>298</v>
      </c>
      <c r="I129" t="s">
        <v>292</v>
      </c>
      <c r="J129" t="s">
        <v>298</v>
      </c>
      <c r="K129" t="s">
        <v>874</v>
      </c>
      <c r="L129" s="48">
        <v>44115</v>
      </c>
      <c r="M129" t="s">
        <v>134</v>
      </c>
      <c r="N129" t="s">
        <v>490</v>
      </c>
      <c r="O129">
        <v>2</v>
      </c>
      <c r="P129" t="s">
        <v>549</v>
      </c>
      <c r="Q129" t="s">
        <v>550</v>
      </c>
      <c r="R129" s="81" t="s">
        <v>875</v>
      </c>
      <c r="S129" s="81" t="s">
        <v>876</v>
      </c>
      <c r="T129" t="s">
        <v>32</v>
      </c>
      <c r="U129" t="s">
        <v>76</v>
      </c>
      <c r="V129">
        <v>20</v>
      </c>
      <c r="W129">
        <v>50</v>
      </c>
      <c r="X129">
        <v>55</v>
      </c>
      <c r="Y129">
        <v>24</v>
      </c>
      <c r="Z129">
        <v>110</v>
      </c>
      <c r="AA129">
        <v>70</v>
      </c>
      <c r="AB129" t="s">
        <v>284</v>
      </c>
    </row>
    <row r="130" spans="1:28">
      <c r="A130">
        <v>1026</v>
      </c>
      <c r="B130">
        <v>1146</v>
      </c>
      <c r="C130" t="s">
        <v>873</v>
      </c>
      <c r="D130" t="s">
        <v>202</v>
      </c>
      <c r="E130" t="s">
        <v>744</v>
      </c>
      <c r="F130" t="s">
        <v>8</v>
      </c>
      <c r="G130" t="s">
        <v>510</v>
      </c>
      <c r="H130" t="s">
        <v>304</v>
      </c>
      <c r="I130" t="s">
        <v>294</v>
      </c>
      <c r="J130" t="s">
        <v>298</v>
      </c>
      <c r="K130" t="s">
        <v>874</v>
      </c>
      <c r="L130" s="48">
        <v>44115</v>
      </c>
      <c r="M130" t="s">
        <v>134</v>
      </c>
      <c r="N130" t="s">
        <v>490</v>
      </c>
      <c r="O130">
        <v>2</v>
      </c>
      <c r="P130" t="s">
        <v>549</v>
      </c>
      <c r="Q130" t="s">
        <v>550</v>
      </c>
      <c r="R130" s="81" t="s">
        <v>875</v>
      </c>
      <c r="S130" s="81" t="s">
        <v>876</v>
      </c>
      <c r="T130" t="s">
        <v>30</v>
      </c>
      <c r="U130" t="s">
        <v>76</v>
      </c>
      <c r="V130">
        <v>20</v>
      </c>
      <c r="W130">
        <v>50</v>
      </c>
      <c r="X130">
        <v>55</v>
      </c>
      <c r="Y130">
        <v>24</v>
      </c>
      <c r="Z130">
        <v>110</v>
      </c>
      <c r="AA130">
        <v>70</v>
      </c>
      <c r="AB130" t="s">
        <v>284</v>
      </c>
    </row>
    <row r="131" spans="1:28">
      <c r="A131">
        <v>1027</v>
      </c>
      <c r="B131">
        <v>1175</v>
      </c>
      <c r="C131" t="s">
        <v>877</v>
      </c>
      <c r="D131" t="s">
        <v>202</v>
      </c>
      <c r="E131" t="s">
        <v>744</v>
      </c>
      <c r="F131" t="s">
        <v>8</v>
      </c>
      <c r="G131" t="s">
        <v>517</v>
      </c>
      <c r="H131" t="s">
        <v>310</v>
      </c>
      <c r="I131" t="s">
        <v>301</v>
      </c>
      <c r="J131" t="s">
        <v>302</v>
      </c>
      <c r="K131" t="s">
        <v>878</v>
      </c>
      <c r="L131" s="48">
        <v>44160</v>
      </c>
      <c r="M131" t="s">
        <v>134</v>
      </c>
      <c r="N131" t="s">
        <v>879</v>
      </c>
      <c r="O131">
        <v>1</v>
      </c>
      <c r="P131" t="s">
        <v>880</v>
      </c>
      <c r="Q131" t="s">
        <v>881</v>
      </c>
      <c r="R131" s="81" t="s">
        <v>882</v>
      </c>
      <c r="S131" s="81" t="s">
        <v>883</v>
      </c>
      <c r="T131" t="s">
        <v>30</v>
      </c>
      <c r="U131" t="s">
        <v>75</v>
      </c>
      <c r="V131">
        <v>17</v>
      </c>
      <c r="W131">
        <v>50</v>
      </c>
      <c r="X131">
        <v>55</v>
      </c>
      <c r="Y131">
        <v>21</v>
      </c>
      <c r="Z131">
        <v>110</v>
      </c>
      <c r="AA131">
        <v>63</v>
      </c>
      <c r="AB131" t="s">
        <v>284</v>
      </c>
    </row>
    <row r="132" spans="1:28">
      <c r="A132">
        <v>1027</v>
      </c>
      <c r="B132">
        <v>1175</v>
      </c>
      <c r="C132" t="s">
        <v>877</v>
      </c>
      <c r="D132" t="s">
        <v>202</v>
      </c>
      <c r="E132" t="s">
        <v>744</v>
      </c>
      <c r="F132" t="s">
        <v>5</v>
      </c>
      <c r="G132" t="s">
        <v>518</v>
      </c>
      <c r="H132" t="s">
        <v>315</v>
      </c>
      <c r="I132" t="s">
        <v>308</v>
      </c>
      <c r="J132" t="s">
        <v>308</v>
      </c>
      <c r="K132" t="s">
        <v>878</v>
      </c>
      <c r="L132" s="48">
        <v>44160</v>
      </c>
      <c r="M132" t="s">
        <v>134</v>
      </c>
      <c r="N132" t="s">
        <v>879</v>
      </c>
      <c r="O132">
        <v>1</v>
      </c>
      <c r="P132" t="s">
        <v>880</v>
      </c>
      <c r="Q132" t="s">
        <v>881</v>
      </c>
      <c r="R132" s="81" t="s">
        <v>882</v>
      </c>
      <c r="S132" s="81" t="s">
        <v>883</v>
      </c>
      <c r="T132" t="s">
        <v>32</v>
      </c>
      <c r="U132" t="s">
        <v>75</v>
      </c>
      <c r="V132">
        <v>17</v>
      </c>
      <c r="W132">
        <v>50</v>
      </c>
      <c r="X132">
        <v>55</v>
      </c>
      <c r="Y132">
        <v>21</v>
      </c>
      <c r="Z132">
        <v>110</v>
      </c>
      <c r="AA132">
        <v>63</v>
      </c>
      <c r="AB132" t="s">
        <v>284</v>
      </c>
    </row>
    <row r="133" spans="1:28">
      <c r="A133">
        <v>1027</v>
      </c>
      <c r="B133">
        <v>1175</v>
      </c>
      <c r="C133" t="s">
        <v>877</v>
      </c>
      <c r="D133" t="s">
        <v>202</v>
      </c>
      <c r="E133" t="s">
        <v>744</v>
      </c>
      <c r="F133" t="s">
        <v>7</v>
      </c>
      <c r="G133" t="s">
        <v>516</v>
      </c>
      <c r="H133" t="s">
        <v>300</v>
      </c>
      <c r="I133" t="s">
        <v>291</v>
      </c>
      <c r="J133" t="s">
        <v>291</v>
      </c>
      <c r="K133" t="s">
        <v>878</v>
      </c>
      <c r="L133" s="48">
        <v>44160</v>
      </c>
      <c r="M133" t="s">
        <v>134</v>
      </c>
      <c r="N133" t="s">
        <v>879</v>
      </c>
      <c r="O133">
        <v>1</v>
      </c>
      <c r="P133" t="s">
        <v>880</v>
      </c>
      <c r="Q133" t="s">
        <v>881</v>
      </c>
      <c r="R133" s="81" t="s">
        <v>882</v>
      </c>
      <c r="S133" s="81" t="s">
        <v>883</v>
      </c>
      <c r="T133" t="s">
        <v>31</v>
      </c>
      <c r="U133" t="s">
        <v>75</v>
      </c>
      <c r="V133">
        <v>17</v>
      </c>
      <c r="W133">
        <v>50</v>
      </c>
      <c r="X133">
        <v>55</v>
      </c>
      <c r="Y133">
        <v>21</v>
      </c>
      <c r="Z133">
        <v>110</v>
      </c>
      <c r="AA133">
        <v>63</v>
      </c>
      <c r="AB133" t="s">
        <v>284</v>
      </c>
    </row>
    <row r="134" spans="1:28">
      <c r="A134">
        <v>1027</v>
      </c>
      <c r="B134">
        <v>1175</v>
      </c>
      <c r="C134" t="s">
        <v>877</v>
      </c>
      <c r="D134" t="s">
        <v>202</v>
      </c>
      <c r="E134" t="s">
        <v>744</v>
      </c>
      <c r="F134" t="s">
        <v>367</v>
      </c>
      <c r="G134" t="s">
        <v>515</v>
      </c>
      <c r="H134" t="s">
        <v>318</v>
      </c>
      <c r="I134" t="s">
        <v>312</v>
      </c>
      <c r="J134" t="s">
        <v>312</v>
      </c>
      <c r="K134" t="s">
        <v>878</v>
      </c>
      <c r="L134" s="48">
        <v>44160</v>
      </c>
      <c r="M134" t="s">
        <v>134</v>
      </c>
      <c r="N134" t="s">
        <v>879</v>
      </c>
      <c r="O134">
        <v>1</v>
      </c>
      <c r="P134" t="s">
        <v>880</v>
      </c>
      <c r="Q134" t="s">
        <v>881</v>
      </c>
      <c r="R134" s="81" t="s">
        <v>882</v>
      </c>
      <c r="S134" s="81" t="s">
        <v>883</v>
      </c>
      <c r="T134" t="s">
        <v>37</v>
      </c>
      <c r="U134" t="s">
        <v>75</v>
      </c>
      <c r="V134">
        <v>17</v>
      </c>
      <c r="W134">
        <v>50</v>
      </c>
      <c r="X134">
        <v>55</v>
      </c>
      <c r="Y134">
        <v>21</v>
      </c>
      <c r="Z134">
        <v>110</v>
      </c>
      <c r="AA134">
        <v>63</v>
      </c>
      <c r="AB134" t="s">
        <v>284</v>
      </c>
    </row>
    <row r="135" spans="1:28">
      <c r="A135">
        <v>1027</v>
      </c>
      <c r="B135">
        <v>1175</v>
      </c>
      <c r="C135" t="s">
        <v>877</v>
      </c>
      <c r="D135" t="s">
        <v>202</v>
      </c>
      <c r="E135" t="s">
        <v>744</v>
      </c>
      <c r="F135" t="s">
        <v>369</v>
      </c>
      <c r="G135" t="s">
        <v>514</v>
      </c>
      <c r="H135" t="s">
        <v>309</v>
      </c>
      <c r="I135" t="s">
        <v>312</v>
      </c>
      <c r="J135" t="s">
        <v>319</v>
      </c>
      <c r="K135" t="s">
        <v>878</v>
      </c>
      <c r="L135" s="48">
        <v>44160</v>
      </c>
      <c r="M135" t="s">
        <v>134</v>
      </c>
      <c r="N135" t="s">
        <v>879</v>
      </c>
      <c r="O135">
        <v>1</v>
      </c>
      <c r="P135" t="s">
        <v>880</v>
      </c>
      <c r="Q135" t="s">
        <v>881</v>
      </c>
      <c r="R135" s="81" t="s">
        <v>882</v>
      </c>
      <c r="S135" s="81" t="s">
        <v>883</v>
      </c>
      <c r="T135" t="s">
        <v>113</v>
      </c>
      <c r="U135" t="s">
        <v>75</v>
      </c>
      <c r="V135">
        <v>17</v>
      </c>
      <c r="W135">
        <v>50</v>
      </c>
      <c r="X135">
        <v>55</v>
      </c>
      <c r="Y135">
        <v>21</v>
      </c>
      <c r="Z135">
        <v>110</v>
      </c>
      <c r="AA135">
        <v>63</v>
      </c>
      <c r="AB135" t="s">
        <v>284</v>
      </c>
    </row>
    <row r="136" spans="1:28">
      <c r="A136">
        <v>1028</v>
      </c>
      <c r="B136">
        <v>1229</v>
      </c>
      <c r="C136" t="s">
        <v>884</v>
      </c>
      <c r="D136" t="s">
        <v>202</v>
      </c>
      <c r="E136" t="s">
        <v>744</v>
      </c>
      <c r="F136" t="s">
        <v>369</v>
      </c>
      <c r="G136" t="s">
        <v>523</v>
      </c>
      <c r="H136" t="s">
        <v>309</v>
      </c>
      <c r="I136" t="s">
        <v>312</v>
      </c>
      <c r="J136" t="s">
        <v>318</v>
      </c>
      <c r="K136" t="s">
        <v>885</v>
      </c>
      <c r="L136" s="48">
        <v>44364</v>
      </c>
      <c r="M136" t="s">
        <v>134</v>
      </c>
      <c r="N136" t="s">
        <v>573</v>
      </c>
      <c r="O136">
        <v>3</v>
      </c>
      <c r="P136" t="s">
        <v>803</v>
      </c>
      <c r="Q136" t="s">
        <v>804</v>
      </c>
      <c r="R136" s="81" t="s">
        <v>886</v>
      </c>
      <c r="S136" s="81" t="s">
        <v>887</v>
      </c>
      <c r="T136" t="s">
        <v>113</v>
      </c>
      <c r="U136" t="s">
        <v>77</v>
      </c>
      <c r="V136">
        <v>19</v>
      </c>
      <c r="W136">
        <v>50</v>
      </c>
      <c r="X136">
        <v>55</v>
      </c>
      <c r="Y136">
        <v>22</v>
      </c>
      <c r="Z136">
        <v>110</v>
      </c>
      <c r="AA136">
        <v>64</v>
      </c>
      <c r="AB136" t="s">
        <v>284</v>
      </c>
    </row>
    <row r="137" spans="1:28">
      <c r="A137">
        <v>1028</v>
      </c>
      <c r="B137">
        <v>1229</v>
      </c>
      <c r="C137" t="s">
        <v>884</v>
      </c>
      <c r="D137" t="s">
        <v>202</v>
      </c>
      <c r="E137" t="s">
        <v>744</v>
      </c>
      <c r="F137" t="s">
        <v>367</v>
      </c>
      <c r="G137" t="s">
        <v>522</v>
      </c>
      <c r="H137" t="s">
        <v>318</v>
      </c>
      <c r="I137" t="s">
        <v>312</v>
      </c>
      <c r="J137" t="s">
        <v>318</v>
      </c>
      <c r="K137" t="s">
        <v>885</v>
      </c>
      <c r="L137" s="48">
        <v>44364</v>
      </c>
      <c r="M137" t="s">
        <v>134</v>
      </c>
      <c r="N137" t="s">
        <v>573</v>
      </c>
      <c r="O137">
        <v>3</v>
      </c>
      <c r="P137" t="s">
        <v>803</v>
      </c>
      <c r="Q137" t="s">
        <v>804</v>
      </c>
      <c r="R137" s="81" t="s">
        <v>886</v>
      </c>
      <c r="S137" s="81" t="s">
        <v>887</v>
      </c>
      <c r="T137" t="s">
        <v>37</v>
      </c>
      <c r="U137" t="s">
        <v>77</v>
      </c>
      <c r="V137">
        <v>19</v>
      </c>
      <c r="W137">
        <v>50</v>
      </c>
      <c r="X137">
        <v>55</v>
      </c>
      <c r="Y137">
        <v>22</v>
      </c>
      <c r="Z137">
        <v>110</v>
      </c>
      <c r="AA137">
        <v>64</v>
      </c>
      <c r="AB137" t="s">
        <v>284</v>
      </c>
    </row>
    <row r="138" spans="1:28">
      <c r="A138">
        <v>1028</v>
      </c>
      <c r="B138">
        <v>1229</v>
      </c>
      <c r="C138" t="s">
        <v>884</v>
      </c>
      <c r="D138" t="s">
        <v>202</v>
      </c>
      <c r="E138" t="s">
        <v>744</v>
      </c>
      <c r="F138" t="s">
        <v>7</v>
      </c>
      <c r="G138" t="s">
        <v>521</v>
      </c>
      <c r="H138" t="s">
        <v>312</v>
      </c>
      <c r="I138" t="s">
        <v>308</v>
      </c>
      <c r="J138" t="s">
        <v>318</v>
      </c>
      <c r="K138" t="s">
        <v>885</v>
      </c>
      <c r="L138" s="48">
        <v>44364</v>
      </c>
      <c r="M138" t="s">
        <v>134</v>
      </c>
      <c r="N138" t="s">
        <v>573</v>
      </c>
      <c r="O138">
        <v>3</v>
      </c>
      <c r="P138" t="s">
        <v>803</v>
      </c>
      <c r="Q138" t="s">
        <v>804</v>
      </c>
      <c r="R138" s="81" t="s">
        <v>886</v>
      </c>
      <c r="S138" s="81" t="s">
        <v>887</v>
      </c>
      <c r="T138" t="s">
        <v>31</v>
      </c>
      <c r="U138" t="s">
        <v>77</v>
      </c>
      <c r="V138">
        <v>19</v>
      </c>
      <c r="W138">
        <v>50</v>
      </c>
      <c r="X138">
        <v>55</v>
      </c>
      <c r="Y138">
        <v>22</v>
      </c>
      <c r="Z138">
        <v>110</v>
      </c>
      <c r="AA138">
        <v>64</v>
      </c>
      <c r="AB138" t="s">
        <v>284</v>
      </c>
    </row>
    <row r="139" spans="1:28">
      <c r="A139">
        <v>1028</v>
      </c>
      <c r="B139">
        <v>1229</v>
      </c>
      <c r="C139" t="s">
        <v>884</v>
      </c>
      <c r="D139" t="s">
        <v>202</v>
      </c>
      <c r="E139" t="s">
        <v>744</v>
      </c>
      <c r="F139" t="s">
        <v>5</v>
      </c>
      <c r="G139" t="s">
        <v>519</v>
      </c>
      <c r="H139" t="s">
        <v>319</v>
      </c>
      <c r="I139" t="s">
        <v>287</v>
      </c>
      <c r="J139" t="s">
        <v>317</v>
      </c>
      <c r="K139" t="s">
        <v>885</v>
      </c>
      <c r="L139" s="48">
        <v>44364</v>
      </c>
      <c r="M139" t="s">
        <v>134</v>
      </c>
      <c r="N139" t="s">
        <v>573</v>
      </c>
      <c r="O139">
        <v>3</v>
      </c>
      <c r="P139" t="s">
        <v>803</v>
      </c>
      <c r="Q139" t="s">
        <v>804</v>
      </c>
      <c r="R139" s="81" t="s">
        <v>886</v>
      </c>
      <c r="S139" s="81" t="s">
        <v>887</v>
      </c>
      <c r="T139" t="s">
        <v>32</v>
      </c>
      <c r="U139" t="s">
        <v>77</v>
      </c>
      <c r="V139">
        <v>19</v>
      </c>
      <c r="W139">
        <v>50</v>
      </c>
      <c r="X139">
        <v>55</v>
      </c>
      <c r="Y139">
        <v>22</v>
      </c>
      <c r="Z139">
        <v>110</v>
      </c>
      <c r="AA139">
        <v>64</v>
      </c>
      <c r="AB139" t="s">
        <v>284</v>
      </c>
    </row>
    <row r="140" spans="1:28">
      <c r="A140">
        <v>1028</v>
      </c>
      <c r="B140">
        <v>1229</v>
      </c>
      <c r="C140" t="s">
        <v>884</v>
      </c>
      <c r="D140" t="s">
        <v>202</v>
      </c>
      <c r="E140" t="s">
        <v>744</v>
      </c>
      <c r="F140" t="s">
        <v>8</v>
      </c>
      <c r="G140" t="s">
        <v>520</v>
      </c>
      <c r="H140" t="s">
        <v>310</v>
      </c>
      <c r="I140" t="s">
        <v>287</v>
      </c>
      <c r="J140" t="s">
        <v>320</v>
      </c>
      <c r="K140" t="s">
        <v>885</v>
      </c>
      <c r="L140" s="48">
        <v>44364</v>
      </c>
      <c r="M140" t="s">
        <v>134</v>
      </c>
      <c r="N140" t="s">
        <v>573</v>
      </c>
      <c r="O140">
        <v>3</v>
      </c>
      <c r="P140" t="s">
        <v>803</v>
      </c>
      <c r="Q140" t="s">
        <v>804</v>
      </c>
      <c r="R140" s="81" t="s">
        <v>886</v>
      </c>
      <c r="S140" s="81" t="s">
        <v>887</v>
      </c>
      <c r="T140" t="s">
        <v>30</v>
      </c>
      <c r="U140" t="s">
        <v>77</v>
      </c>
      <c r="V140">
        <v>19</v>
      </c>
      <c r="W140">
        <v>50</v>
      </c>
      <c r="X140">
        <v>55</v>
      </c>
      <c r="Y140">
        <v>22</v>
      </c>
      <c r="Z140">
        <v>110</v>
      </c>
      <c r="AA140">
        <v>64</v>
      </c>
      <c r="AB140" t="s">
        <v>284</v>
      </c>
    </row>
    <row r="141" spans="1:28">
      <c r="A141">
        <v>1029</v>
      </c>
      <c r="B141">
        <v>1183</v>
      </c>
      <c r="C141" t="s">
        <v>888</v>
      </c>
      <c r="D141" t="s">
        <v>202</v>
      </c>
      <c r="E141" t="s">
        <v>744</v>
      </c>
      <c r="F141" t="s">
        <v>8</v>
      </c>
      <c r="G141" t="s">
        <v>527</v>
      </c>
      <c r="H141" t="s">
        <v>483</v>
      </c>
      <c r="I141" t="s">
        <v>240</v>
      </c>
      <c r="J141" t="s">
        <v>320</v>
      </c>
      <c r="K141" t="s">
        <v>889</v>
      </c>
      <c r="L141" s="48">
        <v>44558</v>
      </c>
      <c r="M141" t="s">
        <v>134</v>
      </c>
      <c r="N141" t="s">
        <v>573</v>
      </c>
      <c r="O141">
        <v>3</v>
      </c>
      <c r="P141" t="s">
        <v>890</v>
      </c>
      <c r="Q141" t="s">
        <v>891</v>
      </c>
      <c r="R141" s="81" t="s">
        <v>892</v>
      </c>
      <c r="S141" s="81" t="s">
        <v>893</v>
      </c>
      <c r="T141" t="s">
        <v>30</v>
      </c>
      <c r="U141" t="s">
        <v>77</v>
      </c>
      <c r="V141">
        <v>20</v>
      </c>
      <c r="W141">
        <v>50</v>
      </c>
      <c r="X141">
        <v>55</v>
      </c>
      <c r="Y141">
        <v>23</v>
      </c>
      <c r="Z141">
        <v>110</v>
      </c>
      <c r="AA141">
        <v>71</v>
      </c>
      <c r="AB141" t="s">
        <v>284</v>
      </c>
    </row>
    <row r="142" spans="1:28">
      <c r="A142">
        <v>1029</v>
      </c>
      <c r="B142">
        <v>1183</v>
      </c>
      <c r="C142" t="s">
        <v>888</v>
      </c>
      <c r="D142" t="s">
        <v>202</v>
      </c>
      <c r="E142" t="s">
        <v>744</v>
      </c>
      <c r="F142" t="s">
        <v>5</v>
      </c>
      <c r="G142" t="s">
        <v>528</v>
      </c>
      <c r="H142" t="s">
        <v>206</v>
      </c>
      <c r="I142" t="s">
        <v>483</v>
      </c>
      <c r="J142" t="s">
        <v>237</v>
      </c>
      <c r="K142" t="s">
        <v>889</v>
      </c>
      <c r="L142" s="48">
        <v>44558</v>
      </c>
      <c r="M142" t="s">
        <v>134</v>
      </c>
      <c r="N142" t="s">
        <v>573</v>
      </c>
      <c r="O142">
        <v>3</v>
      </c>
      <c r="P142" t="s">
        <v>890</v>
      </c>
      <c r="Q142" t="s">
        <v>891</v>
      </c>
      <c r="R142" s="81" t="s">
        <v>892</v>
      </c>
      <c r="S142" s="81" t="s">
        <v>893</v>
      </c>
      <c r="T142" t="s">
        <v>32</v>
      </c>
      <c r="U142" t="s">
        <v>77</v>
      </c>
      <c r="V142">
        <v>20</v>
      </c>
      <c r="W142">
        <v>50</v>
      </c>
      <c r="X142">
        <v>55</v>
      </c>
      <c r="Y142">
        <v>23</v>
      </c>
      <c r="Z142">
        <v>110</v>
      </c>
      <c r="AA142">
        <v>71</v>
      </c>
      <c r="AB142" t="s">
        <v>284</v>
      </c>
    </row>
    <row r="143" spans="1:28">
      <c r="A143">
        <v>1029</v>
      </c>
      <c r="B143">
        <v>1183</v>
      </c>
      <c r="C143" t="s">
        <v>888</v>
      </c>
      <c r="D143" t="s">
        <v>202</v>
      </c>
      <c r="E143" t="s">
        <v>744</v>
      </c>
      <c r="F143" t="s">
        <v>7</v>
      </c>
      <c r="G143" t="s">
        <v>526</v>
      </c>
      <c r="H143" t="s">
        <v>206</v>
      </c>
      <c r="I143" t="s">
        <v>483</v>
      </c>
      <c r="J143" t="s">
        <v>282</v>
      </c>
      <c r="K143" t="s">
        <v>889</v>
      </c>
      <c r="L143" s="48">
        <v>44558</v>
      </c>
      <c r="M143" t="s">
        <v>134</v>
      </c>
      <c r="N143" t="s">
        <v>573</v>
      </c>
      <c r="O143">
        <v>3</v>
      </c>
      <c r="P143" t="s">
        <v>890</v>
      </c>
      <c r="Q143" t="s">
        <v>891</v>
      </c>
      <c r="R143" s="81" t="s">
        <v>892</v>
      </c>
      <c r="S143" s="81" t="s">
        <v>893</v>
      </c>
      <c r="T143" t="s">
        <v>31</v>
      </c>
      <c r="U143" t="s">
        <v>77</v>
      </c>
      <c r="V143">
        <v>20</v>
      </c>
      <c r="W143">
        <v>50</v>
      </c>
      <c r="X143">
        <v>55</v>
      </c>
      <c r="Y143">
        <v>23</v>
      </c>
      <c r="Z143">
        <v>110</v>
      </c>
      <c r="AA143">
        <v>71</v>
      </c>
      <c r="AB143" t="s">
        <v>284</v>
      </c>
    </row>
    <row r="144" spans="1:28">
      <c r="A144">
        <v>1029</v>
      </c>
      <c r="B144">
        <v>1183</v>
      </c>
      <c r="C144" t="s">
        <v>888</v>
      </c>
      <c r="D144" t="s">
        <v>202</v>
      </c>
      <c r="E144" t="s">
        <v>744</v>
      </c>
      <c r="F144" t="s">
        <v>367</v>
      </c>
      <c r="G144" t="s">
        <v>525</v>
      </c>
      <c r="H144" t="s">
        <v>309</v>
      </c>
      <c r="I144" t="s">
        <v>312</v>
      </c>
      <c r="J144" t="s">
        <v>319</v>
      </c>
      <c r="K144" t="s">
        <v>889</v>
      </c>
      <c r="L144" s="48">
        <v>44558</v>
      </c>
      <c r="M144" t="s">
        <v>134</v>
      </c>
      <c r="N144" t="s">
        <v>573</v>
      </c>
      <c r="O144">
        <v>3</v>
      </c>
      <c r="P144" t="s">
        <v>890</v>
      </c>
      <c r="Q144" t="s">
        <v>891</v>
      </c>
      <c r="R144" s="81" t="s">
        <v>892</v>
      </c>
      <c r="S144" s="81" t="s">
        <v>893</v>
      </c>
      <c r="T144" t="s">
        <v>37</v>
      </c>
      <c r="U144" t="s">
        <v>77</v>
      </c>
      <c r="V144">
        <v>20</v>
      </c>
      <c r="W144">
        <v>50</v>
      </c>
      <c r="X144">
        <v>55</v>
      </c>
      <c r="Y144">
        <v>23</v>
      </c>
      <c r="Z144">
        <v>110</v>
      </c>
      <c r="AA144">
        <v>71</v>
      </c>
      <c r="AB144" t="s">
        <v>284</v>
      </c>
    </row>
    <row r="145" spans="1:28">
      <c r="A145">
        <v>1029</v>
      </c>
      <c r="B145">
        <v>1183</v>
      </c>
      <c r="C145" t="s">
        <v>888</v>
      </c>
      <c r="D145" t="s">
        <v>202</v>
      </c>
      <c r="E145" t="s">
        <v>744</v>
      </c>
      <c r="F145" t="s">
        <v>369</v>
      </c>
      <c r="G145" t="s">
        <v>524</v>
      </c>
      <c r="H145" t="s">
        <v>309</v>
      </c>
      <c r="I145" t="s">
        <v>312</v>
      </c>
      <c r="J145" t="s">
        <v>312</v>
      </c>
      <c r="K145" t="s">
        <v>889</v>
      </c>
      <c r="L145" s="48">
        <v>44558</v>
      </c>
      <c r="M145" t="s">
        <v>134</v>
      </c>
      <c r="N145" t="s">
        <v>573</v>
      </c>
      <c r="O145">
        <v>3</v>
      </c>
      <c r="P145" t="s">
        <v>890</v>
      </c>
      <c r="Q145" t="s">
        <v>891</v>
      </c>
      <c r="R145" s="81" t="s">
        <v>892</v>
      </c>
      <c r="S145" s="81" t="s">
        <v>893</v>
      </c>
      <c r="T145" t="s">
        <v>113</v>
      </c>
      <c r="U145" t="s">
        <v>77</v>
      </c>
      <c r="V145">
        <v>20</v>
      </c>
      <c r="W145">
        <v>50</v>
      </c>
      <c r="X145">
        <v>55</v>
      </c>
      <c r="Y145">
        <v>23</v>
      </c>
      <c r="Z145">
        <v>110</v>
      </c>
      <c r="AA145">
        <v>71</v>
      </c>
      <c r="AB145" t="s">
        <v>284</v>
      </c>
    </row>
    <row r="146" spans="1:28">
      <c r="A146">
        <v>1030</v>
      </c>
      <c r="B146">
        <v>1194</v>
      </c>
      <c r="C146" t="s">
        <v>894</v>
      </c>
      <c r="D146" t="s">
        <v>202</v>
      </c>
      <c r="E146" t="s">
        <v>744</v>
      </c>
      <c r="F146" t="s">
        <v>369</v>
      </c>
      <c r="G146" t="s">
        <v>533</v>
      </c>
      <c r="H146" t="s">
        <v>318</v>
      </c>
      <c r="I146" t="s">
        <v>312</v>
      </c>
      <c r="J146" t="s">
        <v>318</v>
      </c>
      <c r="K146" t="s">
        <v>895</v>
      </c>
      <c r="L146" s="48">
        <v>44535</v>
      </c>
      <c r="M146" t="s">
        <v>134</v>
      </c>
      <c r="N146" t="s">
        <v>896</v>
      </c>
      <c r="O146">
        <v>2</v>
      </c>
      <c r="P146" t="s">
        <v>897</v>
      </c>
      <c r="Q146" t="s">
        <v>898</v>
      </c>
      <c r="R146" s="81" t="s">
        <v>899</v>
      </c>
      <c r="S146" s="81" t="s">
        <v>900</v>
      </c>
      <c r="T146" t="s">
        <v>113</v>
      </c>
      <c r="U146" t="s">
        <v>76</v>
      </c>
      <c r="V146">
        <v>17</v>
      </c>
      <c r="W146">
        <v>50</v>
      </c>
      <c r="X146">
        <v>55</v>
      </c>
      <c r="Y146">
        <v>20</v>
      </c>
      <c r="Z146">
        <v>110</v>
      </c>
      <c r="AA146">
        <v>56</v>
      </c>
      <c r="AB146" t="s">
        <v>284</v>
      </c>
    </row>
    <row r="147" spans="1:28">
      <c r="A147">
        <v>1030</v>
      </c>
      <c r="B147">
        <v>1194</v>
      </c>
      <c r="C147" t="s">
        <v>894</v>
      </c>
      <c r="D147" t="s">
        <v>202</v>
      </c>
      <c r="E147" t="s">
        <v>744</v>
      </c>
      <c r="F147" t="s">
        <v>367</v>
      </c>
      <c r="G147" t="s">
        <v>532</v>
      </c>
      <c r="H147" t="s">
        <v>309</v>
      </c>
      <c r="I147" t="s">
        <v>312</v>
      </c>
      <c r="J147" t="s">
        <v>319</v>
      </c>
      <c r="K147" t="s">
        <v>895</v>
      </c>
      <c r="L147" s="48">
        <v>44535</v>
      </c>
      <c r="M147" t="s">
        <v>134</v>
      </c>
      <c r="N147" t="s">
        <v>896</v>
      </c>
      <c r="O147">
        <v>2</v>
      </c>
      <c r="P147" t="s">
        <v>897</v>
      </c>
      <c r="Q147" t="s">
        <v>898</v>
      </c>
      <c r="R147" s="81" t="s">
        <v>899</v>
      </c>
      <c r="S147" s="81" t="s">
        <v>900</v>
      </c>
      <c r="T147" t="s">
        <v>37</v>
      </c>
      <c r="U147" t="s">
        <v>76</v>
      </c>
      <c r="V147">
        <v>17</v>
      </c>
      <c r="W147">
        <v>50</v>
      </c>
      <c r="X147">
        <v>55</v>
      </c>
      <c r="Y147">
        <v>20</v>
      </c>
      <c r="Z147">
        <v>110</v>
      </c>
      <c r="AA147">
        <v>56</v>
      </c>
      <c r="AB147" t="s">
        <v>284</v>
      </c>
    </row>
    <row r="148" spans="1:28">
      <c r="A148">
        <v>1030</v>
      </c>
      <c r="B148">
        <v>1194</v>
      </c>
      <c r="C148" t="s">
        <v>894</v>
      </c>
      <c r="D148" t="s">
        <v>202</v>
      </c>
      <c r="E148" t="s">
        <v>744</v>
      </c>
      <c r="F148" t="s">
        <v>7</v>
      </c>
      <c r="G148" t="s">
        <v>531</v>
      </c>
      <c r="H148" t="s">
        <v>283</v>
      </c>
      <c r="I148" t="s">
        <v>483</v>
      </c>
      <c r="J148" t="s">
        <v>309</v>
      </c>
      <c r="K148" t="s">
        <v>895</v>
      </c>
      <c r="L148" s="48">
        <v>44535</v>
      </c>
      <c r="M148" t="s">
        <v>134</v>
      </c>
      <c r="N148" t="s">
        <v>896</v>
      </c>
      <c r="O148">
        <v>2</v>
      </c>
      <c r="P148" t="s">
        <v>897</v>
      </c>
      <c r="Q148" t="s">
        <v>898</v>
      </c>
      <c r="R148" s="81" t="s">
        <v>899</v>
      </c>
      <c r="S148" s="81" t="s">
        <v>900</v>
      </c>
      <c r="T148" t="s">
        <v>31</v>
      </c>
      <c r="U148" t="s">
        <v>76</v>
      </c>
      <c r="V148">
        <v>17</v>
      </c>
      <c r="W148">
        <v>50</v>
      </c>
      <c r="X148">
        <v>55</v>
      </c>
      <c r="Y148">
        <v>20</v>
      </c>
      <c r="Z148">
        <v>110</v>
      </c>
      <c r="AA148">
        <v>56</v>
      </c>
      <c r="AB148" t="s">
        <v>284</v>
      </c>
    </row>
    <row r="149" spans="1:28">
      <c r="A149">
        <v>1030</v>
      </c>
      <c r="B149">
        <v>1194</v>
      </c>
      <c r="C149" t="s">
        <v>894</v>
      </c>
      <c r="D149" t="s">
        <v>202</v>
      </c>
      <c r="E149" t="s">
        <v>744</v>
      </c>
      <c r="F149" t="s">
        <v>5</v>
      </c>
      <c r="G149" t="s">
        <v>529</v>
      </c>
      <c r="H149" t="s">
        <v>206</v>
      </c>
      <c r="I149" t="s">
        <v>483</v>
      </c>
      <c r="J149" t="s">
        <v>314</v>
      </c>
      <c r="K149" t="s">
        <v>895</v>
      </c>
      <c r="L149" s="48">
        <v>44535</v>
      </c>
      <c r="M149" t="s">
        <v>134</v>
      </c>
      <c r="N149" t="s">
        <v>896</v>
      </c>
      <c r="O149">
        <v>2</v>
      </c>
      <c r="P149" t="s">
        <v>897</v>
      </c>
      <c r="Q149" t="s">
        <v>898</v>
      </c>
      <c r="R149" s="81" t="s">
        <v>899</v>
      </c>
      <c r="S149" s="81" t="s">
        <v>900</v>
      </c>
      <c r="T149" t="s">
        <v>32</v>
      </c>
      <c r="U149" t="s">
        <v>76</v>
      </c>
      <c r="V149">
        <v>17</v>
      </c>
      <c r="W149">
        <v>50</v>
      </c>
      <c r="X149">
        <v>55</v>
      </c>
      <c r="Y149">
        <v>20</v>
      </c>
      <c r="Z149">
        <v>110</v>
      </c>
      <c r="AA149">
        <v>56</v>
      </c>
      <c r="AB149" t="s">
        <v>284</v>
      </c>
    </row>
    <row r="150" spans="1:28">
      <c r="A150">
        <v>1030</v>
      </c>
      <c r="B150">
        <v>1194</v>
      </c>
      <c r="C150" t="s">
        <v>894</v>
      </c>
      <c r="D150" t="s">
        <v>202</v>
      </c>
      <c r="E150" t="s">
        <v>744</v>
      </c>
      <c r="F150" t="s">
        <v>8</v>
      </c>
      <c r="G150" t="s">
        <v>530</v>
      </c>
      <c r="H150" t="s">
        <v>227</v>
      </c>
      <c r="I150" t="s">
        <v>308</v>
      </c>
      <c r="J150" t="s">
        <v>240</v>
      </c>
      <c r="K150" t="s">
        <v>895</v>
      </c>
      <c r="L150" s="48">
        <v>44535</v>
      </c>
      <c r="M150" t="s">
        <v>134</v>
      </c>
      <c r="N150" t="s">
        <v>896</v>
      </c>
      <c r="O150">
        <v>2</v>
      </c>
      <c r="P150" t="s">
        <v>897</v>
      </c>
      <c r="Q150" t="s">
        <v>898</v>
      </c>
      <c r="R150" s="81" t="s">
        <v>899</v>
      </c>
      <c r="S150" s="81" t="s">
        <v>900</v>
      </c>
      <c r="T150" t="s">
        <v>30</v>
      </c>
      <c r="U150" t="s">
        <v>76</v>
      </c>
      <c r="V150">
        <v>17</v>
      </c>
      <c r="W150">
        <v>50</v>
      </c>
      <c r="X150">
        <v>55</v>
      </c>
      <c r="Y150">
        <v>20</v>
      </c>
      <c r="Z150">
        <v>110</v>
      </c>
      <c r="AA150">
        <v>56</v>
      </c>
      <c r="AB150" t="s">
        <v>284</v>
      </c>
    </row>
    <row r="151" spans="1:28">
      <c r="A151">
        <v>1031</v>
      </c>
      <c r="B151">
        <v>1115</v>
      </c>
      <c r="C151" t="s">
        <v>901</v>
      </c>
      <c r="D151" t="s">
        <v>202</v>
      </c>
      <c r="E151" t="s">
        <v>744</v>
      </c>
      <c r="F151" t="s">
        <v>8</v>
      </c>
      <c r="G151" t="s">
        <v>537</v>
      </c>
      <c r="H151" t="s">
        <v>293</v>
      </c>
      <c r="I151" t="s">
        <v>313</v>
      </c>
      <c r="J151" t="s">
        <v>298</v>
      </c>
      <c r="K151" t="s">
        <v>902</v>
      </c>
      <c r="L151" s="48">
        <v>43865</v>
      </c>
      <c r="M151" t="s">
        <v>134</v>
      </c>
      <c r="N151" t="s">
        <v>502</v>
      </c>
      <c r="O151">
        <v>3</v>
      </c>
      <c r="P151" t="s">
        <v>903</v>
      </c>
      <c r="Q151" t="s">
        <v>904</v>
      </c>
      <c r="R151" s="81" t="s">
        <v>905</v>
      </c>
      <c r="S151" s="81" t="s">
        <v>906</v>
      </c>
      <c r="T151" t="s">
        <v>30</v>
      </c>
      <c r="U151" t="s">
        <v>77</v>
      </c>
      <c r="V151">
        <v>19</v>
      </c>
      <c r="W151">
        <v>50</v>
      </c>
      <c r="X151">
        <v>55</v>
      </c>
      <c r="Y151">
        <v>23</v>
      </c>
      <c r="Z151">
        <v>110</v>
      </c>
      <c r="AA151">
        <v>71</v>
      </c>
      <c r="AB151" t="s">
        <v>284</v>
      </c>
    </row>
    <row r="152" spans="1:28">
      <c r="A152">
        <v>1031</v>
      </c>
      <c r="B152">
        <v>1115</v>
      </c>
      <c r="C152" t="s">
        <v>901</v>
      </c>
      <c r="D152" t="s">
        <v>202</v>
      </c>
      <c r="E152" t="s">
        <v>744</v>
      </c>
      <c r="F152" t="s">
        <v>5</v>
      </c>
      <c r="G152" t="s">
        <v>538</v>
      </c>
      <c r="H152" t="s">
        <v>826</v>
      </c>
      <c r="I152" t="s">
        <v>307</v>
      </c>
      <c r="J152" t="s">
        <v>299</v>
      </c>
      <c r="K152" t="s">
        <v>902</v>
      </c>
      <c r="L152" s="48">
        <v>43865</v>
      </c>
      <c r="M152" t="s">
        <v>134</v>
      </c>
      <c r="N152" t="s">
        <v>502</v>
      </c>
      <c r="O152">
        <v>3</v>
      </c>
      <c r="P152" t="s">
        <v>903</v>
      </c>
      <c r="Q152" t="s">
        <v>904</v>
      </c>
      <c r="R152" s="81" t="s">
        <v>905</v>
      </c>
      <c r="S152" s="81" t="s">
        <v>906</v>
      </c>
      <c r="T152" t="s">
        <v>32</v>
      </c>
      <c r="U152" t="s">
        <v>77</v>
      </c>
      <c r="V152">
        <v>19</v>
      </c>
      <c r="W152">
        <v>50</v>
      </c>
      <c r="X152">
        <v>55</v>
      </c>
      <c r="Y152">
        <v>23</v>
      </c>
      <c r="Z152">
        <v>110</v>
      </c>
      <c r="AA152">
        <v>71</v>
      </c>
      <c r="AB152" t="s">
        <v>827</v>
      </c>
    </row>
    <row r="153" spans="1:28">
      <c r="A153">
        <v>1031</v>
      </c>
      <c r="B153">
        <v>1115</v>
      </c>
      <c r="C153" t="s">
        <v>901</v>
      </c>
      <c r="D153" t="s">
        <v>202</v>
      </c>
      <c r="E153" t="s">
        <v>744</v>
      </c>
      <c r="F153" t="s">
        <v>7</v>
      </c>
      <c r="G153" t="s">
        <v>536</v>
      </c>
      <c r="H153" t="s">
        <v>318</v>
      </c>
      <c r="I153" t="s">
        <v>291</v>
      </c>
      <c r="J153" t="s">
        <v>304</v>
      </c>
      <c r="K153" t="s">
        <v>902</v>
      </c>
      <c r="L153" s="48">
        <v>43865</v>
      </c>
      <c r="M153" t="s">
        <v>134</v>
      </c>
      <c r="N153" t="s">
        <v>502</v>
      </c>
      <c r="O153">
        <v>3</v>
      </c>
      <c r="P153" t="s">
        <v>903</v>
      </c>
      <c r="Q153" t="s">
        <v>904</v>
      </c>
      <c r="R153" s="81" t="s">
        <v>905</v>
      </c>
      <c r="S153" s="81" t="s">
        <v>906</v>
      </c>
      <c r="T153" t="s">
        <v>31</v>
      </c>
      <c r="U153" t="s">
        <v>77</v>
      </c>
      <c r="V153">
        <v>19</v>
      </c>
      <c r="W153">
        <v>50</v>
      </c>
      <c r="X153">
        <v>55</v>
      </c>
      <c r="Y153">
        <v>23</v>
      </c>
      <c r="Z153">
        <v>110</v>
      </c>
      <c r="AA153">
        <v>71</v>
      </c>
      <c r="AB153" t="s">
        <v>284</v>
      </c>
    </row>
    <row r="154" spans="1:28">
      <c r="A154">
        <v>1031</v>
      </c>
      <c r="B154">
        <v>1115</v>
      </c>
      <c r="C154" t="s">
        <v>901</v>
      </c>
      <c r="D154" t="s">
        <v>202</v>
      </c>
      <c r="E154" t="s">
        <v>744</v>
      </c>
      <c r="F154" t="s">
        <v>367</v>
      </c>
      <c r="G154" t="s">
        <v>535</v>
      </c>
      <c r="H154" t="s">
        <v>309</v>
      </c>
      <c r="I154" t="s">
        <v>312</v>
      </c>
      <c r="J154" t="s">
        <v>318</v>
      </c>
      <c r="K154" t="s">
        <v>902</v>
      </c>
      <c r="L154" s="48">
        <v>43865</v>
      </c>
      <c r="M154" t="s">
        <v>134</v>
      </c>
      <c r="N154" t="s">
        <v>502</v>
      </c>
      <c r="O154">
        <v>3</v>
      </c>
      <c r="P154" t="s">
        <v>903</v>
      </c>
      <c r="Q154" t="s">
        <v>904</v>
      </c>
      <c r="R154" s="81" t="s">
        <v>905</v>
      </c>
      <c r="S154" s="81" t="s">
        <v>906</v>
      </c>
      <c r="T154" t="s">
        <v>37</v>
      </c>
      <c r="U154" t="s">
        <v>77</v>
      </c>
      <c r="V154">
        <v>19</v>
      </c>
      <c r="W154">
        <v>50</v>
      </c>
      <c r="X154">
        <v>55</v>
      </c>
      <c r="Y154">
        <v>23</v>
      </c>
      <c r="Z154">
        <v>110</v>
      </c>
      <c r="AA154">
        <v>71</v>
      </c>
      <c r="AB154" t="s">
        <v>284</v>
      </c>
    </row>
    <row r="155" spans="1:28">
      <c r="A155">
        <v>1031</v>
      </c>
      <c r="B155">
        <v>1115</v>
      </c>
      <c r="C155" t="s">
        <v>901</v>
      </c>
      <c r="D155" t="s">
        <v>202</v>
      </c>
      <c r="E155" t="s">
        <v>744</v>
      </c>
      <c r="F155" t="s">
        <v>369</v>
      </c>
      <c r="G155" t="s">
        <v>534</v>
      </c>
      <c r="H155" t="s">
        <v>318</v>
      </c>
      <c r="I155" t="s">
        <v>312</v>
      </c>
      <c r="J155" t="s">
        <v>318</v>
      </c>
      <c r="K155" t="s">
        <v>902</v>
      </c>
      <c r="L155" s="48">
        <v>43865</v>
      </c>
      <c r="M155" t="s">
        <v>134</v>
      </c>
      <c r="N155" t="s">
        <v>502</v>
      </c>
      <c r="O155">
        <v>3</v>
      </c>
      <c r="P155" t="s">
        <v>903</v>
      </c>
      <c r="Q155" t="s">
        <v>904</v>
      </c>
      <c r="R155" s="81" t="s">
        <v>905</v>
      </c>
      <c r="S155" s="81" t="s">
        <v>906</v>
      </c>
      <c r="T155" t="s">
        <v>113</v>
      </c>
      <c r="U155" t="s">
        <v>77</v>
      </c>
      <c r="V155">
        <v>19</v>
      </c>
      <c r="W155">
        <v>50</v>
      </c>
      <c r="X155">
        <v>55</v>
      </c>
      <c r="Y155">
        <v>23</v>
      </c>
      <c r="Z155">
        <v>110</v>
      </c>
      <c r="AA155">
        <v>71</v>
      </c>
      <c r="AB155" t="s">
        <v>284</v>
      </c>
    </row>
    <row r="156" spans="1:28">
      <c r="A156">
        <v>1032</v>
      </c>
      <c r="B156">
        <v>1226</v>
      </c>
      <c r="C156" t="s">
        <v>907</v>
      </c>
      <c r="D156" t="s">
        <v>202</v>
      </c>
      <c r="E156" t="s">
        <v>744</v>
      </c>
      <c r="F156" t="s">
        <v>369</v>
      </c>
      <c r="G156" t="s">
        <v>543</v>
      </c>
      <c r="H156" t="s">
        <v>318</v>
      </c>
      <c r="I156" t="s">
        <v>312</v>
      </c>
      <c r="J156" t="s">
        <v>318</v>
      </c>
      <c r="K156" t="s">
        <v>908</v>
      </c>
      <c r="L156" s="48">
        <v>43910</v>
      </c>
      <c r="M156" t="s">
        <v>134</v>
      </c>
      <c r="N156" t="s">
        <v>909</v>
      </c>
      <c r="O156">
        <v>3</v>
      </c>
      <c r="P156" t="s">
        <v>910</v>
      </c>
      <c r="Q156" t="s">
        <v>911</v>
      </c>
      <c r="R156" s="81" t="s">
        <v>284</v>
      </c>
      <c r="S156" s="81" t="s">
        <v>912</v>
      </c>
      <c r="T156" t="s">
        <v>113</v>
      </c>
      <c r="U156" t="s">
        <v>77</v>
      </c>
      <c r="V156">
        <v>16</v>
      </c>
      <c r="W156">
        <v>50</v>
      </c>
      <c r="X156">
        <v>55</v>
      </c>
      <c r="Y156">
        <v>20</v>
      </c>
      <c r="Z156">
        <v>110</v>
      </c>
      <c r="AA156">
        <v>60</v>
      </c>
      <c r="AB156" t="s">
        <v>284</v>
      </c>
    </row>
    <row r="157" spans="1:28">
      <c r="A157">
        <v>1032</v>
      </c>
      <c r="B157">
        <v>1226</v>
      </c>
      <c r="C157" t="s">
        <v>907</v>
      </c>
      <c r="D157" t="s">
        <v>202</v>
      </c>
      <c r="E157" t="s">
        <v>744</v>
      </c>
      <c r="F157" t="s">
        <v>367</v>
      </c>
      <c r="G157" t="s">
        <v>542</v>
      </c>
      <c r="H157" t="s">
        <v>318</v>
      </c>
      <c r="I157" t="s">
        <v>312</v>
      </c>
      <c r="J157" t="s">
        <v>312</v>
      </c>
      <c r="K157" t="s">
        <v>908</v>
      </c>
      <c r="L157" s="48">
        <v>43910</v>
      </c>
      <c r="M157" t="s">
        <v>134</v>
      </c>
      <c r="N157" t="s">
        <v>909</v>
      </c>
      <c r="O157">
        <v>3</v>
      </c>
      <c r="P157" t="s">
        <v>910</v>
      </c>
      <c r="Q157" t="s">
        <v>911</v>
      </c>
      <c r="R157" s="81" t="s">
        <v>284</v>
      </c>
      <c r="S157" s="81" t="s">
        <v>912</v>
      </c>
      <c r="T157" t="s">
        <v>37</v>
      </c>
      <c r="U157" t="s">
        <v>77</v>
      </c>
      <c r="V157">
        <v>16</v>
      </c>
      <c r="W157">
        <v>50</v>
      </c>
      <c r="X157">
        <v>55</v>
      </c>
      <c r="Y157">
        <v>20</v>
      </c>
      <c r="Z157">
        <v>110</v>
      </c>
      <c r="AA157">
        <v>60</v>
      </c>
      <c r="AB157" t="s">
        <v>284</v>
      </c>
    </row>
    <row r="158" spans="1:28">
      <c r="A158">
        <v>1032</v>
      </c>
      <c r="B158">
        <v>1226</v>
      </c>
      <c r="C158" t="s">
        <v>907</v>
      </c>
      <c r="D158" t="s">
        <v>202</v>
      </c>
      <c r="E158" t="s">
        <v>744</v>
      </c>
      <c r="F158" t="s">
        <v>7</v>
      </c>
      <c r="G158" t="s">
        <v>541</v>
      </c>
      <c r="H158" t="s">
        <v>313</v>
      </c>
      <c r="I158" t="s">
        <v>293</v>
      </c>
      <c r="J158" t="s">
        <v>299</v>
      </c>
      <c r="K158" t="s">
        <v>908</v>
      </c>
      <c r="L158" s="48">
        <v>43910</v>
      </c>
      <c r="M158" t="s">
        <v>134</v>
      </c>
      <c r="N158" t="s">
        <v>909</v>
      </c>
      <c r="O158">
        <v>3</v>
      </c>
      <c r="P158" t="s">
        <v>910</v>
      </c>
      <c r="Q158" t="s">
        <v>911</v>
      </c>
      <c r="R158" s="81" t="s">
        <v>284</v>
      </c>
      <c r="S158" s="81" t="s">
        <v>912</v>
      </c>
      <c r="T158" t="s">
        <v>31</v>
      </c>
      <c r="U158" t="s">
        <v>77</v>
      </c>
      <c r="V158">
        <v>16</v>
      </c>
      <c r="W158">
        <v>50</v>
      </c>
      <c r="X158">
        <v>55</v>
      </c>
      <c r="Y158">
        <v>20</v>
      </c>
      <c r="Z158">
        <v>110</v>
      </c>
      <c r="AA158">
        <v>60</v>
      </c>
      <c r="AB158" t="s">
        <v>284</v>
      </c>
    </row>
    <row r="159" spans="1:28">
      <c r="A159">
        <v>1032</v>
      </c>
      <c r="B159">
        <v>1226</v>
      </c>
      <c r="C159" t="s">
        <v>907</v>
      </c>
      <c r="D159" t="s">
        <v>202</v>
      </c>
      <c r="E159" t="s">
        <v>744</v>
      </c>
      <c r="F159" t="s">
        <v>5</v>
      </c>
      <c r="G159" t="s">
        <v>539</v>
      </c>
      <c r="H159" t="s">
        <v>292</v>
      </c>
      <c r="I159" t="s">
        <v>310</v>
      </c>
      <c r="J159" t="s">
        <v>295</v>
      </c>
      <c r="K159" t="s">
        <v>908</v>
      </c>
      <c r="L159" s="48">
        <v>43910</v>
      </c>
      <c r="M159" t="s">
        <v>134</v>
      </c>
      <c r="N159" t="s">
        <v>909</v>
      </c>
      <c r="O159">
        <v>3</v>
      </c>
      <c r="P159" t="s">
        <v>910</v>
      </c>
      <c r="Q159" t="s">
        <v>911</v>
      </c>
      <c r="R159" s="81" t="s">
        <v>284</v>
      </c>
      <c r="S159" s="81" t="s">
        <v>912</v>
      </c>
      <c r="T159" t="s">
        <v>32</v>
      </c>
      <c r="U159" t="s">
        <v>77</v>
      </c>
      <c r="V159">
        <v>16</v>
      </c>
      <c r="W159">
        <v>50</v>
      </c>
      <c r="X159">
        <v>55</v>
      </c>
      <c r="Y159">
        <v>20</v>
      </c>
      <c r="Z159">
        <v>110</v>
      </c>
      <c r="AA159">
        <v>60</v>
      </c>
      <c r="AB159" t="s">
        <v>284</v>
      </c>
    </row>
    <row r="160" spans="1:28">
      <c r="A160">
        <v>1032</v>
      </c>
      <c r="B160">
        <v>1226</v>
      </c>
      <c r="C160" t="s">
        <v>907</v>
      </c>
      <c r="D160" t="s">
        <v>202</v>
      </c>
      <c r="E160" t="s">
        <v>744</v>
      </c>
      <c r="F160" t="s">
        <v>8</v>
      </c>
      <c r="G160" t="s">
        <v>540</v>
      </c>
      <c r="H160" t="s">
        <v>298</v>
      </c>
      <c r="I160" t="s">
        <v>285</v>
      </c>
      <c r="J160" t="s">
        <v>285</v>
      </c>
      <c r="K160" t="s">
        <v>908</v>
      </c>
      <c r="L160" s="48">
        <v>43910</v>
      </c>
      <c r="M160" t="s">
        <v>134</v>
      </c>
      <c r="N160" t="s">
        <v>909</v>
      </c>
      <c r="O160">
        <v>3</v>
      </c>
      <c r="P160" t="s">
        <v>910</v>
      </c>
      <c r="Q160" t="s">
        <v>911</v>
      </c>
      <c r="R160" s="81" t="s">
        <v>284</v>
      </c>
      <c r="S160" s="81" t="s">
        <v>912</v>
      </c>
      <c r="T160" t="s">
        <v>30</v>
      </c>
      <c r="U160" t="s">
        <v>77</v>
      </c>
      <c r="V160">
        <v>16</v>
      </c>
      <c r="W160">
        <v>50</v>
      </c>
      <c r="X160">
        <v>55</v>
      </c>
      <c r="Y160">
        <v>20</v>
      </c>
      <c r="Z160">
        <v>110</v>
      </c>
      <c r="AA160">
        <v>60</v>
      </c>
      <c r="AB160" t="s">
        <v>284</v>
      </c>
    </row>
    <row r="161" spans="1:28">
      <c r="A161">
        <v>1033</v>
      </c>
      <c r="B161">
        <v>1203</v>
      </c>
      <c r="C161" t="s">
        <v>913</v>
      </c>
      <c r="D161" t="s">
        <v>202</v>
      </c>
      <c r="E161" t="s">
        <v>744</v>
      </c>
      <c r="F161" t="s">
        <v>8</v>
      </c>
      <c r="G161" t="s">
        <v>547</v>
      </c>
      <c r="H161" t="s">
        <v>290</v>
      </c>
      <c r="I161" t="s">
        <v>289</v>
      </c>
      <c r="J161" t="s">
        <v>295</v>
      </c>
      <c r="K161" t="s">
        <v>914</v>
      </c>
      <c r="L161" s="48">
        <v>43901</v>
      </c>
      <c r="M161" t="s">
        <v>134</v>
      </c>
      <c r="N161" t="s">
        <v>575</v>
      </c>
      <c r="O161">
        <v>9</v>
      </c>
      <c r="P161" t="s">
        <v>915</v>
      </c>
      <c r="Q161" t="s">
        <v>916</v>
      </c>
      <c r="R161" s="81" t="s">
        <v>917</v>
      </c>
      <c r="S161" s="81" t="s">
        <v>918</v>
      </c>
      <c r="T161" t="s">
        <v>30</v>
      </c>
      <c r="U161" t="s">
        <v>82</v>
      </c>
      <c r="V161">
        <v>21</v>
      </c>
      <c r="W161">
        <v>50</v>
      </c>
      <c r="X161">
        <v>55</v>
      </c>
      <c r="Y161">
        <v>25</v>
      </c>
      <c r="Z161">
        <v>110</v>
      </c>
      <c r="AA161">
        <v>71</v>
      </c>
      <c r="AB161" t="s">
        <v>284</v>
      </c>
    </row>
    <row r="162" spans="1:28">
      <c r="A162">
        <v>1033</v>
      </c>
      <c r="B162">
        <v>1203</v>
      </c>
      <c r="C162" t="s">
        <v>913</v>
      </c>
      <c r="D162" t="s">
        <v>202</v>
      </c>
      <c r="E162" t="s">
        <v>744</v>
      </c>
      <c r="F162" t="s">
        <v>5</v>
      </c>
      <c r="G162" t="s">
        <v>548</v>
      </c>
      <c r="H162" t="s">
        <v>308</v>
      </c>
      <c r="I162" t="s">
        <v>286</v>
      </c>
      <c r="J162" t="s">
        <v>295</v>
      </c>
      <c r="K162" t="s">
        <v>914</v>
      </c>
      <c r="L162" s="48">
        <v>43901</v>
      </c>
      <c r="M162" t="s">
        <v>134</v>
      </c>
      <c r="N162" t="s">
        <v>575</v>
      </c>
      <c r="O162">
        <v>9</v>
      </c>
      <c r="P162" t="s">
        <v>915</v>
      </c>
      <c r="Q162" t="s">
        <v>916</v>
      </c>
      <c r="R162" s="81" t="s">
        <v>917</v>
      </c>
      <c r="S162" s="81" t="s">
        <v>918</v>
      </c>
      <c r="T162" t="s">
        <v>32</v>
      </c>
      <c r="U162" t="s">
        <v>82</v>
      </c>
      <c r="V162">
        <v>21</v>
      </c>
      <c r="W162">
        <v>50</v>
      </c>
      <c r="X162">
        <v>55</v>
      </c>
      <c r="Y162">
        <v>25</v>
      </c>
      <c r="Z162">
        <v>110</v>
      </c>
      <c r="AA162">
        <v>71</v>
      </c>
      <c r="AB162" t="s">
        <v>284</v>
      </c>
    </row>
    <row r="163" spans="1:28">
      <c r="A163">
        <v>1033</v>
      </c>
      <c r="B163">
        <v>1203</v>
      </c>
      <c r="C163" t="s">
        <v>913</v>
      </c>
      <c r="D163" t="s">
        <v>202</v>
      </c>
      <c r="E163" t="s">
        <v>744</v>
      </c>
      <c r="F163" t="s">
        <v>7</v>
      </c>
      <c r="G163" t="s">
        <v>546</v>
      </c>
      <c r="H163" t="s">
        <v>289</v>
      </c>
      <c r="I163" t="s">
        <v>286</v>
      </c>
      <c r="J163" t="s">
        <v>285</v>
      </c>
      <c r="K163" t="s">
        <v>914</v>
      </c>
      <c r="L163" s="48">
        <v>43901</v>
      </c>
      <c r="M163" t="s">
        <v>134</v>
      </c>
      <c r="N163" t="s">
        <v>575</v>
      </c>
      <c r="O163">
        <v>9</v>
      </c>
      <c r="P163" t="s">
        <v>915</v>
      </c>
      <c r="Q163" t="s">
        <v>916</v>
      </c>
      <c r="R163" s="81" t="s">
        <v>917</v>
      </c>
      <c r="S163" s="81" t="s">
        <v>918</v>
      </c>
      <c r="T163" t="s">
        <v>31</v>
      </c>
      <c r="U163" t="s">
        <v>82</v>
      </c>
      <c r="V163">
        <v>21</v>
      </c>
      <c r="W163">
        <v>50</v>
      </c>
      <c r="X163">
        <v>55</v>
      </c>
      <c r="Y163">
        <v>25</v>
      </c>
      <c r="Z163">
        <v>110</v>
      </c>
      <c r="AA163">
        <v>71</v>
      </c>
      <c r="AB163" t="s">
        <v>284</v>
      </c>
    </row>
    <row r="164" spans="1:28">
      <c r="A164">
        <v>1033</v>
      </c>
      <c r="B164">
        <v>1203</v>
      </c>
      <c r="C164" t="s">
        <v>913</v>
      </c>
      <c r="D164" t="s">
        <v>202</v>
      </c>
      <c r="E164" t="s">
        <v>744</v>
      </c>
      <c r="F164" t="s">
        <v>367</v>
      </c>
      <c r="G164" t="s">
        <v>545</v>
      </c>
      <c r="H164" t="s">
        <v>309</v>
      </c>
      <c r="I164" t="s">
        <v>312</v>
      </c>
      <c r="J164" t="s">
        <v>318</v>
      </c>
      <c r="K164" t="s">
        <v>914</v>
      </c>
      <c r="L164" s="48">
        <v>43901</v>
      </c>
      <c r="M164" t="s">
        <v>134</v>
      </c>
      <c r="N164" t="s">
        <v>575</v>
      </c>
      <c r="O164">
        <v>9</v>
      </c>
      <c r="P164" t="s">
        <v>915</v>
      </c>
      <c r="Q164" t="s">
        <v>916</v>
      </c>
      <c r="R164" s="81" t="s">
        <v>917</v>
      </c>
      <c r="S164" s="81" t="s">
        <v>918</v>
      </c>
      <c r="T164" t="s">
        <v>37</v>
      </c>
      <c r="U164" t="s">
        <v>82</v>
      </c>
      <c r="V164">
        <v>21</v>
      </c>
      <c r="W164">
        <v>50</v>
      </c>
      <c r="X164">
        <v>55</v>
      </c>
      <c r="Y164">
        <v>25</v>
      </c>
      <c r="Z164">
        <v>110</v>
      </c>
      <c r="AA164">
        <v>71</v>
      </c>
      <c r="AB164" t="s">
        <v>284</v>
      </c>
    </row>
    <row r="165" spans="1:28">
      <c r="A165">
        <v>1033</v>
      </c>
      <c r="B165">
        <v>1203</v>
      </c>
      <c r="C165" t="s">
        <v>913</v>
      </c>
      <c r="D165" t="s">
        <v>202</v>
      </c>
      <c r="E165" t="s">
        <v>744</v>
      </c>
      <c r="F165" t="s">
        <v>369</v>
      </c>
      <c r="G165" t="s">
        <v>544</v>
      </c>
      <c r="H165" t="s">
        <v>318</v>
      </c>
      <c r="I165" t="s">
        <v>312</v>
      </c>
      <c r="J165" t="s">
        <v>319</v>
      </c>
      <c r="K165" t="s">
        <v>914</v>
      </c>
      <c r="L165" s="48">
        <v>43901</v>
      </c>
      <c r="M165" t="s">
        <v>134</v>
      </c>
      <c r="N165" t="s">
        <v>575</v>
      </c>
      <c r="O165">
        <v>9</v>
      </c>
      <c r="P165" t="s">
        <v>915</v>
      </c>
      <c r="Q165" t="s">
        <v>916</v>
      </c>
      <c r="R165" s="81" t="s">
        <v>917</v>
      </c>
      <c r="S165" s="81" t="s">
        <v>918</v>
      </c>
      <c r="T165" t="s">
        <v>113</v>
      </c>
      <c r="U165" t="s">
        <v>82</v>
      </c>
      <c r="V165">
        <v>21</v>
      </c>
      <c r="W165">
        <v>50</v>
      </c>
      <c r="X165">
        <v>55</v>
      </c>
      <c r="Y165">
        <v>25</v>
      </c>
      <c r="Z165">
        <v>110</v>
      </c>
      <c r="AA165">
        <v>71</v>
      </c>
      <c r="AB165" t="s">
        <v>284</v>
      </c>
    </row>
    <row r="166" spans="1:28">
      <c r="A166">
        <v>1201</v>
      </c>
      <c r="B166">
        <v>1092</v>
      </c>
      <c r="C166" t="s">
        <v>576</v>
      </c>
      <c r="D166" t="s">
        <v>93</v>
      </c>
      <c r="E166" t="s">
        <v>744</v>
      </c>
      <c r="F166" t="s">
        <v>5</v>
      </c>
      <c r="G166" t="s">
        <v>158</v>
      </c>
      <c r="H166" t="s">
        <v>303</v>
      </c>
      <c r="I166" t="s">
        <v>320</v>
      </c>
      <c r="J166" t="s">
        <v>285</v>
      </c>
      <c r="K166" t="s">
        <v>577</v>
      </c>
      <c r="L166" s="48">
        <v>43653</v>
      </c>
      <c r="M166" t="s">
        <v>134</v>
      </c>
      <c r="N166" t="s">
        <v>578</v>
      </c>
      <c r="O166">
        <v>2</v>
      </c>
      <c r="P166" t="s">
        <v>579</v>
      </c>
      <c r="Q166" t="s">
        <v>580</v>
      </c>
      <c r="R166" s="81" t="s">
        <v>683</v>
      </c>
      <c r="S166" s="81" t="s">
        <v>684</v>
      </c>
      <c r="T166" t="s">
        <v>32</v>
      </c>
      <c r="U166" t="s">
        <v>76</v>
      </c>
      <c r="V166">
        <v>44</v>
      </c>
      <c r="W166">
        <v>66</v>
      </c>
      <c r="X166">
        <v>97</v>
      </c>
      <c r="Y166">
        <v>72</v>
      </c>
      <c r="Z166">
        <v>142</v>
      </c>
      <c r="AA166">
        <v>109</v>
      </c>
      <c r="AB166" t="s">
        <v>284</v>
      </c>
    </row>
    <row r="167" spans="1:28">
      <c r="A167">
        <v>1201</v>
      </c>
      <c r="B167">
        <v>1092</v>
      </c>
      <c r="C167" t="s">
        <v>576</v>
      </c>
      <c r="D167" t="s">
        <v>93</v>
      </c>
      <c r="E167" t="s">
        <v>744</v>
      </c>
      <c r="F167" t="s">
        <v>8</v>
      </c>
      <c r="G167" t="s">
        <v>156</v>
      </c>
      <c r="H167" t="s">
        <v>291</v>
      </c>
      <c r="I167" t="s">
        <v>240</v>
      </c>
      <c r="J167" t="s">
        <v>314</v>
      </c>
      <c r="K167" t="s">
        <v>577</v>
      </c>
      <c r="L167" s="48">
        <v>43653</v>
      </c>
      <c r="M167" t="s">
        <v>134</v>
      </c>
      <c r="N167" t="s">
        <v>578</v>
      </c>
      <c r="O167">
        <v>2</v>
      </c>
      <c r="P167" t="s">
        <v>579</v>
      </c>
      <c r="Q167" t="s">
        <v>580</v>
      </c>
      <c r="R167" s="81" t="s">
        <v>683</v>
      </c>
      <c r="S167" s="81" t="s">
        <v>684</v>
      </c>
      <c r="T167" t="s">
        <v>30</v>
      </c>
      <c r="U167" t="s">
        <v>76</v>
      </c>
      <c r="V167">
        <v>44</v>
      </c>
      <c r="W167">
        <v>66</v>
      </c>
      <c r="X167">
        <v>97</v>
      </c>
      <c r="Y167">
        <v>72</v>
      </c>
      <c r="Z167">
        <v>142</v>
      </c>
      <c r="AA167">
        <v>109</v>
      </c>
      <c r="AB167" t="s">
        <v>284</v>
      </c>
    </row>
    <row r="168" spans="1:28">
      <c r="A168">
        <v>1201</v>
      </c>
      <c r="B168">
        <v>1092</v>
      </c>
      <c r="C168" t="s">
        <v>576</v>
      </c>
      <c r="D168" t="s">
        <v>93</v>
      </c>
      <c r="E168" t="s">
        <v>744</v>
      </c>
      <c r="F168" t="s">
        <v>7</v>
      </c>
      <c r="G168" t="s">
        <v>157</v>
      </c>
      <c r="H168" t="s">
        <v>306</v>
      </c>
      <c r="I168" t="s">
        <v>297</v>
      </c>
      <c r="J168" t="s">
        <v>295</v>
      </c>
      <c r="K168" t="s">
        <v>577</v>
      </c>
      <c r="L168" s="48">
        <v>43653</v>
      </c>
      <c r="M168" t="s">
        <v>134</v>
      </c>
      <c r="N168" t="s">
        <v>578</v>
      </c>
      <c r="O168">
        <v>2</v>
      </c>
      <c r="P168" t="s">
        <v>579</v>
      </c>
      <c r="Q168" t="s">
        <v>580</v>
      </c>
      <c r="R168" s="81" t="s">
        <v>683</v>
      </c>
      <c r="S168" s="81" t="s">
        <v>684</v>
      </c>
      <c r="T168" t="s">
        <v>31</v>
      </c>
      <c r="U168" t="s">
        <v>76</v>
      </c>
      <c r="V168">
        <v>44</v>
      </c>
      <c r="W168">
        <v>66</v>
      </c>
      <c r="X168">
        <v>97</v>
      </c>
      <c r="Y168">
        <v>72</v>
      </c>
      <c r="Z168">
        <v>142</v>
      </c>
      <c r="AA168">
        <v>109</v>
      </c>
      <c r="AB168" t="s">
        <v>284</v>
      </c>
    </row>
    <row r="169" spans="1:28">
      <c r="A169">
        <v>1201</v>
      </c>
      <c r="B169">
        <v>1092</v>
      </c>
      <c r="C169" t="s">
        <v>576</v>
      </c>
      <c r="D169" t="s">
        <v>93</v>
      </c>
      <c r="E169" t="s">
        <v>744</v>
      </c>
      <c r="F169" t="s">
        <v>367</v>
      </c>
      <c r="G169" t="s">
        <v>421</v>
      </c>
      <c r="H169" t="s">
        <v>309</v>
      </c>
      <c r="I169" t="s">
        <v>318</v>
      </c>
      <c r="J169" t="s">
        <v>312</v>
      </c>
      <c r="K169" t="s">
        <v>577</v>
      </c>
      <c r="L169" s="48">
        <v>43653</v>
      </c>
      <c r="M169" t="s">
        <v>134</v>
      </c>
      <c r="N169" t="s">
        <v>578</v>
      </c>
      <c r="O169">
        <v>2</v>
      </c>
      <c r="P169" t="s">
        <v>579</v>
      </c>
      <c r="Q169" t="s">
        <v>580</v>
      </c>
      <c r="R169" s="81" t="s">
        <v>683</v>
      </c>
      <c r="S169" s="81" t="s">
        <v>684</v>
      </c>
      <c r="T169" t="s">
        <v>37</v>
      </c>
      <c r="U169" t="s">
        <v>76</v>
      </c>
      <c r="V169">
        <v>44</v>
      </c>
      <c r="W169">
        <v>66</v>
      </c>
      <c r="X169">
        <v>97</v>
      </c>
      <c r="Y169">
        <v>72</v>
      </c>
      <c r="Z169">
        <v>142</v>
      </c>
      <c r="AA169">
        <v>109</v>
      </c>
      <c r="AB169" t="s">
        <v>284</v>
      </c>
    </row>
    <row r="170" spans="1:28">
      <c r="A170">
        <v>1201</v>
      </c>
      <c r="B170">
        <v>1092</v>
      </c>
      <c r="C170" t="s">
        <v>576</v>
      </c>
      <c r="D170" t="s">
        <v>93</v>
      </c>
      <c r="E170" t="s">
        <v>744</v>
      </c>
      <c r="F170" t="s">
        <v>369</v>
      </c>
      <c r="G170" t="s">
        <v>420</v>
      </c>
      <c r="H170" t="s">
        <v>309</v>
      </c>
      <c r="I170" t="s">
        <v>309</v>
      </c>
      <c r="J170" t="s">
        <v>312</v>
      </c>
      <c r="K170" t="s">
        <v>577</v>
      </c>
      <c r="L170" s="48">
        <v>43653</v>
      </c>
      <c r="M170" t="s">
        <v>134</v>
      </c>
      <c r="N170" t="s">
        <v>578</v>
      </c>
      <c r="O170">
        <v>2</v>
      </c>
      <c r="P170" t="s">
        <v>579</v>
      </c>
      <c r="Q170" t="s">
        <v>580</v>
      </c>
      <c r="R170" s="81" t="s">
        <v>683</v>
      </c>
      <c r="S170" s="81" t="s">
        <v>684</v>
      </c>
      <c r="T170" t="s">
        <v>113</v>
      </c>
      <c r="U170" t="s">
        <v>76</v>
      </c>
      <c r="V170">
        <v>44</v>
      </c>
      <c r="W170">
        <v>66</v>
      </c>
      <c r="X170">
        <v>97</v>
      </c>
      <c r="Y170">
        <v>72</v>
      </c>
      <c r="Z170">
        <v>142</v>
      </c>
      <c r="AA170">
        <v>109</v>
      </c>
      <c r="AB170" t="s">
        <v>284</v>
      </c>
    </row>
    <row r="171" spans="1:28">
      <c r="A171">
        <v>1202</v>
      </c>
      <c r="B171">
        <v>1070</v>
      </c>
      <c r="C171" t="s">
        <v>585</v>
      </c>
      <c r="D171" t="s">
        <v>93</v>
      </c>
      <c r="E171" t="s">
        <v>744</v>
      </c>
      <c r="F171" t="s">
        <v>369</v>
      </c>
      <c r="G171" t="s">
        <v>423</v>
      </c>
      <c r="H171" t="s">
        <v>309</v>
      </c>
      <c r="I171" t="s">
        <v>312</v>
      </c>
      <c r="J171" t="s">
        <v>318</v>
      </c>
      <c r="K171" t="s">
        <v>586</v>
      </c>
      <c r="L171" s="48">
        <v>43820</v>
      </c>
      <c r="M171" t="s">
        <v>134</v>
      </c>
      <c r="N171" t="s">
        <v>587</v>
      </c>
      <c r="O171">
        <v>2</v>
      </c>
      <c r="P171" t="s">
        <v>588</v>
      </c>
      <c r="Q171" t="s">
        <v>589</v>
      </c>
      <c r="R171" s="81" t="s">
        <v>687</v>
      </c>
      <c r="S171" s="81" t="s">
        <v>688</v>
      </c>
      <c r="T171" t="s">
        <v>113</v>
      </c>
      <c r="U171" t="s">
        <v>76</v>
      </c>
      <c r="V171">
        <v>53</v>
      </c>
      <c r="W171">
        <v>66</v>
      </c>
      <c r="X171">
        <v>97</v>
      </c>
      <c r="Y171">
        <v>77</v>
      </c>
      <c r="Z171">
        <v>142</v>
      </c>
      <c r="AA171">
        <v>115</v>
      </c>
      <c r="AB171" t="s">
        <v>284</v>
      </c>
    </row>
    <row r="172" spans="1:28">
      <c r="A172">
        <v>1202</v>
      </c>
      <c r="B172">
        <v>1070</v>
      </c>
      <c r="C172" t="s">
        <v>585</v>
      </c>
      <c r="D172" t="s">
        <v>93</v>
      </c>
      <c r="E172" t="s">
        <v>744</v>
      </c>
      <c r="F172" t="s">
        <v>367</v>
      </c>
      <c r="G172" t="s">
        <v>422</v>
      </c>
      <c r="H172" t="s">
        <v>309</v>
      </c>
      <c r="I172" t="s">
        <v>379</v>
      </c>
      <c r="J172" t="s">
        <v>318</v>
      </c>
      <c r="K172" t="s">
        <v>586</v>
      </c>
      <c r="L172" s="48">
        <v>43820</v>
      </c>
      <c r="M172" t="s">
        <v>134</v>
      </c>
      <c r="N172" t="s">
        <v>587</v>
      </c>
      <c r="O172">
        <v>2</v>
      </c>
      <c r="P172" t="s">
        <v>588</v>
      </c>
      <c r="Q172" t="s">
        <v>589</v>
      </c>
      <c r="R172" s="81" t="s">
        <v>687</v>
      </c>
      <c r="S172" s="81" t="s">
        <v>688</v>
      </c>
      <c r="T172" t="s">
        <v>37</v>
      </c>
      <c r="U172" t="s">
        <v>76</v>
      </c>
      <c r="V172">
        <v>53</v>
      </c>
      <c r="W172">
        <v>66</v>
      </c>
      <c r="X172">
        <v>97</v>
      </c>
      <c r="Y172">
        <v>77</v>
      </c>
      <c r="Z172">
        <v>142</v>
      </c>
      <c r="AA172">
        <v>115</v>
      </c>
      <c r="AB172" t="s">
        <v>284</v>
      </c>
    </row>
    <row r="173" spans="1:28">
      <c r="A173">
        <v>1202</v>
      </c>
      <c r="B173">
        <v>1070</v>
      </c>
      <c r="C173" t="s">
        <v>585</v>
      </c>
      <c r="D173" t="s">
        <v>93</v>
      </c>
      <c r="E173" t="s">
        <v>744</v>
      </c>
      <c r="F173" t="s">
        <v>7</v>
      </c>
      <c r="G173" t="s">
        <v>160</v>
      </c>
      <c r="H173" t="s">
        <v>301</v>
      </c>
      <c r="I173" t="s">
        <v>318</v>
      </c>
      <c r="J173" t="s">
        <v>287</v>
      </c>
      <c r="K173" t="s">
        <v>586</v>
      </c>
      <c r="L173" s="48">
        <v>43820</v>
      </c>
      <c r="M173" t="s">
        <v>134</v>
      </c>
      <c r="N173" t="s">
        <v>587</v>
      </c>
      <c r="O173">
        <v>2</v>
      </c>
      <c r="P173" t="s">
        <v>588</v>
      </c>
      <c r="Q173" t="s">
        <v>589</v>
      </c>
      <c r="R173" s="81" t="s">
        <v>687</v>
      </c>
      <c r="S173" s="81" t="s">
        <v>688</v>
      </c>
      <c r="T173" t="s">
        <v>31</v>
      </c>
      <c r="U173" t="s">
        <v>76</v>
      </c>
      <c r="V173">
        <v>53</v>
      </c>
      <c r="W173">
        <v>66</v>
      </c>
      <c r="X173">
        <v>97</v>
      </c>
      <c r="Y173">
        <v>77</v>
      </c>
      <c r="Z173">
        <v>142</v>
      </c>
      <c r="AA173">
        <v>115</v>
      </c>
      <c r="AB173" t="s">
        <v>284</v>
      </c>
    </row>
    <row r="174" spans="1:28">
      <c r="A174">
        <v>1202</v>
      </c>
      <c r="B174">
        <v>1070</v>
      </c>
      <c r="C174" t="s">
        <v>585</v>
      </c>
      <c r="D174" t="s">
        <v>93</v>
      </c>
      <c r="E174" t="s">
        <v>744</v>
      </c>
      <c r="F174" t="s">
        <v>8</v>
      </c>
      <c r="G174" t="s">
        <v>159</v>
      </c>
      <c r="H174" t="s">
        <v>287</v>
      </c>
      <c r="I174" t="s">
        <v>318</v>
      </c>
      <c r="J174" t="s">
        <v>287</v>
      </c>
      <c r="K174" t="s">
        <v>586</v>
      </c>
      <c r="L174" s="48">
        <v>43820</v>
      </c>
      <c r="M174" t="s">
        <v>134</v>
      </c>
      <c r="N174" t="s">
        <v>587</v>
      </c>
      <c r="O174">
        <v>2</v>
      </c>
      <c r="P174" t="s">
        <v>588</v>
      </c>
      <c r="Q174" t="s">
        <v>589</v>
      </c>
      <c r="R174" s="81" t="s">
        <v>687</v>
      </c>
      <c r="S174" s="81" t="s">
        <v>688</v>
      </c>
      <c r="T174" t="s">
        <v>30</v>
      </c>
      <c r="U174" t="s">
        <v>76</v>
      </c>
      <c r="V174">
        <v>53</v>
      </c>
      <c r="W174">
        <v>66</v>
      </c>
      <c r="X174">
        <v>97</v>
      </c>
      <c r="Y174">
        <v>77</v>
      </c>
      <c r="Z174">
        <v>142</v>
      </c>
      <c r="AA174">
        <v>115</v>
      </c>
      <c r="AB174" t="s">
        <v>284</v>
      </c>
    </row>
    <row r="175" spans="1:28">
      <c r="A175">
        <v>1202</v>
      </c>
      <c r="B175">
        <v>1070</v>
      </c>
      <c r="C175" t="s">
        <v>585</v>
      </c>
      <c r="D175" t="s">
        <v>93</v>
      </c>
      <c r="E175" t="s">
        <v>744</v>
      </c>
      <c r="F175" t="s">
        <v>5</v>
      </c>
      <c r="G175" t="s">
        <v>161</v>
      </c>
      <c r="H175" t="s">
        <v>285</v>
      </c>
      <c r="I175" t="s">
        <v>312</v>
      </c>
      <c r="J175" t="s">
        <v>287</v>
      </c>
      <c r="K175" t="s">
        <v>586</v>
      </c>
      <c r="L175" s="48">
        <v>43820</v>
      </c>
      <c r="M175" t="s">
        <v>134</v>
      </c>
      <c r="N175" t="s">
        <v>587</v>
      </c>
      <c r="O175">
        <v>2</v>
      </c>
      <c r="P175" t="s">
        <v>588</v>
      </c>
      <c r="Q175" t="s">
        <v>589</v>
      </c>
      <c r="R175" s="81" t="s">
        <v>687</v>
      </c>
      <c r="S175" s="81" t="s">
        <v>688</v>
      </c>
      <c r="T175" t="s">
        <v>32</v>
      </c>
      <c r="U175" t="s">
        <v>76</v>
      </c>
      <c r="V175">
        <v>53</v>
      </c>
      <c r="W175">
        <v>66</v>
      </c>
      <c r="X175">
        <v>97</v>
      </c>
      <c r="Y175">
        <v>77</v>
      </c>
      <c r="Z175">
        <v>142</v>
      </c>
      <c r="AA175">
        <v>115</v>
      </c>
      <c r="AB175" t="s">
        <v>284</v>
      </c>
    </row>
    <row r="176" spans="1:28">
      <c r="A176">
        <v>1203</v>
      </c>
      <c r="B176">
        <v>1062</v>
      </c>
      <c r="C176" t="s">
        <v>590</v>
      </c>
      <c r="D176" t="s">
        <v>93</v>
      </c>
      <c r="E176" t="s">
        <v>744</v>
      </c>
      <c r="F176" t="s">
        <v>5</v>
      </c>
      <c r="G176" t="s">
        <v>164</v>
      </c>
      <c r="H176" t="s">
        <v>295</v>
      </c>
      <c r="I176" t="s">
        <v>306</v>
      </c>
      <c r="J176" t="s">
        <v>295</v>
      </c>
      <c r="K176" t="s">
        <v>591</v>
      </c>
      <c r="L176" s="48">
        <v>43640</v>
      </c>
      <c r="M176" t="s">
        <v>134</v>
      </c>
      <c r="N176" t="s">
        <v>592</v>
      </c>
      <c r="O176">
        <v>3</v>
      </c>
      <c r="P176" t="s">
        <v>593</v>
      </c>
      <c r="Q176" t="s">
        <v>594</v>
      </c>
      <c r="R176" s="81" t="s">
        <v>689</v>
      </c>
      <c r="S176" s="81" t="s">
        <v>690</v>
      </c>
      <c r="T176" t="s">
        <v>32</v>
      </c>
      <c r="U176" t="s">
        <v>77</v>
      </c>
      <c r="V176">
        <v>55</v>
      </c>
      <c r="W176">
        <v>66</v>
      </c>
      <c r="X176">
        <v>97</v>
      </c>
      <c r="Y176">
        <v>83</v>
      </c>
      <c r="Z176">
        <v>142</v>
      </c>
      <c r="AA176">
        <v>120</v>
      </c>
      <c r="AB176" t="s">
        <v>284</v>
      </c>
    </row>
    <row r="177" spans="1:28">
      <c r="A177">
        <v>1203</v>
      </c>
      <c r="B177">
        <v>1062</v>
      </c>
      <c r="C177" t="s">
        <v>590</v>
      </c>
      <c r="D177" t="s">
        <v>93</v>
      </c>
      <c r="E177" t="s">
        <v>744</v>
      </c>
      <c r="F177" t="s">
        <v>8</v>
      </c>
      <c r="G177" t="s">
        <v>162</v>
      </c>
      <c r="H177" t="s">
        <v>298</v>
      </c>
      <c r="I177" t="s">
        <v>303</v>
      </c>
      <c r="J177" t="s">
        <v>298</v>
      </c>
      <c r="K177" t="s">
        <v>591</v>
      </c>
      <c r="L177" s="48">
        <v>43640</v>
      </c>
      <c r="M177" t="s">
        <v>134</v>
      </c>
      <c r="N177" t="s">
        <v>592</v>
      </c>
      <c r="O177">
        <v>3</v>
      </c>
      <c r="P177" t="s">
        <v>593</v>
      </c>
      <c r="Q177" t="s">
        <v>594</v>
      </c>
      <c r="R177" s="81" t="s">
        <v>689</v>
      </c>
      <c r="S177" s="81" t="s">
        <v>690</v>
      </c>
      <c r="T177" t="s">
        <v>30</v>
      </c>
      <c r="U177" t="s">
        <v>77</v>
      </c>
      <c r="V177">
        <v>55</v>
      </c>
      <c r="W177">
        <v>66</v>
      </c>
      <c r="X177">
        <v>97</v>
      </c>
      <c r="Y177">
        <v>83</v>
      </c>
      <c r="Z177">
        <v>142</v>
      </c>
      <c r="AA177">
        <v>120</v>
      </c>
      <c r="AB177" t="s">
        <v>284</v>
      </c>
    </row>
    <row r="178" spans="1:28">
      <c r="A178">
        <v>1203</v>
      </c>
      <c r="B178">
        <v>1062</v>
      </c>
      <c r="C178" t="s">
        <v>590</v>
      </c>
      <c r="D178" t="s">
        <v>93</v>
      </c>
      <c r="E178" t="s">
        <v>744</v>
      </c>
      <c r="F178" t="s">
        <v>7</v>
      </c>
      <c r="G178" t="s">
        <v>163</v>
      </c>
      <c r="H178" t="s">
        <v>310</v>
      </c>
      <c r="I178" t="s">
        <v>295</v>
      </c>
      <c r="J178" t="s">
        <v>292</v>
      </c>
      <c r="K178" t="s">
        <v>591</v>
      </c>
      <c r="L178" s="48">
        <v>43640</v>
      </c>
      <c r="M178" t="s">
        <v>134</v>
      </c>
      <c r="N178" t="s">
        <v>592</v>
      </c>
      <c r="O178">
        <v>3</v>
      </c>
      <c r="P178" t="s">
        <v>593</v>
      </c>
      <c r="Q178" t="s">
        <v>594</v>
      </c>
      <c r="R178" s="81" t="s">
        <v>689</v>
      </c>
      <c r="S178" s="81" t="s">
        <v>690</v>
      </c>
      <c r="T178" t="s">
        <v>31</v>
      </c>
      <c r="U178" t="s">
        <v>77</v>
      </c>
      <c r="V178">
        <v>55</v>
      </c>
      <c r="W178">
        <v>66</v>
      </c>
      <c r="X178">
        <v>97</v>
      </c>
      <c r="Y178">
        <v>83</v>
      </c>
      <c r="Z178">
        <v>142</v>
      </c>
      <c r="AA178">
        <v>120</v>
      </c>
      <c r="AB178" t="s">
        <v>284</v>
      </c>
    </row>
    <row r="179" spans="1:28">
      <c r="A179">
        <v>1203</v>
      </c>
      <c r="B179">
        <v>1062</v>
      </c>
      <c r="C179" t="s">
        <v>590</v>
      </c>
      <c r="D179" t="s">
        <v>93</v>
      </c>
      <c r="E179" t="s">
        <v>744</v>
      </c>
      <c r="F179" t="s">
        <v>367</v>
      </c>
      <c r="G179" t="s">
        <v>425</v>
      </c>
      <c r="H179" t="s">
        <v>318</v>
      </c>
      <c r="I179" t="s">
        <v>319</v>
      </c>
      <c r="J179" t="s">
        <v>319</v>
      </c>
      <c r="K179" t="s">
        <v>591</v>
      </c>
      <c r="L179" s="48">
        <v>43640</v>
      </c>
      <c r="M179" t="s">
        <v>134</v>
      </c>
      <c r="N179" t="s">
        <v>592</v>
      </c>
      <c r="O179">
        <v>3</v>
      </c>
      <c r="P179" t="s">
        <v>593</v>
      </c>
      <c r="Q179" t="s">
        <v>594</v>
      </c>
      <c r="R179" s="81" t="s">
        <v>689</v>
      </c>
      <c r="S179" s="81" t="s">
        <v>690</v>
      </c>
      <c r="T179" t="s">
        <v>37</v>
      </c>
      <c r="U179" t="s">
        <v>77</v>
      </c>
      <c r="V179">
        <v>55</v>
      </c>
      <c r="W179">
        <v>66</v>
      </c>
      <c r="X179">
        <v>97</v>
      </c>
      <c r="Y179">
        <v>83</v>
      </c>
      <c r="Z179">
        <v>142</v>
      </c>
      <c r="AA179">
        <v>120</v>
      </c>
      <c r="AB179" t="s">
        <v>284</v>
      </c>
    </row>
    <row r="180" spans="1:28">
      <c r="A180">
        <v>1203</v>
      </c>
      <c r="B180">
        <v>1062</v>
      </c>
      <c r="C180" t="s">
        <v>590</v>
      </c>
      <c r="D180" t="s">
        <v>93</v>
      </c>
      <c r="E180" t="s">
        <v>744</v>
      </c>
      <c r="F180" t="s">
        <v>369</v>
      </c>
      <c r="G180" t="s">
        <v>424</v>
      </c>
      <c r="H180" t="s">
        <v>309</v>
      </c>
      <c r="I180" t="s">
        <v>318</v>
      </c>
      <c r="J180" t="s">
        <v>312</v>
      </c>
      <c r="K180" t="s">
        <v>591</v>
      </c>
      <c r="L180" s="48">
        <v>43640</v>
      </c>
      <c r="M180" t="s">
        <v>134</v>
      </c>
      <c r="N180" t="s">
        <v>592</v>
      </c>
      <c r="O180">
        <v>3</v>
      </c>
      <c r="P180" t="s">
        <v>593</v>
      </c>
      <c r="Q180" t="s">
        <v>594</v>
      </c>
      <c r="R180" s="81" t="s">
        <v>689</v>
      </c>
      <c r="S180" s="81" t="s">
        <v>690</v>
      </c>
      <c r="T180" t="s">
        <v>113</v>
      </c>
      <c r="U180" t="s">
        <v>77</v>
      </c>
      <c r="V180">
        <v>55</v>
      </c>
      <c r="W180">
        <v>66</v>
      </c>
      <c r="X180">
        <v>97</v>
      </c>
      <c r="Y180">
        <v>83</v>
      </c>
      <c r="Z180">
        <v>142</v>
      </c>
      <c r="AA180">
        <v>120</v>
      </c>
      <c r="AB180" t="s">
        <v>284</v>
      </c>
    </row>
    <row r="181" spans="1:28">
      <c r="A181">
        <v>1204</v>
      </c>
      <c r="B181">
        <v>894</v>
      </c>
      <c r="C181" t="s">
        <v>482</v>
      </c>
      <c r="D181" t="s">
        <v>93</v>
      </c>
      <c r="E181" t="s">
        <v>744</v>
      </c>
      <c r="F181" t="s">
        <v>369</v>
      </c>
      <c r="G181" t="s">
        <v>427</v>
      </c>
      <c r="H181" t="s">
        <v>309</v>
      </c>
      <c r="I181" t="s">
        <v>318</v>
      </c>
      <c r="J181" t="s">
        <v>318</v>
      </c>
      <c r="K181" t="s">
        <v>484</v>
      </c>
      <c r="L181" s="48">
        <v>43360</v>
      </c>
      <c r="M181" t="s">
        <v>134</v>
      </c>
      <c r="N181" t="s">
        <v>485</v>
      </c>
      <c r="O181">
        <v>3</v>
      </c>
      <c r="P181" t="s">
        <v>486</v>
      </c>
      <c r="Q181" t="s">
        <v>487</v>
      </c>
      <c r="R181" s="81" t="s">
        <v>488</v>
      </c>
      <c r="S181" s="81" t="s">
        <v>489</v>
      </c>
      <c r="T181" t="s">
        <v>113</v>
      </c>
      <c r="U181" t="s">
        <v>77</v>
      </c>
      <c r="V181">
        <v>61</v>
      </c>
      <c r="W181">
        <v>66</v>
      </c>
      <c r="X181">
        <v>97</v>
      </c>
      <c r="Y181">
        <v>90</v>
      </c>
      <c r="Z181">
        <v>142</v>
      </c>
      <c r="AA181">
        <v>132</v>
      </c>
      <c r="AB181" t="s">
        <v>284</v>
      </c>
    </row>
    <row r="182" spans="1:28">
      <c r="A182">
        <v>1204</v>
      </c>
      <c r="B182">
        <v>894</v>
      </c>
      <c r="C182" t="s">
        <v>482</v>
      </c>
      <c r="D182" t="s">
        <v>93</v>
      </c>
      <c r="E182" t="s">
        <v>744</v>
      </c>
      <c r="F182" t="s">
        <v>367</v>
      </c>
      <c r="G182" t="s">
        <v>426</v>
      </c>
      <c r="H182" t="s">
        <v>309</v>
      </c>
      <c r="I182" t="s">
        <v>312</v>
      </c>
      <c r="J182" t="s">
        <v>318</v>
      </c>
      <c r="K182" t="s">
        <v>484</v>
      </c>
      <c r="L182" s="48">
        <v>43360</v>
      </c>
      <c r="M182" t="s">
        <v>134</v>
      </c>
      <c r="N182" t="s">
        <v>485</v>
      </c>
      <c r="O182">
        <v>3</v>
      </c>
      <c r="P182" t="s">
        <v>486</v>
      </c>
      <c r="Q182" t="s">
        <v>487</v>
      </c>
      <c r="R182" s="81" t="s">
        <v>488</v>
      </c>
      <c r="S182" s="81" t="s">
        <v>489</v>
      </c>
      <c r="T182" t="s">
        <v>37</v>
      </c>
      <c r="U182" t="s">
        <v>77</v>
      </c>
      <c r="V182">
        <v>61</v>
      </c>
      <c r="W182">
        <v>66</v>
      </c>
      <c r="X182">
        <v>97</v>
      </c>
      <c r="Y182">
        <v>90</v>
      </c>
      <c r="Z182">
        <v>142</v>
      </c>
      <c r="AA182">
        <v>132</v>
      </c>
      <c r="AB182" t="s">
        <v>284</v>
      </c>
    </row>
    <row r="183" spans="1:28">
      <c r="A183">
        <v>1204</v>
      </c>
      <c r="B183">
        <v>894</v>
      </c>
      <c r="C183" t="s">
        <v>482</v>
      </c>
      <c r="D183" t="s">
        <v>93</v>
      </c>
      <c r="E183" t="s">
        <v>744</v>
      </c>
      <c r="F183" t="s">
        <v>7</v>
      </c>
      <c r="G183" t="s">
        <v>166</v>
      </c>
      <c r="H183" t="s">
        <v>308</v>
      </c>
      <c r="I183" t="s">
        <v>311</v>
      </c>
      <c r="J183" t="s">
        <v>291</v>
      </c>
      <c r="K183" t="s">
        <v>484</v>
      </c>
      <c r="L183" s="48">
        <v>43360</v>
      </c>
      <c r="M183" t="s">
        <v>134</v>
      </c>
      <c r="N183" t="s">
        <v>485</v>
      </c>
      <c r="O183">
        <v>3</v>
      </c>
      <c r="P183" t="s">
        <v>486</v>
      </c>
      <c r="Q183" t="s">
        <v>487</v>
      </c>
      <c r="R183" s="81" t="s">
        <v>488</v>
      </c>
      <c r="S183" s="81" t="s">
        <v>489</v>
      </c>
      <c r="T183" t="s">
        <v>31</v>
      </c>
      <c r="U183" t="s">
        <v>77</v>
      </c>
      <c r="V183">
        <v>61</v>
      </c>
      <c r="W183">
        <v>66</v>
      </c>
      <c r="X183">
        <v>97</v>
      </c>
      <c r="Y183">
        <v>90</v>
      </c>
      <c r="Z183">
        <v>142</v>
      </c>
      <c r="AA183">
        <v>132</v>
      </c>
      <c r="AB183" t="s">
        <v>284</v>
      </c>
    </row>
    <row r="184" spans="1:28">
      <c r="A184">
        <v>1204</v>
      </c>
      <c r="B184">
        <v>894</v>
      </c>
      <c r="C184" t="s">
        <v>482</v>
      </c>
      <c r="D184" t="s">
        <v>93</v>
      </c>
      <c r="E184" t="s">
        <v>744</v>
      </c>
      <c r="F184" t="s">
        <v>8</v>
      </c>
      <c r="G184" t="s">
        <v>165</v>
      </c>
      <c r="H184" t="s">
        <v>313</v>
      </c>
      <c r="I184" t="s">
        <v>306</v>
      </c>
      <c r="J184" t="s">
        <v>298</v>
      </c>
      <c r="K184" t="s">
        <v>484</v>
      </c>
      <c r="L184" s="48">
        <v>43360</v>
      </c>
      <c r="M184" t="s">
        <v>134</v>
      </c>
      <c r="N184" t="s">
        <v>485</v>
      </c>
      <c r="O184">
        <v>3</v>
      </c>
      <c r="P184" t="s">
        <v>486</v>
      </c>
      <c r="Q184" t="s">
        <v>487</v>
      </c>
      <c r="R184" s="81" t="s">
        <v>488</v>
      </c>
      <c r="S184" s="81" t="s">
        <v>489</v>
      </c>
      <c r="T184" t="s">
        <v>30</v>
      </c>
      <c r="U184" t="s">
        <v>77</v>
      </c>
      <c r="V184">
        <v>61</v>
      </c>
      <c r="W184">
        <v>66</v>
      </c>
      <c r="X184">
        <v>97</v>
      </c>
      <c r="Y184">
        <v>90</v>
      </c>
      <c r="Z184">
        <v>142</v>
      </c>
      <c r="AA184">
        <v>132</v>
      </c>
      <c r="AB184" t="s">
        <v>284</v>
      </c>
    </row>
    <row r="185" spans="1:28">
      <c r="A185">
        <v>1204</v>
      </c>
      <c r="B185">
        <v>894</v>
      </c>
      <c r="C185" t="s">
        <v>482</v>
      </c>
      <c r="D185" t="s">
        <v>93</v>
      </c>
      <c r="E185" t="s">
        <v>744</v>
      </c>
      <c r="F185" t="s">
        <v>5</v>
      </c>
      <c r="G185" t="s">
        <v>167</v>
      </c>
      <c r="H185" t="s">
        <v>293</v>
      </c>
      <c r="I185" t="s">
        <v>313</v>
      </c>
      <c r="J185" t="s">
        <v>295</v>
      </c>
      <c r="K185" t="s">
        <v>484</v>
      </c>
      <c r="L185" s="48">
        <v>43360</v>
      </c>
      <c r="M185" t="s">
        <v>134</v>
      </c>
      <c r="N185" t="s">
        <v>485</v>
      </c>
      <c r="O185">
        <v>3</v>
      </c>
      <c r="P185" t="s">
        <v>486</v>
      </c>
      <c r="Q185" t="s">
        <v>487</v>
      </c>
      <c r="R185" s="81" t="s">
        <v>488</v>
      </c>
      <c r="S185" s="81" t="s">
        <v>489</v>
      </c>
      <c r="T185" t="s">
        <v>32</v>
      </c>
      <c r="U185" t="s">
        <v>77</v>
      </c>
      <c r="V185">
        <v>61</v>
      </c>
      <c r="W185">
        <v>66</v>
      </c>
      <c r="X185">
        <v>97</v>
      </c>
      <c r="Y185">
        <v>90</v>
      </c>
      <c r="Z185">
        <v>142</v>
      </c>
      <c r="AA185">
        <v>132</v>
      </c>
      <c r="AB185" t="s">
        <v>284</v>
      </c>
    </row>
    <row r="186" spans="1:28">
      <c r="A186">
        <v>1205</v>
      </c>
      <c r="B186">
        <v>1117</v>
      </c>
      <c r="C186" t="s">
        <v>919</v>
      </c>
      <c r="D186" t="s">
        <v>93</v>
      </c>
      <c r="E186" t="s">
        <v>744</v>
      </c>
      <c r="F186" t="s">
        <v>5</v>
      </c>
      <c r="G186" t="s">
        <v>170</v>
      </c>
      <c r="H186" t="s">
        <v>287</v>
      </c>
      <c r="I186" t="s">
        <v>313</v>
      </c>
      <c r="J186" t="s">
        <v>288</v>
      </c>
      <c r="K186" t="s">
        <v>920</v>
      </c>
      <c r="L186" s="48">
        <v>43249</v>
      </c>
      <c r="M186" t="s">
        <v>134</v>
      </c>
      <c r="N186" t="s">
        <v>559</v>
      </c>
      <c r="O186">
        <v>1</v>
      </c>
      <c r="P186" t="s">
        <v>921</v>
      </c>
      <c r="Q186" t="s">
        <v>922</v>
      </c>
      <c r="R186" s="81" t="s">
        <v>923</v>
      </c>
      <c r="S186" s="81" t="s">
        <v>924</v>
      </c>
      <c r="T186" t="s">
        <v>32</v>
      </c>
      <c r="U186" t="s">
        <v>75</v>
      </c>
      <c r="V186">
        <v>49</v>
      </c>
      <c r="W186">
        <v>66</v>
      </c>
      <c r="X186">
        <v>97</v>
      </c>
      <c r="Y186">
        <v>75</v>
      </c>
      <c r="Z186">
        <v>142</v>
      </c>
      <c r="AA186">
        <v>111</v>
      </c>
      <c r="AB186" t="s">
        <v>284</v>
      </c>
    </row>
    <row r="187" spans="1:28">
      <c r="A187">
        <v>1205</v>
      </c>
      <c r="B187">
        <v>1117</v>
      </c>
      <c r="C187" t="s">
        <v>919</v>
      </c>
      <c r="D187" t="s">
        <v>93</v>
      </c>
      <c r="E187" t="s">
        <v>744</v>
      </c>
      <c r="F187" t="s">
        <v>8</v>
      </c>
      <c r="G187" t="s">
        <v>168</v>
      </c>
      <c r="H187" t="s">
        <v>285</v>
      </c>
      <c r="I187" t="s">
        <v>298</v>
      </c>
      <c r="J187" t="s">
        <v>313</v>
      </c>
      <c r="K187" t="s">
        <v>920</v>
      </c>
      <c r="L187" s="48">
        <v>43249</v>
      </c>
      <c r="M187" t="s">
        <v>134</v>
      </c>
      <c r="N187" t="s">
        <v>559</v>
      </c>
      <c r="O187">
        <v>1</v>
      </c>
      <c r="P187" t="s">
        <v>921</v>
      </c>
      <c r="Q187" t="s">
        <v>922</v>
      </c>
      <c r="R187" s="81" t="s">
        <v>923</v>
      </c>
      <c r="S187" s="81" t="s">
        <v>924</v>
      </c>
      <c r="T187" t="s">
        <v>30</v>
      </c>
      <c r="U187" t="s">
        <v>75</v>
      </c>
      <c r="V187">
        <v>49</v>
      </c>
      <c r="W187">
        <v>66</v>
      </c>
      <c r="X187">
        <v>97</v>
      </c>
      <c r="Y187">
        <v>75</v>
      </c>
      <c r="Z187">
        <v>142</v>
      </c>
      <c r="AA187">
        <v>111</v>
      </c>
      <c r="AB187" t="s">
        <v>284</v>
      </c>
    </row>
    <row r="188" spans="1:28">
      <c r="A188">
        <v>1205</v>
      </c>
      <c r="B188">
        <v>1117</v>
      </c>
      <c r="C188" t="s">
        <v>919</v>
      </c>
      <c r="D188" t="s">
        <v>93</v>
      </c>
      <c r="E188" t="s">
        <v>744</v>
      </c>
      <c r="F188" t="s">
        <v>7</v>
      </c>
      <c r="G188" t="s">
        <v>169</v>
      </c>
      <c r="H188" t="s">
        <v>287</v>
      </c>
      <c r="I188" t="s">
        <v>313</v>
      </c>
      <c r="J188" t="s">
        <v>299</v>
      </c>
      <c r="K188" t="s">
        <v>920</v>
      </c>
      <c r="L188" s="48">
        <v>43249</v>
      </c>
      <c r="M188" t="s">
        <v>134</v>
      </c>
      <c r="N188" t="s">
        <v>559</v>
      </c>
      <c r="O188">
        <v>1</v>
      </c>
      <c r="P188" t="s">
        <v>921</v>
      </c>
      <c r="Q188" t="s">
        <v>922</v>
      </c>
      <c r="R188" s="81" t="s">
        <v>923</v>
      </c>
      <c r="S188" s="81" t="s">
        <v>924</v>
      </c>
      <c r="T188" t="s">
        <v>31</v>
      </c>
      <c r="U188" t="s">
        <v>75</v>
      </c>
      <c r="V188">
        <v>49</v>
      </c>
      <c r="W188">
        <v>66</v>
      </c>
      <c r="X188">
        <v>97</v>
      </c>
      <c r="Y188">
        <v>75</v>
      </c>
      <c r="Z188">
        <v>142</v>
      </c>
      <c r="AA188">
        <v>111</v>
      </c>
      <c r="AB188" t="s">
        <v>284</v>
      </c>
    </row>
    <row r="189" spans="1:28">
      <c r="A189">
        <v>1205</v>
      </c>
      <c r="B189">
        <v>1117</v>
      </c>
      <c r="C189" t="s">
        <v>919</v>
      </c>
      <c r="D189" t="s">
        <v>93</v>
      </c>
      <c r="E189" t="s">
        <v>744</v>
      </c>
      <c r="F189" t="s">
        <v>367</v>
      </c>
      <c r="G189" t="s">
        <v>429</v>
      </c>
      <c r="H189" t="s">
        <v>309</v>
      </c>
      <c r="I189" t="s">
        <v>318</v>
      </c>
      <c r="J189" t="s">
        <v>318</v>
      </c>
      <c r="K189" t="s">
        <v>920</v>
      </c>
      <c r="L189" s="48">
        <v>43249</v>
      </c>
      <c r="M189" t="s">
        <v>134</v>
      </c>
      <c r="N189" t="s">
        <v>559</v>
      </c>
      <c r="O189">
        <v>1</v>
      </c>
      <c r="P189" t="s">
        <v>921</v>
      </c>
      <c r="Q189" t="s">
        <v>922</v>
      </c>
      <c r="R189" s="81" t="s">
        <v>923</v>
      </c>
      <c r="S189" s="81" t="s">
        <v>924</v>
      </c>
      <c r="T189" t="s">
        <v>37</v>
      </c>
      <c r="U189" t="s">
        <v>75</v>
      </c>
      <c r="V189">
        <v>49</v>
      </c>
      <c r="W189">
        <v>66</v>
      </c>
      <c r="X189">
        <v>97</v>
      </c>
      <c r="Y189">
        <v>75</v>
      </c>
      <c r="Z189">
        <v>142</v>
      </c>
      <c r="AA189">
        <v>111</v>
      </c>
      <c r="AB189" t="s">
        <v>284</v>
      </c>
    </row>
    <row r="190" spans="1:28">
      <c r="A190">
        <v>1205</v>
      </c>
      <c r="B190">
        <v>1117</v>
      </c>
      <c r="C190" t="s">
        <v>919</v>
      </c>
      <c r="D190" t="s">
        <v>93</v>
      </c>
      <c r="E190" t="s">
        <v>744</v>
      </c>
      <c r="F190" t="s">
        <v>369</v>
      </c>
      <c r="G190" t="s">
        <v>428</v>
      </c>
      <c r="H190" t="s">
        <v>309</v>
      </c>
      <c r="I190" t="s">
        <v>312</v>
      </c>
      <c r="J190" t="s">
        <v>312</v>
      </c>
      <c r="K190" t="s">
        <v>920</v>
      </c>
      <c r="L190" s="48">
        <v>43249</v>
      </c>
      <c r="M190" t="s">
        <v>134</v>
      </c>
      <c r="N190" t="s">
        <v>559</v>
      </c>
      <c r="O190">
        <v>1</v>
      </c>
      <c r="P190" t="s">
        <v>921</v>
      </c>
      <c r="Q190" t="s">
        <v>922</v>
      </c>
      <c r="R190" s="81" t="s">
        <v>923</v>
      </c>
      <c r="S190" s="81" t="s">
        <v>924</v>
      </c>
      <c r="T190" t="s">
        <v>113</v>
      </c>
      <c r="U190" t="s">
        <v>75</v>
      </c>
      <c r="V190">
        <v>49</v>
      </c>
      <c r="W190">
        <v>66</v>
      </c>
      <c r="X190">
        <v>97</v>
      </c>
      <c r="Y190">
        <v>75</v>
      </c>
      <c r="Z190">
        <v>142</v>
      </c>
      <c r="AA190">
        <v>111</v>
      </c>
      <c r="AB190" t="s">
        <v>284</v>
      </c>
    </row>
    <row r="191" spans="1:28">
      <c r="A191">
        <v>1206</v>
      </c>
      <c r="B191">
        <v>1004</v>
      </c>
      <c r="C191" t="s">
        <v>595</v>
      </c>
      <c r="D191" t="s">
        <v>93</v>
      </c>
      <c r="E191" t="s">
        <v>744</v>
      </c>
      <c r="F191" t="s">
        <v>369</v>
      </c>
      <c r="G191" t="s">
        <v>431</v>
      </c>
      <c r="H191" t="s">
        <v>309</v>
      </c>
      <c r="I191" t="s">
        <v>309</v>
      </c>
      <c r="J191" t="s">
        <v>318</v>
      </c>
      <c r="K191" t="s">
        <v>596</v>
      </c>
      <c r="L191" s="48">
        <v>43646</v>
      </c>
      <c r="M191" t="s">
        <v>134</v>
      </c>
      <c r="N191" t="s">
        <v>571</v>
      </c>
      <c r="O191">
        <v>2</v>
      </c>
      <c r="P191" t="s">
        <v>500</v>
      </c>
      <c r="Q191" t="s">
        <v>597</v>
      </c>
      <c r="R191" s="81" t="s">
        <v>691</v>
      </c>
      <c r="S191" s="81" t="s">
        <v>692</v>
      </c>
      <c r="T191" t="s">
        <v>113</v>
      </c>
      <c r="U191" t="s">
        <v>76</v>
      </c>
      <c r="V191">
        <v>47</v>
      </c>
      <c r="W191">
        <v>66</v>
      </c>
      <c r="X191">
        <v>97</v>
      </c>
      <c r="Y191">
        <v>74</v>
      </c>
      <c r="Z191">
        <v>142</v>
      </c>
      <c r="AA191">
        <v>114</v>
      </c>
      <c r="AB191" t="s">
        <v>284</v>
      </c>
    </row>
    <row r="192" spans="1:28">
      <c r="A192">
        <v>1206</v>
      </c>
      <c r="B192">
        <v>1004</v>
      </c>
      <c r="C192" t="s">
        <v>595</v>
      </c>
      <c r="D192" t="s">
        <v>93</v>
      </c>
      <c r="E192" t="s">
        <v>744</v>
      </c>
      <c r="F192" t="s">
        <v>367</v>
      </c>
      <c r="G192" t="s">
        <v>430</v>
      </c>
      <c r="H192" t="s">
        <v>318</v>
      </c>
      <c r="I192" t="s">
        <v>318</v>
      </c>
      <c r="J192" t="s">
        <v>312</v>
      </c>
      <c r="K192" t="s">
        <v>596</v>
      </c>
      <c r="L192" s="48">
        <v>43646</v>
      </c>
      <c r="M192" t="s">
        <v>134</v>
      </c>
      <c r="N192" t="s">
        <v>571</v>
      </c>
      <c r="O192">
        <v>2</v>
      </c>
      <c r="P192" t="s">
        <v>500</v>
      </c>
      <c r="Q192" t="s">
        <v>597</v>
      </c>
      <c r="R192" s="81" t="s">
        <v>691</v>
      </c>
      <c r="S192" s="81" t="s">
        <v>692</v>
      </c>
      <c r="T192" t="s">
        <v>37</v>
      </c>
      <c r="U192" t="s">
        <v>76</v>
      </c>
      <c r="V192">
        <v>47</v>
      </c>
      <c r="W192">
        <v>66</v>
      </c>
      <c r="X192">
        <v>97</v>
      </c>
      <c r="Y192">
        <v>74</v>
      </c>
      <c r="Z192">
        <v>142</v>
      </c>
      <c r="AA192">
        <v>114</v>
      </c>
      <c r="AB192" t="s">
        <v>284</v>
      </c>
    </row>
    <row r="193" spans="1:28">
      <c r="A193">
        <v>1206</v>
      </c>
      <c r="B193">
        <v>1004</v>
      </c>
      <c r="C193" t="s">
        <v>595</v>
      </c>
      <c r="D193" t="s">
        <v>93</v>
      </c>
      <c r="E193" t="s">
        <v>744</v>
      </c>
      <c r="F193" t="s">
        <v>7</v>
      </c>
      <c r="G193" t="s">
        <v>172</v>
      </c>
      <c r="H193" t="s">
        <v>297</v>
      </c>
      <c r="I193" t="s">
        <v>317</v>
      </c>
      <c r="J193" t="s">
        <v>285</v>
      </c>
      <c r="K193" t="s">
        <v>596</v>
      </c>
      <c r="L193" s="48">
        <v>43646</v>
      </c>
      <c r="M193" t="s">
        <v>134</v>
      </c>
      <c r="N193" t="s">
        <v>571</v>
      </c>
      <c r="O193">
        <v>2</v>
      </c>
      <c r="P193" t="s">
        <v>500</v>
      </c>
      <c r="Q193" t="s">
        <v>597</v>
      </c>
      <c r="R193" s="81" t="s">
        <v>691</v>
      </c>
      <c r="S193" s="81" t="s">
        <v>692</v>
      </c>
      <c r="T193" t="s">
        <v>31</v>
      </c>
      <c r="U193" t="s">
        <v>76</v>
      </c>
      <c r="V193">
        <v>47</v>
      </c>
      <c r="W193">
        <v>66</v>
      </c>
      <c r="X193">
        <v>97</v>
      </c>
      <c r="Y193">
        <v>74</v>
      </c>
      <c r="Z193">
        <v>142</v>
      </c>
      <c r="AA193">
        <v>114</v>
      </c>
      <c r="AB193" t="s">
        <v>284</v>
      </c>
    </row>
    <row r="194" spans="1:28">
      <c r="A194">
        <v>1206</v>
      </c>
      <c r="B194">
        <v>1004</v>
      </c>
      <c r="C194" t="s">
        <v>595</v>
      </c>
      <c r="D194" t="s">
        <v>93</v>
      </c>
      <c r="E194" t="s">
        <v>744</v>
      </c>
      <c r="F194" t="s">
        <v>8</v>
      </c>
      <c r="G194" t="s">
        <v>171</v>
      </c>
      <c r="H194" t="s">
        <v>311</v>
      </c>
      <c r="I194" t="s">
        <v>319</v>
      </c>
      <c r="J194" t="s">
        <v>308</v>
      </c>
      <c r="K194" t="s">
        <v>596</v>
      </c>
      <c r="L194" s="48">
        <v>43646</v>
      </c>
      <c r="M194" t="s">
        <v>134</v>
      </c>
      <c r="N194" t="s">
        <v>571</v>
      </c>
      <c r="O194">
        <v>2</v>
      </c>
      <c r="P194" t="s">
        <v>500</v>
      </c>
      <c r="Q194" t="s">
        <v>597</v>
      </c>
      <c r="R194" s="81" t="s">
        <v>691</v>
      </c>
      <c r="S194" s="81" t="s">
        <v>692</v>
      </c>
      <c r="T194" t="s">
        <v>30</v>
      </c>
      <c r="U194" t="s">
        <v>76</v>
      </c>
      <c r="V194">
        <v>47</v>
      </c>
      <c r="W194">
        <v>66</v>
      </c>
      <c r="X194">
        <v>97</v>
      </c>
      <c r="Y194">
        <v>74</v>
      </c>
      <c r="Z194">
        <v>142</v>
      </c>
      <c r="AA194">
        <v>114</v>
      </c>
      <c r="AB194" t="s">
        <v>284</v>
      </c>
    </row>
    <row r="195" spans="1:28">
      <c r="A195">
        <v>1206</v>
      </c>
      <c r="B195">
        <v>1004</v>
      </c>
      <c r="C195" t="s">
        <v>595</v>
      </c>
      <c r="D195" t="s">
        <v>93</v>
      </c>
      <c r="E195" t="s">
        <v>744</v>
      </c>
      <c r="F195" t="s">
        <v>5</v>
      </c>
      <c r="G195" t="s">
        <v>173</v>
      </c>
      <c r="H195" t="s">
        <v>303</v>
      </c>
      <c r="I195" t="s">
        <v>319</v>
      </c>
      <c r="J195" t="s">
        <v>301</v>
      </c>
      <c r="K195" t="s">
        <v>596</v>
      </c>
      <c r="L195" s="48">
        <v>43646</v>
      </c>
      <c r="M195" t="s">
        <v>134</v>
      </c>
      <c r="N195" t="s">
        <v>571</v>
      </c>
      <c r="O195">
        <v>2</v>
      </c>
      <c r="P195" t="s">
        <v>500</v>
      </c>
      <c r="Q195" t="s">
        <v>597</v>
      </c>
      <c r="R195" s="81" t="s">
        <v>691</v>
      </c>
      <c r="S195" s="81" t="s">
        <v>692</v>
      </c>
      <c r="T195" t="s">
        <v>32</v>
      </c>
      <c r="U195" t="s">
        <v>76</v>
      </c>
      <c r="V195">
        <v>47</v>
      </c>
      <c r="W195">
        <v>66</v>
      </c>
      <c r="X195">
        <v>97</v>
      </c>
      <c r="Y195">
        <v>74</v>
      </c>
      <c r="Z195">
        <v>142</v>
      </c>
      <c r="AA195">
        <v>114</v>
      </c>
      <c r="AB195" t="s">
        <v>284</v>
      </c>
    </row>
    <row r="196" spans="1:28">
      <c r="A196">
        <v>1207</v>
      </c>
      <c r="B196">
        <v>1201</v>
      </c>
      <c r="C196" t="s">
        <v>925</v>
      </c>
      <c r="D196" t="s">
        <v>93</v>
      </c>
      <c r="E196" t="s">
        <v>744</v>
      </c>
      <c r="F196" t="s">
        <v>5</v>
      </c>
      <c r="G196" t="s">
        <v>176</v>
      </c>
      <c r="H196" t="s">
        <v>314</v>
      </c>
      <c r="I196" t="s">
        <v>320</v>
      </c>
      <c r="J196" t="s">
        <v>323</v>
      </c>
      <c r="K196" t="s">
        <v>926</v>
      </c>
      <c r="L196" s="48">
        <v>44135</v>
      </c>
      <c r="M196" t="s">
        <v>134</v>
      </c>
      <c r="N196" t="s">
        <v>927</v>
      </c>
      <c r="O196">
        <v>1</v>
      </c>
      <c r="P196" t="s">
        <v>928</v>
      </c>
      <c r="Q196" t="s">
        <v>929</v>
      </c>
      <c r="R196" s="81" t="s">
        <v>930</v>
      </c>
      <c r="S196" s="81" t="s">
        <v>931</v>
      </c>
      <c r="T196" t="s">
        <v>32</v>
      </c>
      <c r="U196" t="s">
        <v>75</v>
      </c>
      <c r="V196">
        <v>35</v>
      </c>
      <c r="W196">
        <v>66</v>
      </c>
      <c r="X196">
        <v>97</v>
      </c>
      <c r="Y196">
        <v>58</v>
      </c>
      <c r="Z196">
        <v>142</v>
      </c>
      <c r="AA196">
        <v>94</v>
      </c>
      <c r="AB196" t="s">
        <v>284</v>
      </c>
    </row>
    <row r="197" spans="1:28">
      <c r="A197">
        <v>1207</v>
      </c>
      <c r="B197">
        <v>1201</v>
      </c>
      <c r="C197" t="s">
        <v>925</v>
      </c>
      <c r="D197" t="s">
        <v>93</v>
      </c>
      <c r="E197" t="s">
        <v>744</v>
      </c>
      <c r="F197" t="s">
        <v>8</v>
      </c>
      <c r="G197" t="s">
        <v>174</v>
      </c>
      <c r="H197" t="s">
        <v>327</v>
      </c>
      <c r="I197" t="s">
        <v>323</v>
      </c>
      <c r="J197" t="s">
        <v>206</v>
      </c>
      <c r="K197" t="s">
        <v>926</v>
      </c>
      <c r="L197" s="48">
        <v>44135</v>
      </c>
      <c r="M197" t="s">
        <v>134</v>
      </c>
      <c r="N197" t="s">
        <v>927</v>
      </c>
      <c r="O197">
        <v>1</v>
      </c>
      <c r="P197" t="s">
        <v>928</v>
      </c>
      <c r="Q197" t="s">
        <v>929</v>
      </c>
      <c r="R197" s="81" t="s">
        <v>930</v>
      </c>
      <c r="S197" s="81" t="s">
        <v>931</v>
      </c>
      <c r="T197" t="s">
        <v>30</v>
      </c>
      <c r="U197" t="s">
        <v>75</v>
      </c>
      <c r="V197">
        <v>35</v>
      </c>
      <c r="W197">
        <v>66</v>
      </c>
      <c r="X197">
        <v>97</v>
      </c>
      <c r="Y197">
        <v>58</v>
      </c>
      <c r="Z197">
        <v>142</v>
      </c>
      <c r="AA197">
        <v>94</v>
      </c>
      <c r="AB197" t="s">
        <v>284</v>
      </c>
    </row>
    <row r="198" spans="1:28">
      <c r="A198">
        <v>1207</v>
      </c>
      <c r="B198">
        <v>1201</v>
      </c>
      <c r="C198" t="s">
        <v>925</v>
      </c>
      <c r="D198" t="s">
        <v>93</v>
      </c>
      <c r="E198" t="s">
        <v>744</v>
      </c>
      <c r="F198" t="s">
        <v>7</v>
      </c>
      <c r="G198" t="s">
        <v>175</v>
      </c>
      <c r="H198" t="s">
        <v>360</v>
      </c>
      <c r="I198" t="s">
        <v>227</v>
      </c>
      <c r="J198" t="s">
        <v>206</v>
      </c>
      <c r="K198" t="s">
        <v>926</v>
      </c>
      <c r="L198" s="48">
        <v>44135</v>
      </c>
      <c r="M198" t="s">
        <v>134</v>
      </c>
      <c r="N198" t="s">
        <v>927</v>
      </c>
      <c r="O198">
        <v>1</v>
      </c>
      <c r="P198" t="s">
        <v>928</v>
      </c>
      <c r="Q198" t="s">
        <v>929</v>
      </c>
      <c r="R198" s="81" t="s">
        <v>930</v>
      </c>
      <c r="S198" s="81" t="s">
        <v>931</v>
      </c>
      <c r="T198" t="s">
        <v>31</v>
      </c>
      <c r="U198" t="s">
        <v>75</v>
      </c>
      <c r="V198">
        <v>35</v>
      </c>
      <c r="W198">
        <v>66</v>
      </c>
      <c r="X198">
        <v>97</v>
      </c>
      <c r="Y198">
        <v>58</v>
      </c>
      <c r="Z198">
        <v>142</v>
      </c>
      <c r="AA198">
        <v>94</v>
      </c>
      <c r="AB198" t="s">
        <v>284</v>
      </c>
    </row>
    <row r="199" spans="1:28">
      <c r="A199">
        <v>1207</v>
      </c>
      <c r="B199">
        <v>1201</v>
      </c>
      <c r="C199" t="s">
        <v>925</v>
      </c>
      <c r="D199" t="s">
        <v>93</v>
      </c>
      <c r="E199" t="s">
        <v>744</v>
      </c>
      <c r="F199" t="s">
        <v>367</v>
      </c>
      <c r="G199" t="s">
        <v>433</v>
      </c>
      <c r="H199" t="s">
        <v>318</v>
      </c>
      <c r="I199" t="s">
        <v>319</v>
      </c>
      <c r="J199" t="s">
        <v>319</v>
      </c>
      <c r="K199" t="s">
        <v>926</v>
      </c>
      <c r="L199" s="48">
        <v>44135</v>
      </c>
      <c r="M199" t="s">
        <v>134</v>
      </c>
      <c r="N199" t="s">
        <v>927</v>
      </c>
      <c r="O199">
        <v>1</v>
      </c>
      <c r="P199" t="s">
        <v>928</v>
      </c>
      <c r="Q199" t="s">
        <v>929</v>
      </c>
      <c r="R199" s="81" t="s">
        <v>930</v>
      </c>
      <c r="S199" s="81" t="s">
        <v>931</v>
      </c>
      <c r="T199" t="s">
        <v>37</v>
      </c>
      <c r="U199" t="s">
        <v>75</v>
      </c>
      <c r="V199">
        <v>35</v>
      </c>
      <c r="W199">
        <v>66</v>
      </c>
      <c r="X199">
        <v>97</v>
      </c>
      <c r="Y199">
        <v>58</v>
      </c>
      <c r="Z199">
        <v>142</v>
      </c>
      <c r="AA199">
        <v>94</v>
      </c>
      <c r="AB199" t="s">
        <v>284</v>
      </c>
    </row>
    <row r="200" spans="1:28">
      <c r="A200">
        <v>1207</v>
      </c>
      <c r="B200">
        <v>1201</v>
      </c>
      <c r="C200" t="s">
        <v>925</v>
      </c>
      <c r="D200" t="s">
        <v>93</v>
      </c>
      <c r="E200" t="s">
        <v>744</v>
      </c>
      <c r="F200" t="s">
        <v>369</v>
      </c>
      <c r="G200" t="s">
        <v>432</v>
      </c>
      <c r="H200" t="s">
        <v>309</v>
      </c>
      <c r="I200" t="s">
        <v>318</v>
      </c>
      <c r="J200" t="s">
        <v>312</v>
      </c>
      <c r="K200" t="s">
        <v>926</v>
      </c>
      <c r="L200" s="48">
        <v>44135</v>
      </c>
      <c r="M200" t="s">
        <v>134</v>
      </c>
      <c r="N200" t="s">
        <v>927</v>
      </c>
      <c r="O200">
        <v>1</v>
      </c>
      <c r="P200" t="s">
        <v>928</v>
      </c>
      <c r="Q200" t="s">
        <v>929</v>
      </c>
      <c r="R200" s="81" t="s">
        <v>930</v>
      </c>
      <c r="S200" s="81" t="s">
        <v>931</v>
      </c>
      <c r="T200" t="s">
        <v>113</v>
      </c>
      <c r="U200" t="s">
        <v>75</v>
      </c>
      <c r="V200">
        <v>35</v>
      </c>
      <c r="W200">
        <v>66</v>
      </c>
      <c r="X200">
        <v>97</v>
      </c>
      <c r="Y200">
        <v>58</v>
      </c>
      <c r="Z200">
        <v>142</v>
      </c>
      <c r="AA200">
        <v>94</v>
      </c>
      <c r="AB200" t="s">
        <v>284</v>
      </c>
    </row>
    <row r="201" spans="1:28">
      <c r="A201">
        <v>1208</v>
      </c>
      <c r="B201">
        <v>1095</v>
      </c>
      <c r="C201" t="s">
        <v>603</v>
      </c>
      <c r="D201" t="s">
        <v>93</v>
      </c>
      <c r="E201" t="s">
        <v>744</v>
      </c>
      <c r="F201" t="s">
        <v>369</v>
      </c>
      <c r="G201" t="s">
        <v>435</v>
      </c>
      <c r="H201" t="s">
        <v>309</v>
      </c>
      <c r="I201" t="s">
        <v>312</v>
      </c>
      <c r="J201" t="s">
        <v>312</v>
      </c>
      <c r="K201" t="s">
        <v>604</v>
      </c>
      <c r="L201" s="48">
        <v>43295</v>
      </c>
      <c r="M201" t="s">
        <v>134</v>
      </c>
      <c r="N201" t="s">
        <v>605</v>
      </c>
      <c r="O201">
        <v>3</v>
      </c>
      <c r="P201" t="s">
        <v>606</v>
      </c>
      <c r="Q201" t="s">
        <v>607</v>
      </c>
      <c r="R201" s="81" t="s">
        <v>695</v>
      </c>
      <c r="S201" s="81" t="s">
        <v>696</v>
      </c>
      <c r="T201" t="s">
        <v>113</v>
      </c>
      <c r="U201" t="s">
        <v>77</v>
      </c>
      <c r="V201">
        <v>26</v>
      </c>
      <c r="W201">
        <v>66</v>
      </c>
      <c r="X201">
        <v>97</v>
      </c>
      <c r="Y201">
        <v>47</v>
      </c>
      <c r="Z201">
        <v>142</v>
      </c>
      <c r="AA201">
        <v>76</v>
      </c>
      <c r="AB201" t="s">
        <v>284</v>
      </c>
    </row>
    <row r="202" spans="1:28">
      <c r="A202">
        <v>1208</v>
      </c>
      <c r="B202">
        <v>1095</v>
      </c>
      <c r="C202" t="s">
        <v>603</v>
      </c>
      <c r="D202" t="s">
        <v>93</v>
      </c>
      <c r="E202" t="s">
        <v>744</v>
      </c>
      <c r="F202" t="s">
        <v>367</v>
      </c>
      <c r="G202" t="s">
        <v>434</v>
      </c>
      <c r="H202" t="s">
        <v>318</v>
      </c>
      <c r="I202" t="s">
        <v>312</v>
      </c>
      <c r="J202" t="s">
        <v>312</v>
      </c>
      <c r="K202" t="s">
        <v>604</v>
      </c>
      <c r="L202" s="48">
        <v>43295</v>
      </c>
      <c r="M202" t="s">
        <v>134</v>
      </c>
      <c r="N202" t="s">
        <v>605</v>
      </c>
      <c r="O202">
        <v>3</v>
      </c>
      <c r="P202" t="s">
        <v>606</v>
      </c>
      <c r="Q202" t="s">
        <v>607</v>
      </c>
      <c r="R202" s="81" t="s">
        <v>695</v>
      </c>
      <c r="S202" s="81" t="s">
        <v>696</v>
      </c>
      <c r="T202" t="s">
        <v>37</v>
      </c>
      <c r="U202" t="s">
        <v>77</v>
      </c>
      <c r="V202">
        <v>26</v>
      </c>
      <c r="W202">
        <v>66</v>
      </c>
      <c r="X202">
        <v>97</v>
      </c>
      <c r="Y202">
        <v>47</v>
      </c>
      <c r="Z202">
        <v>142</v>
      </c>
      <c r="AA202">
        <v>76</v>
      </c>
      <c r="AB202" t="s">
        <v>284</v>
      </c>
    </row>
    <row r="203" spans="1:28">
      <c r="A203">
        <v>1208</v>
      </c>
      <c r="B203">
        <v>1095</v>
      </c>
      <c r="C203" t="s">
        <v>603</v>
      </c>
      <c r="D203" t="s">
        <v>93</v>
      </c>
      <c r="E203" t="s">
        <v>744</v>
      </c>
      <c r="F203" t="s">
        <v>7</v>
      </c>
      <c r="G203" t="s">
        <v>154</v>
      </c>
      <c r="H203" t="s">
        <v>285</v>
      </c>
      <c r="I203" t="s">
        <v>306</v>
      </c>
      <c r="J203" t="s">
        <v>291</v>
      </c>
      <c r="K203" t="s">
        <v>604</v>
      </c>
      <c r="L203" s="48">
        <v>43295</v>
      </c>
      <c r="M203" t="s">
        <v>134</v>
      </c>
      <c r="N203" t="s">
        <v>605</v>
      </c>
      <c r="O203">
        <v>3</v>
      </c>
      <c r="P203" t="s">
        <v>606</v>
      </c>
      <c r="Q203" t="s">
        <v>607</v>
      </c>
      <c r="R203" s="81" t="s">
        <v>695</v>
      </c>
      <c r="S203" s="81" t="s">
        <v>696</v>
      </c>
      <c r="T203" t="s">
        <v>31</v>
      </c>
      <c r="U203" t="s">
        <v>77</v>
      </c>
      <c r="V203">
        <v>26</v>
      </c>
      <c r="W203">
        <v>66</v>
      </c>
      <c r="X203">
        <v>97</v>
      </c>
      <c r="Y203">
        <v>47</v>
      </c>
      <c r="Z203">
        <v>142</v>
      </c>
      <c r="AA203">
        <v>76</v>
      </c>
      <c r="AB203" t="s">
        <v>284</v>
      </c>
    </row>
    <row r="204" spans="1:28">
      <c r="A204">
        <v>1208</v>
      </c>
      <c r="B204">
        <v>1095</v>
      </c>
      <c r="C204" t="s">
        <v>603</v>
      </c>
      <c r="D204" t="s">
        <v>93</v>
      </c>
      <c r="E204" t="s">
        <v>744</v>
      </c>
      <c r="F204" t="s">
        <v>8</v>
      </c>
      <c r="G204" t="s">
        <v>153</v>
      </c>
      <c r="H204" t="s">
        <v>300</v>
      </c>
      <c r="I204" t="s">
        <v>303</v>
      </c>
      <c r="J204" t="s">
        <v>313</v>
      </c>
      <c r="K204" t="s">
        <v>604</v>
      </c>
      <c r="L204" s="48">
        <v>43295</v>
      </c>
      <c r="M204" t="s">
        <v>134</v>
      </c>
      <c r="N204" t="s">
        <v>605</v>
      </c>
      <c r="O204">
        <v>3</v>
      </c>
      <c r="P204" t="s">
        <v>606</v>
      </c>
      <c r="Q204" t="s">
        <v>607</v>
      </c>
      <c r="R204" s="81" t="s">
        <v>695</v>
      </c>
      <c r="S204" s="81" t="s">
        <v>696</v>
      </c>
      <c r="T204" t="s">
        <v>30</v>
      </c>
      <c r="U204" t="s">
        <v>77</v>
      </c>
      <c r="V204">
        <v>26</v>
      </c>
      <c r="W204">
        <v>66</v>
      </c>
      <c r="X204">
        <v>97</v>
      </c>
      <c r="Y204">
        <v>47</v>
      </c>
      <c r="Z204">
        <v>142</v>
      </c>
      <c r="AA204">
        <v>76</v>
      </c>
      <c r="AB204" t="s">
        <v>284</v>
      </c>
    </row>
    <row r="205" spans="1:28">
      <c r="A205">
        <v>1208</v>
      </c>
      <c r="B205">
        <v>1095</v>
      </c>
      <c r="C205" t="s">
        <v>603</v>
      </c>
      <c r="D205" t="s">
        <v>93</v>
      </c>
      <c r="E205" t="s">
        <v>744</v>
      </c>
      <c r="F205" t="s">
        <v>5</v>
      </c>
      <c r="G205" t="s">
        <v>155</v>
      </c>
      <c r="H205" t="s">
        <v>305</v>
      </c>
      <c r="I205" t="s">
        <v>292</v>
      </c>
      <c r="J205" t="s">
        <v>292</v>
      </c>
      <c r="K205" t="s">
        <v>604</v>
      </c>
      <c r="L205" s="48">
        <v>43295</v>
      </c>
      <c r="M205" t="s">
        <v>134</v>
      </c>
      <c r="N205" t="s">
        <v>605</v>
      </c>
      <c r="O205">
        <v>3</v>
      </c>
      <c r="P205" t="s">
        <v>606</v>
      </c>
      <c r="Q205" t="s">
        <v>607</v>
      </c>
      <c r="R205" s="81" t="s">
        <v>695</v>
      </c>
      <c r="S205" s="81" t="s">
        <v>696</v>
      </c>
      <c r="T205" t="s">
        <v>32</v>
      </c>
      <c r="U205" t="s">
        <v>77</v>
      </c>
      <c r="V205">
        <v>26</v>
      </c>
      <c r="W205">
        <v>66</v>
      </c>
      <c r="X205">
        <v>97</v>
      </c>
      <c r="Y205">
        <v>47</v>
      </c>
      <c r="Z205">
        <v>142</v>
      </c>
      <c r="AA205">
        <v>76</v>
      </c>
      <c r="AB205" t="s">
        <v>284</v>
      </c>
    </row>
    <row r="206" spans="1:28">
      <c r="A206">
        <v>1209</v>
      </c>
      <c r="B206">
        <v>1170</v>
      </c>
      <c r="C206" t="s">
        <v>932</v>
      </c>
      <c r="D206" t="s">
        <v>93</v>
      </c>
      <c r="E206" t="s">
        <v>744</v>
      </c>
      <c r="F206" t="s">
        <v>5</v>
      </c>
      <c r="G206" t="s">
        <v>143</v>
      </c>
      <c r="H206" t="s">
        <v>303</v>
      </c>
      <c r="I206" t="s">
        <v>742</v>
      </c>
      <c r="J206" t="s">
        <v>303</v>
      </c>
      <c r="K206" t="s">
        <v>933</v>
      </c>
      <c r="L206" s="48">
        <v>43744</v>
      </c>
      <c r="M206" t="s">
        <v>134</v>
      </c>
      <c r="N206" t="s">
        <v>934</v>
      </c>
      <c r="O206">
        <v>2</v>
      </c>
      <c r="P206" t="s">
        <v>935</v>
      </c>
      <c r="Q206" t="s">
        <v>936</v>
      </c>
      <c r="R206" s="81" t="s">
        <v>937</v>
      </c>
      <c r="S206" s="81" t="s">
        <v>938</v>
      </c>
      <c r="T206" t="s">
        <v>32</v>
      </c>
      <c r="U206" t="s">
        <v>76</v>
      </c>
      <c r="V206">
        <v>41</v>
      </c>
      <c r="W206">
        <v>66</v>
      </c>
      <c r="X206">
        <v>97</v>
      </c>
      <c r="Y206">
        <v>62</v>
      </c>
      <c r="Z206">
        <v>142</v>
      </c>
      <c r="AA206">
        <v>102</v>
      </c>
      <c r="AB206" t="s">
        <v>284</v>
      </c>
    </row>
    <row r="207" spans="1:28">
      <c r="A207">
        <v>1209</v>
      </c>
      <c r="B207">
        <v>1170</v>
      </c>
      <c r="C207" t="s">
        <v>932</v>
      </c>
      <c r="D207" t="s">
        <v>93</v>
      </c>
      <c r="E207" t="s">
        <v>744</v>
      </c>
      <c r="F207" t="s">
        <v>8</v>
      </c>
      <c r="G207" t="s">
        <v>141</v>
      </c>
      <c r="H207" t="s">
        <v>309</v>
      </c>
      <c r="I207" t="s">
        <v>315</v>
      </c>
      <c r="J207" t="s">
        <v>315</v>
      </c>
      <c r="K207" t="s">
        <v>933</v>
      </c>
      <c r="L207" s="48">
        <v>43744</v>
      </c>
      <c r="M207" t="s">
        <v>134</v>
      </c>
      <c r="N207" t="s">
        <v>934</v>
      </c>
      <c r="O207">
        <v>2</v>
      </c>
      <c r="P207" t="s">
        <v>935</v>
      </c>
      <c r="Q207" t="s">
        <v>936</v>
      </c>
      <c r="R207" s="81" t="s">
        <v>937</v>
      </c>
      <c r="S207" s="81" t="s">
        <v>938</v>
      </c>
      <c r="T207" t="s">
        <v>30</v>
      </c>
      <c r="U207" t="s">
        <v>76</v>
      </c>
      <c r="V207">
        <v>41</v>
      </c>
      <c r="W207">
        <v>66</v>
      </c>
      <c r="X207">
        <v>97</v>
      </c>
      <c r="Y207">
        <v>62</v>
      </c>
      <c r="Z207">
        <v>142</v>
      </c>
      <c r="AA207">
        <v>102</v>
      </c>
      <c r="AB207" t="s">
        <v>284</v>
      </c>
    </row>
    <row r="208" spans="1:28">
      <c r="A208">
        <v>1209</v>
      </c>
      <c r="B208">
        <v>1170</v>
      </c>
      <c r="C208" t="s">
        <v>932</v>
      </c>
      <c r="D208" t="s">
        <v>93</v>
      </c>
      <c r="E208" t="s">
        <v>744</v>
      </c>
      <c r="F208" t="s">
        <v>7</v>
      </c>
      <c r="G208" t="s">
        <v>142</v>
      </c>
      <c r="H208" t="s">
        <v>311</v>
      </c>
      <c r="I208" t="s">
        <v>316</v>
      </c>
      <c r="J208" t="s">
        <v>298</v>
      </c>
      <c r="K208" t="s">
        <v>933</v>
      </c>
      <c r="L208" s="48">
        <v>43744</v>
      </c>
      <c r="M208" t="s">
        <v>134</v>
      </c>
      <c r="N208" t="s">
        <v>934</v>
      </c>
      <c r="O208">
        <v>2</v>
      </c>
      <c r="P208" t="s">
        <v>935</v>
      </c>
      <c r="Q208" t="s">
        <v>936</v>
      </c>
      <c r="R208" s="81" t="s">
        <v>937</v>
      </c>
      <c r="S208" s="81" t="s">
        <v>938</v>
      </c>
      <c r="T208" t="s">
        <v>31</v>
      </c>
      <c r="U208" t="s">
        <v>76</v>
      </c>
      <c r="V208">
        <v>41</v>
      </c>
      <c r="W208">
        <v>66</v>
      </c>
      <c r="X208">
        <v>97</v>
      </c>
      <c r="Y208">
        <v>62</v>
      </c>
      <c r="Z208">
        <v>142</v>
      </c>
      <c r="AA208">
        <v>102</v>
      </c>
      <c r="AB208" t="s">
        <v>284</v>
      </c>
    </row>
    <row r="209" spans="1:28">
      <c r="A209">
        <v>1209</v>
      </c>
      <c r="B209">
        <v>1170</v>
      </c>
      <c r="C209" t="s">
        <v>932</v>
      </c>
      <c r="D209" t="s">
        <v>93</v>
      </c>
      <c r="E209" t="s">
        <v>744</v>
      </c>
      <c r="F209" t="s">
        <v>367</v>
      </c>
      <c r="G209" t="s">
        <v>436</v>
      </c>
      <c r="H209" t="s">
        <v>318</v>
      </c>
      <c r="I209" t="s">
        <v>318</v>
      </c>
      <c r="J209" t="s">
        <v>318</v>
      </c>
      <c r="K209" t="s">
        <v>933</v>
      </c>
      <c r="L209" s="48">
        <v>43744</v>
      </c>
      <c r="M209" t="s">
        <v>134</v>
      </c>
      <c r="N209" t="s">
        <v>934</v>
      </c>
      <c r="O209">
        <v>2</v>
      </c>
      <c r="P209" t="s">
        <v>935</v>
      </c>
      <c r="Q209" t="s">
        <v>936</v>
      </c>
      <c r="R209" s="81" t="s">
        <v>937</v>
      </c>
      <c r="S209" s="81" t="s">
        <v>938</v>
      </c>
      <c r="T209" t="s">
        <v>37</v>
      </c>
      <c r="U209" t="s">
        <v>76</v>
      </c>
      <c r="V209">
        <v>41</v>
      </c>
      <c r="W209">
        <v>66</v>
      </c>
      <c r="X209">
        <v>97</v>
      </c>
      <c r="Y209">
        <v>62</v>
      </c>
      <c r="Z209">
        <v>142</v>
      </c>
      <c r="AA209">
        <v>102</v>
      </c>
      <c r="AB209" t="s">
        <v>284</v>
      </c>
    </row>
    <row r="210" spans="1:28">
      <c r="A210">
        <v>1209</v>
      </c>
      <c r="B210">
        <v>1170</v>
      </c>
      <c r="C210" t="s">
        <v>932</v>
      </c>
      <c r="D210" t="s">
        <v>93</v>
      </c>
      <c r="E210" t="s">
        <v>744</v>
      </c>
      <c r="F210" t="s">
        <v>369</v>
      </c>
      <c r="G210" t="s">
        <v>437</v>
      </c>
      <c r="H210" t="s">
        <v>309</v>
      </c>
      <c r="I210" t="s">
        <v>309</v>
      </c>
      <c r="J210" t="s">
        <v>318</v>
      </c>
      <c r="K210" t="s">
        <v>933</v>
      </c>
      <c r="L210" s="48">
        <v>43744</v>
      </c>
      <c r="M210" t="s">
        <v>134</v>
      </c>
      <c r="N210" t="s">
        <v>934</v>
      </c>
      <c r="O210">
        <v>2</v>
      </c>
      <c r="P210" t="s">
        <v>935</v>
      </c>
      <c r="Q210" t="s">
        <v>936</v>
      </c>
      <c r="R210" s="81" t="s">
        <v>937</v>
      </c>
      <c r="S210" s="81" t="s">
        <v>938</v>
      </c>
      <c r="T210" t="s">
        <v>113</v>
      </c>
      <c r="U210" t="s">
        <v>76</v>
      </c>
      <c r="V210">
        <v>41</v>
      </c>
      <c r="W210">
        <v>66</v>
      </c>
      <c r="X210">
        <v>97</v>
      </c>
      <c r="Y210">
        <v>62</v>
      </c>
      <c r="Z210">
        <v>142</v>
      </c>
      <c r="AA210">
        <v>102</v>
      </c>
      <c r="AB210" t="s">
        <v>284</v>
      </c>
    </row>
    <row r="211" spans="1:28">
      <c r="A211">
        <v>1210</v>
      </c>
      <c r="B211">
        <v>1238</v>
      </c>
      <c r="C211" t="s">
        <v>939</v>
      </c>
      <c r="D211" t="s">
        <v>93</v>
      </c>
      <c r="E211" t="s">
        <v>744</v>
      </c>
      <c r="F211" t="s">
        <v>369</v>
      </c>
      <c r="G211" t="s">
        <v>438</v>
      </c>
      <c r="H211" t="s">
        <v>309</v>
      </c>
      <c r="I211" t="s">
        <v>318</v>
      </c>
      <c r="J211" t="s">
        <v>312</v>
      </c>
      <c r="K211" t="s">
        <v>940</v>
      </c>
      <c r="L211" s="48">
        <v>43487</v>
      </c>
      <c r="M211" t="s">
        <v>134</v>
      </c>
      <c r="N211" t="s">
        <v>941</v>
      </c>
      <c r="O211">
        <v>2</v>
      </c>
      <c r="P211" t="s">
        <v>942</v>
      </c>
      <c r="Q211" t="s">
        <v>943</v>
      </c>
      <c r="R211" s="81" t="s">
        <v>975</v>
      </c>
      <c r="S211" s="81" t="s">
        <v>976</v>
      </c>
      <c r="T211" t="s">
        <v>113</v>
      </c>
      <c r="U211" t="s">
        <v>76</v>
      </c>
      <c r="V211">
        <v>35</v>
      </c>
      <c r="W211">
        <v>66</v>
      </c>
      <c r="X211">
        <v>97</v>
      </c>
      <c r="Y211">
        <v>49</v>
      </c>
      <c r="Z211">
        <v>142</v>
      </c>
      <c r="AA211">
        <v>71</v>
      </c>
      <c r="AB211" t="s">
        <v>284</v>
      </c>
    </row>
    <row r="212" spans="1:28">
      <c r="A212">
        <v>1210</v>
      </c>
      <c r="B212">
        <v>1238</v>
      </c>
      <c r="C212" t="s">
        <v>939</v>
      </c>
      <c r="D212" t="s">
        <v>93</v>
      </c>
      <c r="E212" t="s">
        <v>744</v>
      </c>
      <c r="F212" t="s">
        <v>367</v>
      </c>
      <c r="G212" t="s">
        <v>439</v>
      </c>
      <c r="H212" t="s">
        <v>318</v>
      </c>
      <c r="I212" t="s">
        <v>318</v>
      </c>
      <c r="J212" t="s">
        <v>312</v>
      </c>
      <c r="K212" t="s">
        <v>940</v>
      </c>
      <c r="L212" s="48">
        <v>43487</v>
      </c>
      <c r="M212" t="s">
        <v>134</v>
      </c>
      <c r="N212" t="s">
        <v>941</v>
      </c>
      <c r="O212">
        <v>2</v>
      </c>
      <c r="P212" t="s">
        <v>942</v>
      </c>
      <c r="Q212" t="s">
        <v>943</v>
      </c>
      <c r="R212" s="81" t="s">
        <v>975</v>
      </c>
      <c r="S212" s="81" t="s">
        <v>976</v>
      </c>
      <c r="T212" t="s">
        <v>37</v>
      </c>
      <c r="U212" t="s">
        <v>76</v>
      </c>
      <c r="V212">
        <v>35</v>
      </c>
      <c r="W212">
        <v>66</v>
      </c>
      <c r="X212">
        <v>97</v>
      </c>
      <c r="Y212">
        <v>49</v>
      </c>
      <c r="Z212">
        <v>142</v>
      </c>
      <c r="AA212">
        <v>71</v>
      </c>
      <c r="AB212" t="s">
        <v>284</v>
      </c>
    </row>
    <row r="213" spans="1:28">
      <c r="A213">
        <v>1210</v>
      </c>
      <c r="B213">
        <v>1238</v>
      </c>
      <c r="C213" t="s">
        <v>939</v>
      </c>
      <c r="D213" t="s">
        <v>93</v>
      </c>
      <c r="E213" t="s">
        <v>744</v>
      </c>
      <c r="F213" t="s">
        <v>7</v>
      </c>
      <c r="G213" t="s">
        <v>151</v>
      </c>
      <c r="H213" t="s">
        <v>206</v>
      </c>
      <c r="I213" t="s">
        <v>227</v>
      </c>
      <c r="J213" t="s">
        <v>360</v>
      </c>
      <c r="K213" t="s">
        <v>940</v>
      </c>
      <c r="L213" s="48">
        <v>43487</v>
      </c>
      <c r="M213" t="s">
        <v>134</v>
      </c>
      <c r="N213" t="s">
        <v>941</v>
      </c>
      <c r="O213">
        <v>2</v>
      </c>
      <c r="P213" t="s">
        <v>942</v>
      </c>
      <c r="Q213" t="s">
        <v>943</v>
      </c>
      <c r="R213" s="81" t="s">
        <v>975</v>
      </c>
      <c r="S213" s="81" t="s">
        <v>976</v>
      </c>
      <c r="T213" t="s">
        <v>31</v>
      </c>
      <c r="U213" t="s">
        <v>76</v>
      </c>
      <c r="V213">
        <v>35</v>
      </c>
      <c r="W213">
        <v>66</v>
      </c>
      <c r="X213">
        <v>97</v>
      </c>
      <c r="Y213">
        <v>49</v>
      </c>
      <c r="Z213">
        <v>142</v>
      </c>
      <c r="AA213">
        <v>71</v>
      </c>
      <c r="AB213" t="s">
        <v>284</v>
      </c>
    </row>
    <row r="214" spans="1:28">
      <c r="A214">
        <v>1210</v>
      </c>
      <c r="B214">
        <v>1238</v>
      </c>
      <c r="C214" t="s">
        <v>939</v>
      </c>
      <c r="D214" t="s">
        <v>93</v>
      </c>
      <c r="E214" t="s">
        <v>744</v>
      </c>
      <c r="F214" t="s">
        <v>8</v>
      </c>
      <c r="G214" t="s">
        <v>150</v>
      </c>
      <c r="H214" t="s">
        <v>314</v>
      </c>
      <c r="I214" t="s">
        <v>206</v>
      </c>
      <c r="J214" t="s">
        <v>320</v>
      </c>
      <c r="K214" t="s">
        <v>940</v>
      </c>
      <c r="L214" s="48">
        <v>43487</v>
      </c>
      <c r="M214" t="s">
        <v>134</v>
      </c>
      <c r="N214" t="s">
        <v>941</v>
      </c>
      <c r="O214">
        <v>2</v>
      </c>
      <c r="P214" t="s">
        <v>942</v>
      </c>
      <c r="Q214" t="s">
        <v>943</v>
      </c>
      <c r="R214" s="81" t="s">
        <v>975</v>
      </c>
      <c r="S214" s="81" t="s">
        <v>976</v>
      </c>
      <c r="T214" t="s">
        <v>30</v>
      </c>
      <c r="U214" t="s">
        <v>76</v>
      </c>
      <c r="V214">
        <v>35</v>
      </c>
      <c r="W214">
        <v>66</v>
      </c>
      <c r="X214">
        <v>97</v>
      </c>
      <c r="Y214">
        <v>49</v>
      </c>
      <c r="Z214">
        <v>142</v>
      </c>
      <c r="AA214">
        <v>71</v>
      </c>
      <c r="AB214" t="s">
        <v>284</v>
      </c>
    </row>
    <row r="215" spans="1:28">
      <c r="A215">
        <v>1210</v>
      </c>
      <c r="B215">
        <v>1238</v>
      </c>
      <c r="C215" t="s">
        <v>939</v>
      </c>
      <c r="D215" t="s">
        <v>93</v>
      </c>
      <c r="E215" t="s">
        <v>744</v>
      </c>
      <c r="F215" t="s">
        <v>5</v>
      </c>
      <c r="G215" t="s">
        <v>152</v>
      </c>
      <c r="H215" t="s">
        <v>240</v>
      </c>
      <c r="I215" t="s">
        <v>321</v>
      </c>
      <c r="J215" t="s">
        <v>311</v>
      </c>
      <c r="K215" t="s">
        <v>940</v>
      </c>
      <c r="L215" s="48">
        <v>43487</v>
      </c>
      <c r="M215" t="s">
        <v>134</v>
      </c>
      <c r="N215" t="s">
        <v>941</v>
      </c>
      <c r="O215">
        <v>2</v>
      </c>
      <c r="P215" t="s">
        <v>942</v>
      </c>
      <c r="Q215" t="s">
        <v>943</v>
      </c>
      <c r="R215" s="81" t="s">
        <v>975</v>
      </c>
      <c r="S215" s="81" t="s">
        <v>976</v>
      </c>
      <c r="T215" t="s">
        <v>32</v>
      </c>
      <c r="U215" t="s">
        <v>76</v>
      </c>
      <c r="V215">
        <v>35</v>
      </c>
      <c r="W215">
        <v>66</v>
      </c>
      <c r="X215">
        <v>97</v>
      </c>
      <c r="Y215">
        <v>49</v>
      </c>
      <c r="Z215">
        <v>142</v>
      </c>
      <c r="AA215">
        <v>71</v>
      </c>
      <c r="AB215" t="s">
        <v>284</v>
      </c>
    </row>
    <row r="216" spans="1:28">
      <c r="A216">
        <v>1211</v>
      </c>
      <c r="B216">
        <v>995</v>
      </c>
      <c r="C216" t="s">
        <v>491</v>
      </c>
      <c r="D216" t="s">
        <v>93</v>
      </c>
      <c r="E216" t="s">
        <v>744</v>
      </c>
      <c r="F216" t="s">
        <v>5</v>
      </c>
      <c r="G216" t="s">
        <v>149</v>
      </c>
      <c r="H216" t="s">
        <v>293</v>
      </c>
      <c r="I216" t="s">
        <v>307</v>
      </c>
      <c r="J216" t="s">
        <v>289</v>
      </c>
      <c r="K216" t="s">
        <v>492</v>
      </c>
      <c r="L216" s="48">
        <v>43338</v>
      </c>
      <c r="M216" t="s">
        <v>134</v>
      </c>
      <c r="N216" t="s">
        <v>699</v>
      </c>
      <c r="O216">
        <v>2</v>
      </c>
      <c r="P216" t="s">
        <v>700</v>
      </c>
      <c r="Q216" t="s">
        <v>565</v>
      </c>
      <c r="R216" s="81" t="s">
        <v>566</v>
      </c>
      <c r="S216" s="81" t="s">
        <v>567</v>
      </c>
      <c r="T216" t="s">
        <v>32</v>
      </c>
      <c r="U216" t="s">
        <v>76</v>
      </c>
      <c r="V216">
        <v>46</v>
      </c>
      <c r="W216">
        <v>66</v>
      </c>
      <c r="X216">
        <v>97</v>
      </c>
      <c r="Y216">
        <v>73</v>
      </c>
      <c r="Z216">
        <v>142</v>
      </c>
      <c r="AA216">
        <v>106</v>
      </c>
      <c r="AB216" t="s">
        <v>284</v>
      </c>
    </row>
    <row r="217" spans="1:28">
      <c r="A217">
        <v>1211</v>
      </c>
      <c r="B217">
        <v>995</v>
      </c>
      <c r="C217" t="s">
        <v>491</v>
      </c>
      <c r="D217" t="s">
        <v>93</v>
      </c>
      <c r="E217" t="s">
        <v>744</v>
      </c>
      <c r="F217" t="s">
        <v>8</v>
      </c>
      <c r="G217" t="s">
        <v>147</v>
      </c>
      <c r="H217" t="s">
        <v>298</v>
      </c>
      <c r="I217" t="s">
        <v>317</v>
      </c>
      <c r="J217" t="s">
        <v>303</v>
      </c>
      <c r="K217" t="s">
        <v>492</v>
      </c>
      <c r="L217" s="48">
        <v>43338</v>
      </c>
      <c r="M217" t="s">
        <v>134</v>
      </c>
      <c r="N217" t="s">
        <v>699</v>
      </c>
      <c r="O217">
        <v>2</v>
      </c>
      <c r="P217" t="s">
        <v>700</v>
      </c>
      <c r="Q217" t="s">
        <v>565</v>
      </c>
      <c r="R217" s="81" t="s">
        <v>566</v>
      </c>
      <c r="S217" s="81" t="s">
        <v>567</v>
      </c>
      <c r="T217" t="s">
        <v>30</v>
      </c>
      <c r="U217" t="s">
        <v>76</v>
      </c>
      <c r="V217">
        <v>46</v>
      </c>
      <c r="W217">
        <v>66</v>
      </c>
      <c r="X217">
        <v>97</v>
      </c>
      <c r="Y217">
        <v>73</v>
      </c>
      <c r="Z217">
        <v>142</v>
      </c>
      <c r="AA217">
        <v>106</v>
      </c>
      <c r="AB217" t="s">
        <v>284</v>
      </c>
    </row>
    <row r="218" spans="1:28">
      <c r="A218">
        <v>1211</v>
      </c>
      <c r="B218">
        <v>995</v>
      </c>
      <c r="C218" t="s">
        <v>491</v>
      </c>
      <c r="D218" t="s">
        <v>93</v>
      </c>
      <c r="E218" t="s">
        <v>744</v>
      </c>
      <c r="F218" t="s">
        <v>7</v>
      </c>
      <c r="G218" t="s">
        <v>148</v>
      </c>
      <c r="H218" t="s">
        <v>308</v>
      </c>
      <c r="I218" t="s">
        <v>296</v>
      </c>
      <c r="J218" t="s">
        <v>291</v>
      </c>
      <c r="K218" t="s">
        <v>492</v>
      </c>
      <c r="L218" s="48">
        <v>43338</v>
      </c>
      <c r="M218" t="s">
        <v>134</v>
      </c>
      <c r="N218" t="s">
        <v>699</v>
      </c>
      <c r="O218">
        <v>2</v>
      </c>
      <c r="P218" t="s">
        <v>700</v>
      </c>
      <c r="Q218" t="s">
        <v>565</v>
      </c>
      <c r="R218" s="81" t="s">
        <v>566</v>
      </c>
      <c r="S218" s="81" t="s">
        <v>567</v>
      </c>
      <c r="T218" t="s">
        <v>31</v>
      </c>
      <c r="U218" t="s">
        <v>76</v>
      </c>
      <c r="V218">
        <v>46</v>
      </c>
      <c r="W218">
        <v>66</v>
      </c>
      <c r="X218">
        <v>97</v>
      </c>
      <c r="Y218">
        <v>73</v>
      </c>
      <c r="Z218">
        <v>142</v>
      </c>
      <c r="AA218">
        <v>106</v>
      </c>
      <c r="AB218" t="s">
        <v>284</v>
      </c>
    </row>
    <row r="219" spans="1:28">
      <c r="A219">
        <v>1211</v>
      </c>
      <c r="B219">
        <v>995</v>
      </c>
      <c r="C219" t="s">
        <v>491</v>
      </c>
      <c r="D219" t="s">
        <v>93</v>
      </c>
      <c r="E219" t="s">
        <v>744</v>
      </c>
      <c r="F219" t="s">
        <v>367</v>
      </c>
      <c r="G219" t="s">
        <v>441</v>
      </c>
      <c r="H219" t="s">
        <v>318</v>
      </c>
      <c r="I219" t="s">
        <v>312</v>
      </c>
      <c r="J219" t="s">
        <v>318</v>
      </c>
      <c r="K219" t="s">
        <v>492</v>
      </c>
      <c r="L219" s="48">
        <v>43338</v>
      </c>
      <c r="M219" t="s">
        <v>134</v>
      </c>
      <c r="N219" t="s">
        <v>699</v>
      </c>
      <c r="O219">
        <v>2</v>
      </c>
      <c r="P219" t="s">
        <v>700</v>
      </c>
      <c r="Q219" t="s">
        <v>565</v>
      </c>
      <c r="R219" s="81" t="s">
        <v>566</v>
      </c>
      <c r="S219" s="81" t="s">
        <v>567</v>
      </c>
      <c r="T219" t="s">
        <v>37</v>
      </c>
      <c r="U219" t="s">
        <v>76</v>
      </c>
      <c r="V219">
        <v>46</v>
      </c>
      <c r="W219">
        <v>66</v>
      </c>
      <c r="X219">
        <v>97</v>
      </c>
      <c r="Y219">
        <v>73</v>
      </c>
      <c r="Z219">
        <v>142</v>
      </c>
      <c r="AA219">
        <v>106</v>
      </c>
      <c r="AB219" t="s">
        <v>284</v>
      </c>
    </row>
    <row r="220" spans="1:28">
      <c r="A220">
        <v>1211</v>
      </c>
      <c r="B220">
        <v>995</v>
      </c>
      <c r="C220" t="s">
        <v>491</v>
      </c>
      <c r="D220" t="s">
        <v>93</v>
      </c>
      <c r="E220" t="s">
        <v>744</v>
      </c>
      <c r="F220" t="s">
        <v>369</v>
      </c>
      <c r="G220" t="s">
        <v>440</v>
      </c>
      <c r="H220" t="s">
        <v>309</v>
      </c>
      <c r="I220" t="s">
        <v>312</v>
      </c>
      <c r="J220" t="s">
        <v>318</v>
      </c>
      <c r="K220" t="s">
        <v>492</v>
      </c>
      <c r="L220" s="48">
        <v>43338</v>
      </c>
      <c r="M220" t="s">
        <v>134</v>
      </c>
      <c r="N220" t="s">
        <v>699</v>
      </c>
      <c r="O220">
        <v>2</v>
      </c>
      <c r="P220" t="s">
        <v>700</v>
      </c>
      <c r="Q220" t="s">
        <v>565</v>
      </c>
      <c r="R220" s="81" t="s">
        <v>566</v>
      </c>
      <c r="S220" s="81" t="s">
        <v>567</v>
      </c>
      <c r="T220" t="s">
        <v>113</v>
      </c>
      <c r="U220" t="s">
        <v>76</v>
      </c>
      <c r="V220">
        <v>46</v>
      </c>
      <c r="W220">
        <v>66</v>
      </c>
      <c r="X220">
        <v>97</v>
      </c>
      <c r="Y220">
        <v>73</v>
      </c>
      <c r="Z220">
        <v>142</v>
      </c>
      <c r="AA220">
        <v>106</v>
      </c>
      <c r="AB220" t="s">
        <v>284</v>
      </c>
    </row>
    <row r="221" spans="1:28">
      <c r="A221">
        <v>1212</v>
      </c>
      <c r="B221">
        <v>1066</v>
      </c>
      <c r="C221" t="s">
        <v>608</v>
      </c>
      <c r="D221" t="s">
        <v>93</v>
      </c>
      <c r="E221" t="s">
        <v>744</v>
      </c>
      <c r="F221" t="s">
        <v>369</v>
      </c>
      <c r="G221" t="s">
        <v>443</v>
      </c>
      <c r="H221" t="s">
        <v>309</v>
      </c>
      <c r="I221" t="s">
        <v>309</v>
      </c>
      <c r="J221" t="s">
        <v>318</v>
      </c>
      <c r="K221" t="s">
        <v>609</v>
      </c>
      <c r="L221" s="48">
        <v>42974</v>
      </c>
      <c r="M221" t="s">
        <v>134</v>
      </c>
      <c r="N221" t="s">
        <v>564</v>
      </c>
      <c r="O221">
        <v>3</v>
      </c>
      <c r="P221" t="s">
        <v>610</v>
      </c>
      <c r="Q221" t="s">
        <v>611</v>
      </c>
      <c r="R221" s="81" t="s">
        <v>697</v>
      </c>
      <c r="S221" s="81" t="s">
        <v>698</v>
      </c>
      <c r="T221" t="s">
        <v>113</v>
      </c>
      <c r="U221" t="s">
        <v>77</v>
      </c>
      <c r="V221">
        <v>46</v>
      </c>
      <c r="W221">
        <v>66</v>
      </c>
      <c r="X221">
        <v>97</v>
      </c>
      <c r="Y221">
        <v>68</v>
      </c>
      <c r="Z221">
        <v>142</v>
      </c>
      <c r="AA221">
        <v>102</v>
      </c>
      <c r="AB221" t="s">
        <v>284</v>
      </c>
    </row>
    <row r="222" spans="1:28">
      <c r="A222">
        <v>1212</v>
      </c>
      <c r="B222">
        <v>1066</v>
      </c>
      <c r="C222" t="s">
        <v>608</v>
      </c>
      <c r="D222" t="s">
        <v>93</v>
      </c>
      <c r="E222" t="s">
        <v>744</v>
      </c>
      <c r="F222" t="s">
        <v>367</v>
      </c>
      <c r="G222" t="s">
        <v>442</v>
      </c>
      <c r="H222" t="s">
        <v>318</v>
      </c>
      <c r="I222" t="s">
        <v>319</v>
      </c>
      <c r="J222" t="s">
        <v>312</v>
      </c>
      <c r="K222" t="s">
        <v>609</v>
      </c>
      <c r="L222" s="48">
        <v>42974</v>
      </c>
      <c r="M222" t="s">
        <v>134</v>
      </c>
      <c r="N222" t="s">
        <v>564</v>
      </c>
      <c r="O222">
        <v>3</v>
      </c>
      <c r="P222" t="s">
        <v>610</v>
      </c>
      <c r="Q222" t="s">
        <v>611</v>
      </c>
      <c r="R222" s="81" t="s">
        <v>697</v>
      </c>
      <c r="S222" s="81" t="s">
        <v>698</v>
      </c>
      <c r="T222" t="s">
        <v>37</v>
      </c>
      <c r="U222" t="s">
        <v>77</v>
      </c>
      <c r="V222">
        <v>46</v>
      </c>
      <c r="W222">
        <v>66</v>
      </c>
      <c r="X222">
        <v>97</v>
      </c>
      <c r="Y222">
        <v>68</v>
      </c>
      <c r="Z222">
        <v>142</v>
      </c>
      <c r="AA222">
        <v>102</v>
      </c>
      <c r="AB222" t="s">
        <v>284</v>
      </c>
    </row>
    <row r="223" spans="1:28">
      <c r="A223">
        <v>1212</v>
      </c>
      <c r="B223">
        <v>1066</v>
      </c>
      <c r="C223" t="s">
        <v>608</v>
      </c>
      <c r="D223" t="s">
        <v>93</v>
      </c>
      <c r="E223" t="s">
        <v>744</v>
      </c>
      <c r="F223" t="s">
        <v>7</v>
      </c>
      <c r="G223" t="s">
        <v>178</v>
      </c>
      <c r="H223" t="s">
        <v>313</v>
      </c>
      <c r="I223" t="s">
        <v>314</v>
      </c>
      <c r="J223" t="s">
        <v>285</v>
      </c>
      <c r="K223" t="s">
        <v>609</v>
      </c>
      <c r="L223" s="48">
        <v>42974</v>
      </c>
      <c r="M223" t="s">
        <v>134</v>
      </c>
      <c r="N223" t="s">
        <v>564</v>
      </c>
      <c r="O223">
        <v>3</v>
      </c>
      <c r="P223" t="s">
        <v>610</v>
      </c>
      <c r="Q223" t="s">
        <v>611</v>
      </c>
      <c r="R223" s="81" t="s">
        <v>697</v>
      </c>
      <c r="S223" s="81" t="s">
        <v>698</v>
      </c>
      <c r="T223" t="s">
        <v>31</v>
      </c>
      <c r="U223" t="s">
        <v>77</v>
      </c>
      <c r="V223">
        <v>46</v>
      </c>
      <c r="W223">
        <v>66</v>
      </c>
      <c r="X223">
        <v>97</v>
      </c>
      <c r="Y223">
        <v>68</v>
      </c>
      <c r="Z223">
        <v>142</v>
      </c>
      <c r="AA223">
        <v>102</v>
      </c>
      <c r="AB223" t="s">
        <v>284</v>
      </c>
    </row>
    <row r="224" spans="1:28">
      <c r="A224">
        <v>1212</v>
      </c>
      <c r="B224">
        <v>1066</v>
      </c>
      <c r="C224" t="s">
        <v>608</v>
      </c>
      <c r="D224" t="s">
        <v>93</v>
      </c>
      <c r="E224" t="s">
        <v>744</v>
      </c>
      <c r="F224" t="s">
        <v>8</v>
      </c>
      <c r="G224" t="s">
        <v>177</v>
      </c>
      <c r="H224" t="s">
        <v>296</v>
      </c>
      <c r="I224" t="s">
        <v>296</v>
      </c>
      <c r="J224" t="s">
        <v>298</v>
      </c>
      <c r="K224" t="s">
        <v>609</v>
      </c>
      <c r="L224" s="48">
        <v>42974</v>
      </c>
      <c r="M224" t="s">
        <v>134</v>
      </c>
      <c r="N224" t="s">
        <v>564</v>
      </c>
      <c r="O224">
        <v>3</v>
      </c>
      <c r="P224" t="s">
        <v>610</v>
      </c>
      <c r="Q224" t="s">
        <v>611</v>
      </c>
      <c r="R224" s="81" t="s">
        <v>697</v>
      </c>
      <c r="S224" s="81" t="s">
        <v>698</v>
      </c>
      <c r="T224" t="s">
        <v>30</v>
      </c>
      <c r="U224" t="s">
        <v>77</v>
      </c>
      <c r="V224">
        <v>46</v>
      </c>
      <c r="W224">
        <v>66</v>
      </c>
      <c r="X224">
        <v>97</v>
      </c>
      <c r="Y224">
        <v>68</v>
      </c>
      <c r="Z224">
        <v>142</v>
      </c>
      <c r="AA224">
        <v>102</v>
      </c>
      <c r="AB224" t="s">
        <v>284</v>
      </c>
    </row>
    <row r="225" spans="1:28">
      <c r="A225">
        <v>1212</v>
      </c>
      <c r="B225">
        <v>1066</v>
      </c>
      <c r="C225" t="s">
        <v>608</v>
      </c>
      <c r="D225" t="s">
        <v>93</v>
      </c>
      <c r="E225" t="s">
        <v>744</v>
      </c>
      <c r="F225" t="s">
        <v>5</v>
      </c>
      <c r="G225" t="s">
        <v>179</v>
      </c>
      <c r="H225" t="s">
        <v>309</v>
      </c>
      <c r="I225" t="s">
        <v>309</v>
      </c>
      <c r="J225" t="s">
        <v>301</v>
      </c>
      <c r="K225" t="s">
        <v>609</v>
      </c>
      <c r="L225" s="48">
        <v>42974</v>
      </c>
      <c r="M225" t="s">
        <v>134</v>
      </c>
      <c r="N225" t="s">
        <v>564</v>
      </c>
      <c r="O225">
        <v>3</v>
      </c>
      <c r="P225" t="s">
        <v>610</v>
      </c>
      <c r="Q225" t="s">
        <v>611</v>
      </c>
      <c r="R225" s="81" t="s">
        <v>697</v>
      </c>
      <c r="S225" s="81" t="s">
        <v>698</v>
      </c>
      <c r="T225" t="s">
        <v>32</v>
      </c>
      <c r="U225" t="s">
        <v>77</v>
      </c>
      <c r="V225">
        <v>46</v>
      </c>
      <c r="W225">
        <v>66</v>
      </c>
      <c r="X225">
        <v>97</v>
      </c>
      <c r="Y225">
        <v>68</v>
      </c>
      <c r="Z225">
        <v>142</v>
      </c>
      <c r="AA225">
        <v>102</v>
      </c>
      <c r="AB225" t="s">
        <v>284</v>
      </c>
    </row>
    <row r="226" spans="1:28">
      <c r="A226">
        <v>1213</v>
      </c>
      <c r="B226">
        <v>1001</v>
      </c>
      <c r="C226" t="s">
        <v>612</v>
      </c>
      <c r="D226" t="s">
        <v>93</v>
      </c>
      <c r="E226" t="s">
        <v>744</v>
      </c>
      <c r="F226" t="s">
        <v>5</v>
      </c>
      <c r="G226" t="s">
        <v>146</v>
      </c>
      <c r="H226" t="s">
        <v>291</v>
      </c>
      <c r="I226" t="s">
        <v>292</v>
      </c>
      <c r="J226" t="s">
        <v>305</v>
      </c>
      <c r="K226" t="s">
        <v>613</v>
      </c>
      <c r="L226" s="48">
        <v>43087</v>
      </c>
      <c r="M226" t="s">
        <v>134</v>
      </c>
      <c r="N226" t="s">
        <v>614</v>
      </c>
      <c r="O226">
        <v>9</v>
      </c>
      <c r="P226" t="s">
        <v>615</v>
      </c>
      <c r="Q226" t="s">
        <v>616</v>
      </c>
      <c r="R226" s="81" t="s">
        <v>701</v>
      </c>
      <c r="S226" s="81" t="s">
        <v>702</v>
      </c>
      <c r="T226" t="s">
        <v>32</v>
      </c>
      <c r="U226" t="s">
        <v>82</v>
      </c>
      <c r="V226">
        <v>58</v>
      </c>
      <c r="W226">
        <v>66</v>
      </c>
      <c r="X226">
        <v>97</v>
      </c>
      <c r="Y226">
        <v>89</v>
      </c>
      <c r="Z226">
        <v>142</v>
      </c>
      <c r="AA226">
        <v>126</v>
      </c>
      <c r="AB226" t="s">
        <v>284</v>
      </c>
    </row>
    <row r="227" spans="1:28">
      <c r="A227">
        <v>1213</v>
      </c>
      <c r="B227">
        <v>1001</v>
      </c>
      <c r="C227" t="s">
        <v>612</v>
      </c>
      <c r="D227" t="s">
        <v>93</v>
      </c>
      <c r="E227" t="s">
        <v>744</v>
      </c>
      <c r="F227" t="s">
        <v>8</v>
      </c>
      <c r="G227" t="s">
        <v>144</v>
      </c>
      <c r="H227" t="s">
        <v>291</v>
      </c>
      <c r="I227" t="s">
        <v>294</v>
      </c>
      <c r="J227" t="s">
        <v>304</v>
      </c>
      <c r="K227" t="s">
        <v>613</v>
      </c>
      <c r="L227" s="48">
        <v>43087</v>
      </c>
      <c r="M227" t="s">
        <v>134</v>
      </c>
      <c r="N227" t="s">
        <v>614</v>
      </c>
      <c r="O227">
        <v>9</v>
      </c>
      <c r="P227" t="s">
        <v>615</v>
      </c>
      <c r="Q227" t="s">
        <v>616</v>
      </c>
      <c r="R227" s="81" t="s">
        <v>701</v>
      </c>
      <c r="S227" s="81" t="s">
        <v>702</v>
      </c>
      <c r="T227" t="s">
        <v>30</v>
      </c>
      <c r="U227" t="s">
        <v>82</v>
      </c>
      <c r="V227">
        <v>58</v>
      </c>
      <c r="W227">
        <v>66</v>
      </c>
      <c r="X227">
        <v>97</v>
      </c>
      <c r="Y227">
        <v>89</v>
      </c>
      <c r="Z227">
        <v>142</v>
      </c>
      <c r="AA227">
        <v>126</v>
      </c>
      <c r="AB227" t="s">
        <v>284</v>
      </c>
    </row>
    <row r="228" spans="1:28">
      <c r="A228">
        <v>1213</v>
      </c>
      <c r="B228">
        <v>1001</v>
      </c>
      <c r="C228" t="s">
        <v>612</v>
      </c>
      <c r="D228" t="s">
        <v>93</v>
      </c>
      <c r="E228" t="s">
        <v>744</v>
      </c>
      <c r="F228" t="s">
        <v>7</v>
      </c>
      <c r="G228" t="s">
        <v>145</v>
      </c>
      <c r="H228" t="s">
        <v>301</v>
      </c>
      <c r="I228" t="s">
        <v>291</v>
      </c>
      <c r="J228" t="s">
        <v>304</v>
      </c>
      <c r="K228" t="s">
        <v>613</v>
      </c>
      <c r="L228" s="48">
        <v>43087</v>
      </c>
      <c r="M228" t="s">
        <v>134</v>
      </c>
      <c r="N228" t="s">
        <v>614</v>
      </c>
      <c r="O228">
        <v>9</v>
      </c>
      <c r="P228" t="s">
        <v>615</v>
      </c>
      <c r="Q228" t="s">
        <v>616</v>
      </c>
      <c r="R228" s="81" t="s">
        <v>701</v>
      </c>
      <c r="S228" s="81" t="s">
        <v>702</v>
      </c>
      <c r="T228" t="s">
        <v>31</v>
      </c>
      <c r="U228" t="s">
        <v>82</v>
      </c>
      <c r="V228">
        <v>58</v>
      </c>
      <c r="W228">
        <v>66</v>
      </c>
      <c r="X228">
        <v>97</v>
      </c>
      <c r="Y228">
        <v>89</v>
      </c>
      <c r="Z228">
        <v>142</v>
      </c>
      <c r="AA228">
        <v>126</v>
      </c>
      <c r="AB228" t="s">
        <v>284</v>
      </c>
    </row>
    <row r="229" spans="1:28">
      <c r="A229">
        <v>1213</v>
      </c>
      <c r="B229">
        <v>1001</v>
      </c>
      <c r="C229" t="s">
        <v>612</v>
      </c>
      <c r="D229" t="s">
        <v>93</v>
      </c>
      <c r="E229" t="s">
        <v>744</v>
      </c>
      <c r="F229" t="s">
        <v>367</v>
      </c>
      <c r="G229" t="s">
        <v>445</v>
      </c>
      <c r="H229" t="s">
        <v>312</v>
      </c>
      <c r="I229" t="s">
        <v>312</v>
      </c>
      <c r="J229" t="s">
        <v>318</v>
      </c>
      <c r="K229" t="s">
        <v>613</v>
      </c>
      <c r="L229" s="48">
        <v>43087</v>
      </c>
      <c r="M229" t="s">
        <v>134</v>
      </c>
      <c r="N229" t="s">
        <v>614</v>
      </c>
      <c r="O229">
        <v>9</v>
      </c>
      <c r="P229" t="s">
        <v>615</v>
      </c>
      <c r="Q229" t="s">
        <v>616</v>
      </c>
      <c r="R229" s="81" t="s">
        <v>701</v>
      </c>
      <c r="S229" s="81" t="s">
        <v>702</v>
      </c>
      <c r="T229" t="s">
        <v>37</v>
      </c>
      <c r="U229" t="s">
        <v>82</v>
      </c>
      <c r="V229">
        <v>58</v>
      </c>
      <c r="W229">
        <v>66</v>
      </c>
      <c r="X229">
        <v>97</v>
      </c>
      <c r="Y229">
        <v>89</v>
      </c>
      <c r="Z229">
        <v>142</v>
      </c>
      <c r="AA229">
        <v>126</v>
      </c>
      <c r="AB229" t="s">
        <v>284</v>
      </c>
    </row>
    <row r="230" spans="1:28">
      <c r="A230">
        <v>1213</v>
      </c>
      <c r="B230">
        <v>1001</v>
      </c>
      <c r="C230" t="s">
        <v>612</v>
      </c>
      <c r="D230" t="s">
        <v>93</v>
      </c>
      <c r="E230" t="s">
        <v>744</v>
      </c>
      <c r="F230" t="s">
        <v>369</v>
      </c>
      <c r="G230" t="s">
        <v>444</v>
      </c>
      <c r="H230" t="s">
        <v>309</v>
      </c>
      <c r="I230" t="s">
        <v>318</v>
      </c>
      <c r="J230" t="s">
        <v>312</v>
      </c>
      <c r="K230" t="s">
        <v>613</v>
      </c>
      <c r="L230" s="48">
        <v>43087</v>
      </c>
      <c r="M230" t="s">
        <v>134</v>
      </c>
      <c r="N230" t="s">
        <v>614</v>
      </c>
      <c r="O230">
        <v>9</v>
      </c>
      <c r="P230" t="s">
        <v>615</v>
      </c>
      <c r="Q230" t="s">
        <v>616</v>
      </c>
      <c r="R230" s="81" t="s">
        <v>701</v>
      </c>
      <c r="S230" s="81" t="s">
        <v>702</v>
      </c>
      <c r="T230" t="s">
        <v>113</v>
      </c>
      <c r="U230" t="s">
        <v>82</v>
      </c>
      <c r="V230">
        <v>58</v>
      </c>
      <c r="W230">
        <v>66</v>
      </c>
      <c r="X230">
        <v>97</v>
      </c>
      <c r="Y230">
        <v>89</v>
      </c>
      <c r="Z230">
        <v>142</v>
      </c>
      <c r="AA230">
        <v>126</v>
      </c>
      <c r="AB230" t="s">
        <v>284</v>
      </c>
    </row>
    <row r="231" spans="1:28">
      <c r="A231">
        <v>1215</v>
      </c>
      <c r="B231">
        <v>1090</v>
      </c>
      <c r="C231" t="s">
        <v>617</v>
      </c>
      <c r="D231" t="s">
        <v>93</v>
      </c>
      <c r="E231" t="s">
        <v>744</v>
      </c>
      <c r="F231" t="s">
        <v>369</v>
      </c>
      <c r="G231" t="s">
        <v>446</v>
      </c>
      <c r="H231" t="s">
        <v>309</v>
      </c>
      <c r="I231" t="s">
        <v>309</v>
      </c>
      <c r="J231" t="s">
        <v>312</v>
      </c>
      <c r="K231" t="s">
        <v>618</v>
      </c>
      <c r="L231" s="48">
        <v>43317</v>
      </c>
      <c r="M231" t="s">
        <v>134</v>
      </c>
      <c r="N231" t="s">
        <v>703</v>
      </c>
      <c r="O231">
        <v>2</v>
      </c>
      <c r="P231" t="s">
        <v>619</v>
      </c>
      <c r="Q231" t="s">
        <v>620</v>
      </c>
      <c r="R231" s="81" t="s">
        <v>704</v>
      </c>
      <c r="S231" s="81" t="s">
        <v>705</v>
      </c>
      <c r="T231" t="s">
        <v>113</v>
      </c>
      <c r="U231" t="s">
        <v>76</v>
      </c>
      <c r="V231">
        <v>52</v>
      </c>
      <c r="W231">
        <v>66</v>
      </c>
      <c r="X231">
        <v>97</v>
      </c>
      <c r="Y231">
        <v>77</v>
      </c>
      <c r="Z231">
        <v>142</v>
      </c>
      <c r="AA231">
        <v>119</v>
      </c>
      <c r="AB231" t="s">
        <v>284</v>
      </c>
    </row>
    <row r="232" spans="1:28">
      <c r="A232">
        <v>1215</v>
      </c>
      <c r="B232">
        <v>1090</v>
      </c>
      <c r="C232" t="s">
        <v>617</v>
      </c>
      <c r="D232" t="s">
        <v>93</v>
      </c>
      <c r="E232" t="s">
        <v>744</v>
      </c>
      <c r="F232" t="s">
        <v>367</v>
      </c>
      <c r="G232" t="s">
        <v>447</v>
      </c>
      <c r="H232" t="s">
        <v>312</v>
      </c>
      <c r="I232" t="s">
        <v>318</v>
      </c>
      <c r="J232" t="s">
        <v>318</v>
      </c>
      <c r="K232" t="s">
        <v>618</v>
      </c>
      <c r="L232" s="48">
        <v>43317</v>
      </c>
      <c r="M232" t="s">
        <v>134</v>
      </c>
      <c r="N232" t="s">
        <v>703</v>
      </c>
      <c r="O232">
        <v>2</v>
      </c>
      <c r="P232" t="s">
        <v>619</v>
      </c>
      <c r="Q232" t="s">
        <v>620</v>
      </c>
      <c r="R232" s="81" t="s">
        <v>704</v>
      </c>
      <c r="S232" s="81" t="s">
        <v>705</v>
      </c>
      <c r="T232" t="s">
        <v>37</v>
      </c>
      <c r="U232" t="s">
        <v>76</v>
      </c>
      <c r="V232">
        <v>52</v>
      </c>
      <c r="W232">
        <v>66</v>
      </c>
      <c r="X232">
        <v>97</v>
      </c>
      <c r="Y232">
        <v>77</v>
      </c>
      <c r="Z232">
        <v>142</v>
      </c>
      <c r="AA232">
        <v>119</v>
      </c>
      <c r="AB232" t="s">
        <v>284</v>
      </c>
    </row>
    <row r="233" spans="1:28">
      <c r="A233">
        <v>1215</v>
      </c>
      <c r="B233">
        <v>1090</v>
      </c>
      <c r="C233" t="s">
        <v>617</v>
      </c>
      <c r="D233" t="s">
        <v>93</v>
      </c>
      <c r="E233" t="s">
        <v>744</v>
      </c>
      <c r="F233" t="s">
        <v>7</v>
      </c>
      <c r="G233" t="s">
        <v>181</v>
      </c>
      <c r="H233" t="s">
        <v>290</v>
      </c>
      <c r="I233" t="s">
        <v>291</v>
      </c>
      <c r="J233" t="s">
        <v>287</v>
      </c>
      <c r="K233" t="s">
        <v>618</v>
      </c>
      <c r="L233" s="48">
        <v>43317</v>
      </c>
      <c r="M233" t="s">
        <v>134</v>
      </c>
      <c r="N233" t="s">
        <v>703</v>
      </c>
      <c r="O233">
        <v>2</v>
      </c>
      <c r="P233" t="s">
        <v>619</v>
      </c>
      <c r="Q233" t="s">
        <v>620</v>
      </c>
      <c r="R233" s="81" t="s">
        <v>704</v>
      </c>
      <c r="S233" s="81" t="s">
        <v>705</v>
      </c>
      <c r="T233" t="s">
        <v>31</v>
      </c>
      <c r="U233" t="s">
        <v>76</v>
      </c>
      <c r="V233">
        <v>52</v>
      </c>
      <c r="W233">
        <v>66</v>
      </c>
      <c r="X233">
        <v>97</v>
      </c>
      <c r="Y233">
        <v>77</v>
      </c>
      <c r="Z233">
        <v>142</v>
      </c>
      <c r="AA233">
        <v>119</v>
      </c>
      <c r="AB233" t="s">
        <v>284</v>
      </c>
    </row>
    <row r="234" spans="1:28">
      <c r="A234">
        <v>1215</v>
      </c>
      <c r="B234">
        <v>1090</v>
      </c>
      <c r="C234" t="s">
        <v>617</v>
      </c>
      <c r="D234" t="s">
        <v>93</v>
      </c>
      <c r="E234" t="s">
        <v>744</v>
      </c>
      <c r="F234" t="s">
        <v>8</v>
      </c>
      <c r="G234" t="s">
        <v>180</v>
      </c>
      <c r="H234" t="s">
        <v>305</v>
      </c>
      <c r="I234" t="s">
        <v>301</v>
      </c>
      <c r="J234" t="s">
        <v>287</v>
      </c>
      <c r="K234" t="s">
        <v>618</v>
      </c>
      <c r="L234" s="48">
        <v>43317</v>
      </c>
      <c r="M234" t="s">
        <v>134</v>
      </c>
      <c r="N234" t="s">
        <v>703</v>
      </c>
      <c r="O234">
        <v>2</v>
      </c>
      <c r="P234" t="s">
        <v>619</v>
      </c>
      <c r="Q234" t="s">
        <v>620</v>
      </c>
      <c r="R234" s="81" t="s">
        <v>704</v>
      </c>
      <c r="S234" s="81" t="s">
        <v>705</v>
      </c>
      <c r="T234" t="s">
        <v>30</v>
      </c>
      <c r="U234" t="s">
        <v>76</v>
      </c>
      <c r="V234">
        <v>52</v>
      </c>
      <c r="W234">
        <v>66</v>
      </c>
      <c r="X234">
        <v>97</v>
      </c>
      <c r="Y234">
        <v>77</v>
      </c>
      <c r="Z234">
        <v>142</v>
      </c>
      <c r="AA234">
        <v>119</v>
      </c>
      <c r="AB234" t="s">
        <v>284</v>
      </c>
    </row>
    <row r="235" spans="1:28">
      <c r="A235">
        <v>1215</v>
      </c>
      <c r="B235">
        <v>1090</v>
      </c>
      <c r="C235" t="s">
        <v>617</v>
      </c>
      <c r="D235" t="s">
        <v>93</v>
      </c>
      <c r="E235" t="s">
        <v>744</v>
      </c>
      <c r="F235" t="s">
        <v>5</v>
      </c>
      <c r="G235" t="s">
        <v>182</v>
      </c>
      <c r="H235" t="s">
        <v>286</v>
      </c>
      <c r="I235" t="s">
        <v>291</v>
      </c>
      <c r="J235" t="s">
        <v>289</v>
      </c>
      <c r="K235" t="s">
        <v>618</v>
      </c>
      <c r="L235" s="48">
        <v>43317</v>
      </c>
      <c r="M235" t="s">
        <v>134</v>
      </c>
      <c r="N235" t="s">
        <v>703</v>
      </c>
      <c r="O235">
        <v>2</v>
      </c>
      <c r="P235" t="s">
        <v>619</v>
      </c>
      <c r="Q235" t="s">
        <v>620</v>
      </c>
      <c r="R235" s="81" t="s">
        <v>704</v>
      </c>
      <c r="S235" s="81" t="s">
        <v>705</v>
      </c>
      <c r="T235" t="s">
        <v>32</v>
      </c>
      <c r="U235" t="s">
        <v>76</v>
      </c>
      <c r="V235">
        <v>52</v>
      </c>
      <c r="W235">
        <v>66</v>
      </c>
      <c r="X235">
        <v>97</v>
      </c>
      <c r="Y235">
        <v>77</v>
      </c>
      <c r="Z235">
        <v>142</v>
      </c>
      <c r="AA235">
        <v>119</v>
      </c>
      <c r="AB235" t="s">
        <v>284</v>
      </c>
    </row>
    <row r="236" spans="1:28">
      <c r="A236">
        <v>1216</v>
      </c>
      <c r="B236">
        <v>1037</v>
      </c>
      <c r="C236" t="s">
        <v>621</v>
      </c>
      <c r="D236" t="s">
        <v>93</v>
      </c>
      <c r="E236" t="s">
        <v>744</v>
      </c>
      <c r="F236" t="s">
        <v>5</v>
      </c>
      <c r="G236" t="s">
        <v>185</v>
      </c>
      <c r="H236" t="s">
        <v>287</v>
      </c>
      <c r="I236" t="s">
        <v>305</v>
      </c>
      <c r="J236" t="s">
        <v>293</v>
      </c>
      <c r="K236" t="s">
        <v>622</v>
      </c>
      <c r="L236" s="48">
        <v>42950</v>
      </c>
      <c r="M236" t="s">
        <v>134</v>
      </c>
      <c r="N236" t="s">
        <v>623</v>
      </c>
      <c r="O236">
        <v>9</v>
      </c>
      <c r="P236" t="s">
        <v>624</v>
      </c>
      <c r="Q236" t="s">
        <v>625</v>
      </c>
      <c r="R236" s="81" t="s">
        <v>706</v>
      </c>
      <c r="S236" s="81" t="s">
        <v>707</v>
      </c>
      <c r="T236" t="s">
        <v>32</v>
      </c>
      <c r="U236" t="s">
        <v>82</v>
      </c>
      <c r="V236">
        <v>51</v>
      </c>
      <c r="W236">
        <v>66</v>
      </c>
      <c r="X236">
        <v>97</v>
      </c>
      <c r="Y236">
        <v>77</v>
      </c>
      <c r="Z236">
        <v>142</v>
      </c>
      <c r="AA236">
        <v>115</v>
      </c>
      <c r="AB236" t="s">
        <v>284</v>
      </c>
    </row>
    <row r="237" spans="1:28">
      <c r="A237">
        <v>1216</v>
      </c>
      <c r="B237">
        <v>1037</v>
      </c>
      <c r="C237" t="s">
        <v>621</v>
      </c>
      <c r="D237" t="s">
        <v>93</v>
      </c>
      <c r="E237" t="s">
        <v>744</v>
      </c>
      <c r="F237" t="s">
        <v>8</v>
      </c>
      <c r="G237" t="s">
        <v>183</v>
      </c>
      <c r="H237" t="s">
        <v>297</v>
      </c>
      <c r="I237" t="s">
        <v>294</v>
      </c>
      <c r="J237" t="s">
        <v>296</v>
      </c>
      <c r="K237" t="s">
        <v>622</v>
      </c>
      <c r="L237" s="48">
        <v>42950</v>
      </c>
      <c r="M237" t="s">
        <v>134</v>
      </c>
      <c r="N237" t="s">
        <v>623</v>
      </c>
      <c r="O237">
        <v>9</v>
      </c>
      <c r="P237" t="s">
        <v>624</v>
      </c>
      <c r="Q237" t="s">
        <v>625</v>
      </c>
      <c r="R237" s="81" t="s">
        <v>706</v>
      </c>
      <c r="S237" s="81" t="s">
        <v>707</v>
      </c>
      <c r="T237" t="s">
        <v>30</v>
      </c>
      <c r="U237" t="s">
        <v>82</v>
      </c>
      <c r="V237">
        <v>51</v>
      </c>
      <c r="W237">
        <v>66</v>
      </c>
      <c r="X237">
        <v>97</v>
      </c>
      <c r="Y237">
        <v>77</v>
      </c>
      <c r="Z237">
        <v>142</v>
      </c>
      <c r="AA237">
        <v>115</v>
      </c>
      <c r="AB237" t="s">
        <v>284</v>
      </c>
    </row>
    <row r="238" spans="1:28">
      <c r="A238">
        <v>1216</v>
      </c>
      <c r="B238">
        <v>1037</v>
      </c>
      <c r="C238" t="s">
        <v>621</v>
      </c>
      <c r="D238" t="s">
        <v>93</v>
      </c>
      <c r="E238" t="s">
        <v>744</v>
      </c>
      <c r="F238" t="s">
        <v>7</v>
      </c>
      <c r="G238" t="s">
        <v>184</v>
      </c>
      <c r="H238" t="s">
        <v>289</v>
      </c>
      <c r="I238" t="s">
        <v>289</v>
      </c>
      <c r="J238" t="s">
        <v>305</v>
      </c>
      <c r="K238" t="s">
        <v>622</v>
      </c>
      <c r="L238" s="48">
        <v>42950</v>
      </c>
      <c r="M238" t="s">
        <v>134</v>
      </c>
      <c r="N238" t="s">
        <v>623</v>
      </c>
      <c r="O238">
        <v>9</v>
      </c>
      <c r="P238" t="s">
        <v>624</v>
      </c>
      <c r="Q238" t="s">
        <v>625</v>
      </c>
      <c r="R238" s="81" t="s">
        <v>706</v>
      </c>
      <c r="S238" s="81" t="s">
        <v>707</v>
      </c>
      <c r="T238" t="s">
        <v>31</v>
      </c>
      <c r="U238" t="s">
        <v>82</v>
      </c>
      <c r="V238">
        <v>51</v>
      </c>
      <c r="W238">
        <v>66</v>
      </c>
      <c r="X238">
        <v>97</v>
      </c>
      <c r="Y238">
        <v>77</v>
      </c>
      <c r="Z238">
        <v>142</v>
      </c>
      <c r="AA238">
        <v>115</v>
      </c>
      <c r="AB238" t="s">
        <v>284</v>
      </c>
    </row>
    <row r="239" spans="1:28">
      <c r="A239">
        <v>1216</v>
      </c>
      <c r="B239">
        <v>1037</v>
      </c>
      <c r="C239" t="s">
        <v>621</v>
      </c>
      <c r="D239" t="s">
        <v>93</v>
      </c>
      <c r="E239" t="s">
        <v>744</v>
      </c>
      <c r="F239" t="s">
        <v>367</v>
      </c>
      <c r="G239" t="s">
        <v>448</v>
      </c>
      <c r="H239" t="s">
        <v>312</v>
      </c>
      <c r="I239" t="s">
        <v>312</v>
      </c>
      <c r="J239" t="s">
        <v>319</v>
      </c>
      <c r="K239" t="s">
        <v>622</v>
      </c>
      <c r="L239" s="48">
        <v>42950</v>
      </c>
      <c r="M239" t="s">
        <v>134</v>
      </c>
      <c r="N239" t="s">
        <v>623</v>
      </c>
      <c r="O239">
        <v>9</v>
      </c>
      <c r="P239" t="s">
        <v>624</v>
      </c>
      <c r="Q239" t="s">
        <v>625</v>
      </c>
      <c r="R239" s="81" t="s">
        <v>706</v>
      </c>
      <c r="S239" s="81" t="s">
        <v>707</v>
      </c>
      <c r="T239" t="s">
        <v>37</v>
      </c>
      <c r="U239" t="s">
        <v>82</v>
      </c>
      <c r="V239">
        <v>51</v>
      </c>
      <c r="W239">
        <v>66</v>
      </c>
      <c r="X239">
        <v>97</v>
      </c>
      <c r="Y239">
        <v>77</v>
      </c>
      <c r="Z239">
        <v>142</v>
      </c>
      <c r="AA239">
        <v>115</v>
      </c>
      <c r="AB239" t="s">
        <v>284</v>
      </c>
    </row>
    <row r="240" spans="1:28">
      <c r="A240">
        <v>1216</v>
      </c>
      <c r="B240">
        <v>1037</v>
      </c>
      <c r="C240" t="s">
        <v>621</v>
      </c>
      <c r="D240" t="s">
        <v>93</v>
      </c>
      <c r="E240" t="s">
        <v>744</v>
      </c>
      <c r="F240" t="s">
        <v>369</v>
      </c>
      <c r="G240" t="s">
        <v>449</v>
      </c>
      <c r="H240" t="s">
        <v>309</v>
      </c>
      <c r="I240" t="s">
        <v>312</v>
      </c>
      <c r="J240" t="s">
        <v>312</v>
      </c>
      <c r="K240" t="s">
        <v>622</v>
      </c>
      <c r="L240" s="48">
        <v>42950</v>
      </c>
      <c r="M240" t="s">
        <v>134</v>
      </c>
      <c r="N240" t="s">
        <v>623</v>
      </c>
      <c r="O240">
        <v>9</v>
      </c>
      <c r="P240" t="s">
        <v>624</v>
      </c>
      <c r="Q240" t="s">
        <v>625</v>
      </c>
      <c r="R240" s="81" t="s">
        <v>706</v>
      </c>
      <c r="S240" s="81" t="s">
        <v>707</v>
      </c>
      <c r="T240" t="s">
        <v>113</v>
      </c>
      <c r="U240" t="s">
        <v>82</v>
      </c>
      <c r="V240">
        <v>51</v>
      </c>
      <c r="W240">
        <v>66</v>
      </c>
      <c r="X240">
        <v>97</v>
      </c>
      <c r="Y240">
        <v>77</v>
      </c>
      <c r="Z240">
        <v>142</v>
      </c>
      <c r="AA240">
        <v>115</v>
      </c>
      <c r="AB240" t="s">
        <v>284</v>
      </c>
    </row>
    <row r="241" spans="1:28">
      <c r="A241">
        <v>1217</v>
      </c>
      <c r="B241">
        <v>897</v>
      </c>
      <c r="C241" t="s">
        <v>493</v>
      </c>
      <c r="D241" t="s">
        <v>93</v>
      </c>
      <c r="E241" t="s">
        <v>744</v>
      </c>
      <c r="F241" t="s">
        <v>369</v>
      </c>
      <c r="G241" t="s">
        <v>451</v>
      </c>
      <c r="H241" t="s">
        <v>309</v>
      </c>
      <c r="I241" t="s">
        <v>309</v>
      </c>
      <c r="J241" t="s">
        <v>318</v>
      </c>
      <c r="K241" t="s">
        <v>494</v>
      </c>
      <c r="L241" s="48">
        <v>43360</v>
      </c>
      <c r="M241" t="s">
        <v>134</v>
      </c>
      <c r="N241" t="s">
        <v>572</v>
      </c>
      <c r="O241">
        <v>2</v>
      </c>
      <c r="P241" t="s">
        <v>495</v>
      </c>
      <c r="Q241" t="s">
        <v>496</v>
      </c>
      <c r="R241" s="81" t="s">
        <v>497</v>
      </c>
      <c r="S241" s="81" t="s">
        <v>498</v>
      </c>
      <c r="T241" t="s">
        <v>113</v>
      </c>
      <c r="U241" t="s">
        <v>76</v>
      </c>
      <c r="V241">
        <v>40</v>
      </c>
      <c r="W241">
        <v>66</v>
      </c>
      <c r="X241">
        <v>97</v>
      </c>
      <c r="Y241">
        <v>67</v>
      </c>
      <c r="Z241">
        <v>142</v>
      </c>
      <c r="AA241">
        <v>102</v>
      </c>
      <c r="AB241" t="s">
        <v>284</v>
      </c>
    </row>
    <row r="242" spans="1:28">
      <c r="A242">
        <v>1217</v>
      </c>
      <c r="B242">
        <v>897</v>
      </c>
      <c r="C242" t="s">
        <v>493</v>
      </c>
      <c r="D242" t="s">
        <v>93</v>
      </c>
      <c r="E242" t="s">
        <v>744</v>
      </c>
      <c r="F242" t="s">
        <v>367</v>
      </c>
      <c r="G242" t="s">
        <v>450</v>
      </c>
      <c r="H242" t="s">
        <v>312</v>
      </c>
      <c r="I242" t="s">
        <v>312</v>
      </c>
      <c r="J242" t="s">
        <v>319</v>
      </c>
      <c r="K242" t="s">
        <v>494</v>
      </c>
      <c r="L242" s="48">
        <v>43360</v>
      </c>
      <c r="M242" t="s">
        <v>134</v>
      </c>
      <c r="N242" t="s">
        <v>572</v>
      </c>
      <c r="O242">
        <v>2</v>
      </c>
      <c r="P242" t="s">
        <v>495</v>
      </c>
      <c r="Q242" t="s">
        <v>496</v>
      </c>
      <c r="R242" s="81" t="s">
        <v>497</v>
      </c>
      <c r="S242" s="81" t="s">
        <v>498</v>
      </c>
      <c r="T242" t="s">
        <v>37</v>
      </c>
      <c r="U242" t="s">
        <v>76</v>
      </c>
      <c r="V242">
        <v>40</v>
      </c>
      <c r="W242">
        <v>66</v>
      </c>
      <c r="X242">
        <v>97</v>
      </c>
      <c r="Y242">
        <v>67</v>
      </c>
      <c r="Z242">
        <v>142</v>
      </c>
      <c r="AA242">
        <v>102</v>
      </c>
      <c r="AB242" t="s">
        <v>284</v>
      </c>
    </row>
    <row r="243" spans="1:28">
      <c r="A243">
        <v>1217</v>
      </c>
      <c r="B243">
        <v>897</v>
      </c>
      <c r="C243" t="s">
        <v>493</v>
      </c>
      <c r="D243" t="s">
        <v>93</v>
      </c>
      <c r="E243" t="s">
        <v>744</v>
      </c>
      <c r="F243" t="s">
        <v>7</v>
      </c>
      <c r="G243" t="s">
        <v>187</v>
      </c>
      <c r="H243" t="s">
        <v>296</v>
      </c>
      <c r="I243" t="s">
        <v>240</v>
      </c>
      <c r="J243" t="s">
        <v>317</v>
      </c>
      <c r="K243" t="s">
        <v>494</v>
      </c>
      <c r="L243" s="48">
        <v>43360</v>
      </c>
      <c r="M243" t="s">
        <v>134</v>
      </c>
      <c r="N243" t="s">
        <v>572</v>
      </c>
      <c r="O243">
        <v>2</v>
      </c>
      <c r="P243" t="s">
        <v>495</v>
      </c>
      <c r="Q243" t="s">
        <v>496</v>
      </c>
      <c r="R243" s="81" t="s">
        <v>497</v>
      </c>
      <c r="S243" s="81" t="s">
        <v>498</v>
      </c>
      <c r="T243" t="s">
        <v>31</v>
      </c>
      <c r="U243" t="s">
        <v>76</v>
      </c>
      <c r="V243">
        <v>40</v>
      </c>
      <c r="W243">
        <v>66</v>
      </c>
      <c r="X243">
        <v>97</v>
      </c>
      <c r="Y243">
        <v>67</v>
      </c>
      <c r="Z243">
        <v>142</v>
      </c>
      <c r="AA243">
        <v>102</v>
      </c>
      <c r="AB243" t="s">
        <v>284</v>
      </c>
    </row>
    <row r="244" spans="1:28">
      <c r="A244">
        <v>1217</v>
      </c>
      <c r="B244">
        <v>897</v>
      </c>
      <c r="C244" t="s">
        <v>493</v>
      </c>
      <c r="D244" t="s">
        <v>93</v>
      </c>
      <c r="E244" t="s">
        <v>744</v>
      </c>
      <c r="F244" t="s">
        <v>8</v>
      </c>
      <c r="G244" t="s">
        <v>186</v>
      </c>
      <c r="H244" t="s">
        <v>314</v>
      </c>
      <c r="I244" t="s">
        <v>316</v>
      </c>
      <c r="J244" t="s">
        <v>317</v>
      </c>
      <c r="K244" t="s">
        <v>494</v>
      </c>
      <c r="L244" s="48">
        <v>43360</v>
      </c>
      <c r="M244" t="s">
        <v>134</v>
      </c>
      <c r="N244" t="s">
        <v>572</v>
      </c>
      <c r="O244">
        <v>2</v>
      </c>
      <c r="P244" t="s">
        <v>495</v>
      </c>
      <c r="Q244" t="s">
        <v>496</v>
      </c>
      <c r="R244" s="81" t="s">
        <v>497</v>
      </c>
      <c r="S244" s="81" t="s">
        <v>498</v>
      </c>
      <c r="T244" t="s">
        <v>30</v>
      </c>
      <c r="U244" t="s">
        <v>76</v>
      </c>
      <c r="V244">
        <v>40</v>
      </c>
      <c r="W244">
        <v>66</v>
      </c>
      <c r="X244">
        <v>97</v>
      </c>
      <c r="Y244">
        <v>67</v>
      </c>
      <c r="Z244">
        <v>142</v>
      </c>
      <c r="AA244">
        <v>102</v>
      </c>
      <c r="AB244" t="s">
        <v>284</v>
      </c>
    </row>
    <row r="245" spans="1:28">
      <c r="A245">
        <v>1217</v>
      </c>
      <c r="B245">
        <v>897</v>
      </c>
      <c r="C245" t="s">
        <v>493</v>
      </c>
      <c r="D245" t="s">
        <v>93</v>
      </c>
      <c r="E245" t="s">
        <v>744</v>
      </c>
      <c r="F245" t="s">
        <v>5</v>
      </c>
      <c r="G245" t="s">
        <v>188</v>
      </c>
      <c r="H245" t="s">
        <v>739</v>
      </c>
      <c r="I245" t="s">
        <v>501</v>
      </c>
      <c r="J245" t="s">
        <v>307</v>
      </c>
      <c r="K245" t="s">
        <v>494</v>
      </c>
      <c r="L245" s="48">
        <v>43360</v>
      </c>
      <c r="M245" t="s">
        <v>134</v>
      </c>
      <c r="N245" t="s">
        <v>572</v>
      </c>
      <c r="O245">
        <v>2</v>
      </c>
      <c r="P245" t="s">
        <v>495</v>
      </c>
      <c r="Q245" t="s">
        <v>496</v>
      </c>
      <c r="R245" s="81" t="s">
        <v>497</v>
      </c>
      <c r="S245" s="81" t="s">
        <v>498</v>
      </c>
      <c r="T245" t="s">
        <v>32</v>
      </c>
      <c r="U245" t="s">
        <v>76</v>
      </c>
      <c r="V245">
        <v>40</v>
      </c>
      <c r="W245">
        <v>66</v>
      </c>
      <c r="X245">
        <v>97</v>
      </c>
      <c r="Y245">
        <v>67</v>
      </c>
      <c r="Z245">
        <v>142</v>
      </c>
      <c r="AA245">
        <v>102</v>
      </c>
      <c r="AB245" t="s">
        <v>740</v>
      </c>
    </row>
    <row r="246" spans="1:28">
      <c r="A246">
        <v>1218</v>
      </c>
      <c r="B246">
        <v>1094</v>
      </c>
      <c r="C246" t="s">
        <v>626</v>
      </c>
      <c r="D246" t="s">
        <v>93</v>
      </c>
      <c r="E246" t="s">
        <v>744</v>
      </c>
      <c r="F246" t="s">
        <v>5</v>
      </c>
      <c r="G246" t="s">
        <v>191</v>
      </c>
      <c r="H246" t="s">
        <v>286</v>
      </c>
      <c r="I246" t="s">
        <v>301</v>
      </c>
      <c r="J246" t="s">
        <v>288</v>
      </c>
      <c r="K246" t="s">
        <v>627</v>
      </c>
      <c r="L246" s="48">
        <v>43719</v>
      </c>
      <c r="M246" t="s">
        <v>134</v>
      </c>
      <c r="N246" t="s">
        <v>551</v>
      </c>
      <c r="O246">
        <v>2</v>
      </c>
      <c r="P246" t="s">
        <v>628</v>
      </c>
      <c r="Q246" t="s">
        <v>629</v>
      </c>
      <c r="R246" s="81" t="s">
        <v>708</v>
      </c>
      <c r="S246" s="81" t="s">
        <v>709</v>
      </c>
      <c r="T246" t="s">
        <v>32</v>
      </c>
      <c r="U246" t="s">
        <v>76</v>
      </c>
      <c r="V246">
        <v>57</v>
      </c>
      <c r="W246">
        <v>66</v>
      </c>
      <c r="X246">
        <v>97</v>
      </c>
      <c r="Y246">
        <v>85</v>
      </c>
      <c r="Z246">
        <v>142</v>
      </c>
      <c r="AA246">
        <v>124</v>
      </c>
      <c r="AB246" t="s">
        <v>284</v>
      </c>
    </row>
    <row r="247" spans="1:28">
      <c r="A247">
        <v>1218</v>
      </c>
      <c r="B247">
        <v>1094</v>
      </c>
      <c r="C247" t="s">
        <v>626</v>
      </c>
      <c r="D247" t="s">
        <v>93</v>
      </c>
      <c r="E247" t="s">
        <v>744</v>
      </c>
      <c r="F247" t="s">
        <v>8</v>
      </c>
      <c r="G247" t="s">
        <v>189</v>
      </c>
      <c r="H247" t="s">
        <v>304</v>
      </c>
      <c r="I247" t="s">
        <v>301</v>
      </c>
      <c r="J247" t="s">
        <v>300</v>
      </c>
      <c r="K247" t="s">
        <v>627</v>
      </c>
      <c r="L247" s="48">
        <v>43719</v>
      </c>
      <c r="M247" t="s">
        <v>134</v>
      </c>
      <c r="N247" t="s">
        <v>551</v>
      </c>
      <c r="O247">
        <v>2</v>
      </c>
      <c r="P247" t="s">
        <v>628</v>
      </c>
      <c r="Q247" t="s">
        <v>629</v>
      </c>
      <c r="R247" s="81" t="s">
        <v>708</v>
      </c>
      <c r="S247" s="81" t="s">
        <v>709</v>
      </c>
      <c r="T247" t="s">
        <v>30</v>
      </c>
      <c r="U247" t="s">
        <v>76</v>
      </c>
      <c r="V247">
        <v>57</v>
      </c>
      <c r="W247">
        <v>66</v>
      </c>
      <c r="X247">
        <v>97</v>
      </c>
      <c r="Y247">
        <v>85</v>
      </c>
      <c r="Z247">
        <v>142</v>
      </c>
      <c r="AA247">
        <v>124</v>
      </c>
      <c r="AB247" t="s">
        <v>284</v>
      </c>
    </row>
    <row r="248" spans="1:28">
      <c r="A248">
        <v>1218</v>
      </c>
      <c r="B248">
        <v>1094</v>
      </c>
      <c r="C248" t="s">
        <v>626</v>
      </c>
      <c r="D248" t="s">
        <v>93</v>
      </c>
      <c r="E248" t="s">
        <v>744</v>
      </c>
      <c r="F248" t="s">
        <v>7</v>
      </c>
      <c r="G248" t="s">
        <v>190</v>
      </c>
      <c r="H248" t="s">
        <v>289</v>
      </c>
      <c r="I248" t="s">
        <v>300</v>
      </c>
      <c r="J248" t="s">
        <v>289</v>
      </c>
      <c r="K248" t="s">
        <v>627</v>
      </c>
      <c r="L248" s="48">
        <v>43719</v>
      </c>
      <c r="M248" t="s">
        <v>134</v>
      </c>
      <c r="N248" t="s">
        <v>551</v>
      </c>
      <c r="O248">
        <v>2</v>
      </c>
      <c r="P248" t="s">
        <v>628</v>
      </c>
      <c r="Q248" t="s">
        <v>629</v>
      </c>
      <c r="R248" s="81" t="s">
        <v>708</v>
      </c>
      <c r="S248" s="81" t="s">
        <v>709</v>
      </c>
      <c r="T248" t="s">
        <v>31</v>
      </c>
      <c r="U248" t="s">
        <v>76</v>
      </c>
      <c r="V248">
        <v>57</v>
      </c>
      <c r="W248">
        <v>66</v>
      </c>
      <c r="X248">
        <v>97</v>
      </c>
      <c r="Y248">
        <v>85</v>
      </c>
      <c r="Z248">
        <v>142</v>
      </c>
      <c r="AA248">
        <v>124</v>
      </c>
      <c r="AB248" t="s">
        <v>284</v>
      </c>
    </row>
    <row r="249" spans="1:28">
      <c r="A249">
        <v>1218</v>
      </c>
      <c r="B249">
        <v>1094</v>
      </c>
      <c r="C249" t="s">
        <v>626</v>
      </c>
      <c r="D249" t="s">
        <v>93</v>
      </c>
      <c r="E249" t="s">
        <v>744</v>
      </c>
      <c r="F249" t="s">
        <v>367</v>
      </c>
      <c r="G249" t="s">
        <v>453</v>
      </c>
      <c r="H249" t="s">
        <v>312</v>
      </c>
      <c r="I249" t="s">
        <v>318</v>
      </c>
      <c r="J249" t="s">
        <v>318</v>
      </c>
      <c r="K249" t="s">
        <v>627</v>
      </c>
      <c r="L249" s="48">
        <v>43719</v>
      </c>
      <c r="M249" t="s">
        <v>134</v>
      </c>
      <c r="N249" t="s">
        <v>551</v>
      </c>
      <c r="O249">
        <v>2</v>
      </c>
      <c r="P249" t="s">
        <v>628</v>
      </c>
      <c r="Q249" t="s">
        <v>629</v>
      </c>
      <c r="R249" s="81" t="s">
        <v>708</v>
      </c>
      <c r="S249" s="81" t="s">
        <v>709</v>
      </c>
      <c r="T249" t="s">
        <v>37</v>
      </c>
      <c r="U249" t="s">
        <v>76</v>
      </c>
      <c r="V249">
        <v>57</v>
      </c>
      <c r="W249">
        <v>66</v>
      </c>
      <c r="X249">
        <v>97</v>
      </c>
      <c r="Y249">
        <v>85</v>
      </c>
      <c r="Z249">
        <v>142</v>
      </c>
      <c r="AA249">
        <v>124</v>
      </c>
      <c r="AB249" t="s">
        <v>284</v>
      </c>
    </row>
    <row r="250" spans="1:28">
      <c r="A250">
        <v>1218</v>
      </c>
      <c r="B250">
        <v>1094</v>
      </c>
      <c r="C250" t="s">
        <v>626</v>
      </c>
      <c r="D250" t="s">
        <v>93</v>
      </c>
      <c r="E250" t="s">
        <v>744</v>
      </c>
      <c r="F250" t="s">
        <v>369</v>
      </c>
      <c r="G250" t="s">
        <v>452</v>
      </c>
      <c r="H250" t="s">
        <v>309</v>
      </c>
      <c r="I250" t="s">
        <v>318</v>
      </c>
      <c r="J250" t="s">
        <v>318</v>
      </c>
      <c r="K250" t="s">
        <v>627</v>
      </c>
      <c r="L250" s="48">
        <v>43719</v>
      </c>
      <c r="M250" t="s">
        <v>134</v>
      </c>
      <c r="N250" t="s">
        <v>551</v>
      </c>
      <c r="O250">
        <v>2</v>
      </c>
      <c r="P250" t="s">
        <v>628</v>
      </c>
      <c r="Q250" t="s">
        <v>629</v>
      </c>
      <c r="R250" s="81" t="s">
        <v>708</v>
      </c>
      <c r="S250" s="81" t="s">
        <v>709</v>
      </c>
      <c r="T250" t="s">
        <v>113</v>
      </c>
      <c r="U250" t="s">
        <v>76</v>
      </c>
      <c r="V250">
        <v>57</v>
      </c>
      <c r="W250">
        <v>66</v>
      </c>
      <c r="X250">
        <v>97</v>
      </c>
      <c r="Y250">
        <v>85</v>
      </c>
      <c r="Z250">
        <v>142</v>
      </c>
      <c r="AA250">
        <v>124</v>
      </c>
      <c r="AB250" t="s">
        <v>284</v>
      </c>
    </row>
    <row r="251" spans="1:28">
      <c r="A251">
        <v>1219</v>
      </c>
      <c r="B251">
        <v>1098</v>
      </c>
      <c r="C251" t="s">
        <v>636</v>
      </c>
      <c r="D251" t="s">
        <v>93</v>
      </c>
      <c r="E251" t="s">
        <v>744</v>
      </c>
      <c r="F251" t="s">
        <v>369</v>
      </c>
      <c r="G251" t="s">
        <v>455</v>
      </c>
      <c r="H251" t="s">
        <v>309</v>
      </c>
      <c r="I251" t="s">
        <v>312</v>
      </c>
      <c r="J251" t="s">
        <v>318</v>
      </c>
      <c r="K251" t="s">
        <v>637</v>
      </c>
      <c r="L251" s="48">
        <v>43185</v>
      </c>
      <c r="M251" t="s">
        <v>134</v>
      </c>
      <c r="N251" t="s">
        <v>638</v>
      </c>
      <c r="O251">
        <v>9</v>
      </c>
      <c r="P251" t="s">
        <v>639</v>
      </c>
      <c r="Q251" t="s">
        <v>640</v>
      </c>
      <c r="R251" s="81" t="s">
        <v>715</v>
      </c>
      <c r="S251" s="81" t="s">
        <v>716</v>
      </c>
      <c r="T251" t="s">
        <v>113</v>
      </c>
      <c r="U251" t="s">
        <v>82</v>
      </c>
      <c r="V251">
        <v>50</v>
      </c>
      <c r="W251">
        <v>66</v>
      </c>
      <c r="X251">
        <v>97</v>
      </c>
      <c r="Y251">
        <v>74</v>
      </c>
      <c r="Z251">
        <v>142</v>
      </c>
      <c r="AA251">
        <v>106</v>
      </c>
      <c r="AB251" t="s">
        <v>284</v>
      </c>
    </row>
    <row r="252" spans="1:28">
      <c r="A252">
        <v>1219</v>
      </c>
      <c r="B252">
        <v>1098</v>
      </c>
      <c r="C252" t="s">
        <v>636</v>
      </c>
      <c r="D252" t="s">
        <v>93</v>
      </c>
      <c r="E252" t="s">
        <v>744</v>
      </c>
      <c r="F252" t="s">
        <v>367</v>
      </c>
      <c r="G252" t="s">
        <v>454</v>
      </c>
      <c r="H252" t="s">
        <v>312</v>
      </c>
      <c r="I252" t="s">
        <v>318</v>
      </c>
      <c r="J252" t="s">
        <v>312</v>
      </c>
      <c r="K252" t="s">
        <v>637</v>
      </c>
      <c r="L252" s="48">
        <v>43185</v>
      </c>
      <c r="M252" t="s">
        <v>134</v>
      </c>
      <c r="N252" t="s">
        <v>638</v>
      </c>
      <c r="O252">
        <v>9</v>
      </c>
      <c r="P252" t="s">
        <v>639</v>
      </c>
      <c r="Q252" t="s">
        <v>640</v>
      </c>
      <c r="R252" s="81" t="s">
        <v>715</v>
      </c>
      <c r="S252" s="81" t="s">
        <v>716</v>
      </c>
      <c r="T252" t="s">
        <v>37</v>
      </c>
      <c r="U252" t="s">
        <v>82</v>
      </c>
      <c r="V252">
        <v>50</v>
      </c>
      <c r="W252">
        <v>66</v>
      </c>
      <c r="X252">
        <v>97</v>
      </c>
      <c r="Y252">
        <v>74</v>
      </c>
      <c r="Z252">
        <v>142</v>
      </c>
      <c r="AA252">
        <v>106</v>
      </c>
      <c r="AB252" t="s">
        <v>284</v>
      </c>
    </row>
    <row r="253" spans="1:28">
      <c r="A253">
        <v>1219</v>
      </c>
      <c r="B253">
        <v>1098</v>
      </c>
      <c r="C253" t="s">
        <v>636</v>
      </c>
      <c r="D253" t="s">
        <v>93</v>
      </c>
      <c r="E253" t="s">
        <v>744</v>
      </c>
      <c r="F253" t="s">
        <v>7</v>
      </c>
      <c r="G253" t="s">
        <v>322</v>
      </c>
      <c r="H253" t="s">
        <v>297</v>
      </c>
      <c r="I253" t="s">
        <v>309</v>
      </c>
      <c r="J253" t="s">
        <v>295</v>
      </c>
      <c r="K253" t="s">
        <v>637</v>
      </c>
      <c r="L253" s="48">
        <v>43185</v>
      </c>
      <c r="M253" t="s">
        <v>134</v>
      </c>
      <c r="N253" t="s">
        <v>638</v>
      </c>
      <c r="O253">
        <v>9</v>
      </c>
      <c r="P253" t="s">
        <v>639</v>
      </c>
      <c r="Q253" t="s">
        <v>640</v>
      </c>
      <c r="R253" s="81" t="s">
        <v>715</v>
      </c>
      <c r="S253" s="81" t="s">
        <v>716</v>
      </c>
      <c r="T253" t="s">
        <v>31</v>
      </c>
      <c r="U253" t="s">
        <v>82</v>
      </c>
      <c r="V253">
        <v>50</v>
      </c>
      <c r="W253">
        <v>66</v>
      </c>
      <c r="X253">
        <v>97</v>
      </c>
      <c r="Y253">
        <v>74</v>
      </c>
      <c r="Z253">
        <v>142</v>
      </c>
      <c r="AA253">
        <v>106</v>
      </c>
      <c r="AB253" t="s">
        <v>284</v>
      </c>
    </row>
    <row r="254" spans="1:28">
      <c r="A254">
        <v>1219</v>
      </c>
      <c r="B254">
        <v>1098</v>
      </c>
      <c r="C254" t="s">
        <v>636</v>
      </c>
      <c r="D254" t="s">
        <v>93</v>
      </c>
      <c r="E254" t="s">
        <v>744</v>
      </c>
      <c r="F254" t="s">
        <v>8</v>
      </c>
      <c r="G254" t="s">
        <v>324</v>
      </c>
      <c r="H254" t="s">
        <v>308</v>
      </c>
      <c r="I254" t="s">
        <v>309</v>
      </c>
      <c r="J254" t="s">
        <v>297</v>
      </c>
      <c r="K254" t="s">
        <v>637</v>
      </c>
      <c r="L254" s="48">
        <v>43185</v>
      </c>
      <c r="M254" t="s">
        <v>134</v>
      </c>
      <c r="N254" t="s">
        <v>638</v>
      </c>
      <c r="O254">
        <v>9</v>
      </c>
      <c r="P254" t="s">
        <v>639</v>
      </c>
      <c r="Q254" t="s">
        <v>640</v>
      </c>
      <c r="R254" s="81" t="s">
        <v>715</v>
      </c>
      <c r="S254" s="81" t="s">
        <v>716</v>
      </c>
      <c r="T254" t="s">
        <v>30</v>
      </c>
      <c r="U254" t="s">
        <v>82</v>
      </c>
      <c r="V254">
        <v>50</v>
      </c>
      <c r="W254">
        <v>66</v>
      </c>
      <c r="X254">
        <v>97</v>
      </c>
      <c r="Y254">
        <v>74</v>
      </c>
      <c r="Z254">
        <v>142</v>
      </c>
      <c r="AA254">
        <v>106</v>
      </c>
      <c r="AB254" t="s">
        <v>284</v>
      </c>
    </row>
    <row r="255" spans="1:28">
      <c r="A255">
        <v>1219</v>
      </c>
      <c r="B255">
        <v>1098</v>
      </c>
      <c r="C255" t="s">
        <v>636</v>
      </c>
      <c r="D255" t="s">
        <v>93</v>
      </c>
      <c r="E255" t="s">
        <v>744</v>
      </c>
      <c r="F255" t="s">
        <v>5</v>
      </c>
      <c r="G255" t="s">
        <v>325</v>
      </c>
      <c r="H255" t="s">
        <v>312</v>
      </c>
      <c r="I255" t="s">
        <v>318</v>
      </c>
      <c r="J255" t="s">
        <v>285</v>
      </c>
      <c r="K255" t="s">
        <v>637</v>
      </c>
      <c r="L255" s="48">
        <v>43185</v>
      </c>
      <c r="M255" t="s">
        <v>134</v>
      </c>
      <c r="N255" t="s">
        <v>638</v>
      </c>
      <c r="O255">
        <v>9</v>
      </c>
      <c r="P255" t="s">
        <v>639</v>
      </c>
      <c r="Q255" t="s">
        <v>640</v>
      </c>
      <c r="R255" s="81" t="s">
        <v>715</v>
      </c>
      <c r="S255" s="81" t="s">
        <v>716</v>
      </c>
      <c r="T255" t="s">
        <v>32</v>
      </c>
      <c r="U255" t="s">
        <v>82</v>
      </c>
      <c r="V255">
        <v>50</v>
      </c>
      <c r="W255">
        <v>66</v>
      </c>
      <c r="X255">
        <v>97</v>
      </c>
      <c r="Y255">
        <v>74</v>
      </c>
      <c r="Z255">
        <v>142</v>
      </c>
      <c r="AA255">
        <v>106</v>
      </c>
      <c r="AB255" t="s">
        <v>284</v>
      </c>
    </row>
    <row r="256" spans="1:28">
      <c r="A256">
        <v>1220</v>
      </c>
      <c r="B256">
        <v>1075</v>
      </c>
      <c r="C256" t="s">
        <v>633</v>
      </c>
      <c r="D256" t="s">
        <v>93</v>
      </c>
      <c r="E256" t="s">
        <v>744</v>
      </c>
      <c r="F256" t="s">
        <v>5</v>
      </c>
      <c r="G256" t="s">
        <v>326</v>
      </c>
      <c r="H256" t="s">
        <v>306</v>
      </c>
      <c r="I256" t="s">
        <v>282</v>
      </c>
      <c r="J256" t="s">
        <v>303</v>
      </c>
      <c r="K256" t="s">
        <v>634</v>
      </c>
      <c r="L256" s="48">
        <v>44144</v>
      </c>
      <c r="M256" t="s">
        <v>134</v>
      </c>
      <c r="N256" t="s">
        <v>551</v>
      </c>
      <c r="O256">
        <v>1</v>
      </c>
      <c r="P256" t="s">
        <v>712</v>
      </c>
      <c r="Q256" t="s">
        <v>635</v>
      </c>
      <c r="R256" s="81" t="s">
        <v>713</v>
      </c>
      <c r="S256" s="81" t="s">
        <v>714</v>
      </c>
      <c r="T256" t="s">
        <v>32</v>
      </c>
      <c r="U256" t="s">
        <v>75</v>
      </c>
      <c r="V256">
        <v>44</v>
      </c>
      <c r="W256">
        <v>66</v>
      </c>
      <c r="X256">
        <v>97</v>
      </c>
      <c r="Y256">
        <v>72</v>
      </c>
      <c r="Z256">
        <v>142</v>
      </c>
      <c r="AA256">
        <v>111</v>
      </c>
      <c r="AB256" t="s">
        <v>284</v>
      </c>
    </row>
    <row r="257" spans="1:28">
      <c r="A257">
        <v>1220</v>
      </c>
      <c r="B257">
        <v>1075</v>
      </c>
      <c r="C257" t="s">
        <v>633</v>
      </c>
      <c r="D257" t="s">
        <v>93</v>
      </c>
      <c r="E257" t="s">
        <v>744</v>
      </c>
      <c r="F257" t="s">
        <v>8</v>
      </c>
      <c r="G257" t="s">
        <v>328</v>
      </c>
      <c r="H257" t="s">
        <v>307</v>
      </c>
      <c r="I257" t="s">
        <v>308</v>
      </c>
      <c r="J257" t="s">
        <v>318</v>
      </c>
      <c r="K257" t="s">
        <v>634</v>
      </c>
      <c r="L257" s="48">
        <v>44144</v>
      </c>
      <c r="M257" t="s">
        <v>134</v>
      </c>
      <c r="N257" t="s">
        <v>551</v>
      </c>
      <c r="O257">
        <v>1</v>
      </c>
      <c r="P257" t="s">
        <v>712</v>
      </c>
      <c r="Q257" t="s">
        <v>635</v>
      </c>
      <c r="R257" s="81" t="s">
        <v>713</v>
      </c>
      <c r="S257" s="81" t="s">
        <v>714</v>
      </c>
      <c r="T257" t="s">
        <v>30</v>
      </c>
      <c r="U257" t="s">
        <v>75</v>
      </c>
      <c r="V257">
        <v>44</v>
      </c>
      <c r="W257">
        <v>66</v>
      </c>
      <c r="X257">
        <v>97</v>
      </c>
      <c r="Y257">
        <v>72</v>
      </c>
      <c r="Z257">
        <v>142</v>
      </c>
      <c r="AA257">
        <v>111</v>
      </c>
      <c r="AB257" t="s">
        <v>284</v>
      </c>
    </row>
    <row r="258" spans="1:28">
      <c r="A258">
        <v>1220</v>
      </c>
      <c r="B258">
        <v>1075</v>
      </c>
      <c r="C258" t="s">
        <v>633</v>
      </c>
      <c r="D258" t="s">
        <v>93</v>
      </c>
      <c r="E258" t="s">
        <v>744</v>
      </c>
      <c r="F258" t="s">
        <v>7</v>
      </c>
      <c r="G258" t="s">
        <v>329</v>
      </c>
      <c r="H258" t="s">
        <v>306</v>
      </c>
      <c r="I258" t="s">
        <v>297</v>
      </c>
      <c r="J258" t="s">
        <v>303</v>
      </c>
      <c r="K258" t="s">
        <v>634</v>
      </c>
      <c r="L258" s="48">
        <v>44144</v>
      </c>
      <c r="M258" t="s">
        <v>134</v>
      </c>
      <c r="N258" t="s">
        <v>551</v>
      </c>
      <c r="O258">
        <v>1</v>
      </c>
      <c r="P258" t="s">
        <v>712</v>
      </c>
      <c r="Q258" t="s">
        <v>635</v>
      </c>
      <c r="R258" s="81" t="s">
        <v>713</v>
      </c>
      <c r="S258" s="81" t="s">
        <v>714</v>
      </c>
      <c r="T258" t="s">
        <v>31</v>
      </c>
      <c r="U258" t="s">
        <v>75</v>
      </c>
      <c r="V258">
        <v>44</v>
      </c>
      <c r="W258">
        <v>66</v>
      </c>
      <c r="X258">
        <v>97</v>
      </c>
      <c r="Y258">
        <v>72</v>
      </c>
      <c r="Z258">
        <v>142</v>
      </c>
      <c r="AA258">
        <v>111</v>
      </c>
      <c r="AB258" t="s">
        <v>284</v>
      </c>
    </row>
    <row r="259" spans="1:28">
      <c r="A259">
        <v>1220</v>
      </c>
      <c r="B259">
        <v>1075</v>
      </c>
      <c r="C259" t="s">
        <v>633</v>
      </c>
      <c r="D259" t="s">
        <v>93</v>
      </c>
      <c r="E259" t="s">
        <v>744</v>
      </c>
      <c r="F259" t="s">
        <v>367</v>
      </c>
      <c r="G259" t="s">
        <v>456</v>
      </c>
      <c r="H259" t="s">
        <v>312</v>
      </c>
      <c r="I259" t="s">
        <v>318</v>
      </c>
      <c r="J259" t="s">
        <v>319</v>
      </c>
      <c r="K259" t="s">
        <v>634</v>
      </c>
      <c r="L259" s="48">
        <v>44144</v>
      </c>
      <c r="M259" t="s">
        <v>134</v>
      </c>
      <c r="N259" t="s">
        <v>551</v>
      </c>
      <c r="O259">
        <v>1</v>
      </c>
      <c r="P259" t="s">
        <v>712</v>
      </c>
      <c r="Q259" t="s">
        <v>635</v>
      </c>
      <c r="R259" s="81" t="s">
        <v>713</v>
      </c>
      <c r="S259" s="81" t="s">
        <v>714</v>
      </c>
      <c r="T259" t="s">
        <v>37</v>
      </c>
      <c r="U259" t="s">
        <v>75</v>
      </c>
      <c r="V259">
        <v>44</v>
      </c>
      <c r="W259">
        <v>66</v>
      </c>
      <c r="X259">
        <v>97</v>
      </c>
      <c r="Y259">
        <v>72</v>
      </c>
      <c r="Z259">
        <v>142</v>
      </c>
      <c r="AA259">
        <v>111</v>
      </c>
      <c r="AB259" t="s">
        <v>284</v>
      </c>
    </row>
    <row r="260" spans="1:28">
      <c r="A260">
        <v>1220</v>
      </c>
      <c r="B260">
        <v>1075</v>
      </c>
      <c r="C260" t="s">
        <v>633</v>
      </c>
      <c r="D260" t="s">
        <v>93</v>
      </c>
      <c r="E260" t="s">
        <v>744</v>
      </c>
      <c r="F260" t="s">
        <v>369</v>
      </c>
      <c r="G260" t="s">
        <v>457</v>
      </c>
      <c r="H260" t="s">
        <v>309</v>
      </c>
      <c r="I260" t="s">
        <v>312</v>
      </c>
      <c r="J260" t="s">
        <v>312</v>
      </c>
      <c r="K260" t="s">
        <v>634</v>
      </c>
      <c r="L260" s="48">
        <v>44144</v>
      </c>
      <c r="M260" t="s">
        <v>134</v>
      </c>
      <c r="N260" t="s">
        <v>551</v>
      </c>
      <c r="O260">
        <v>1</v>
      </c>
      <c r="P260" t="s">
        <v>712</v>
      </c>
      <c r="Q260" t="s">
        <v>635</v>
      </c>
      <c r="R260" s="81" t="s">
        <v>713</v>
      </c>
      <c r="S260" s="81" t="s">
        <v>714</v>
      </c>
      <c r="T260" t="s">
        <v>113</v>
      </c>
      <c r="U260" t="s">
        <v>75</v>
      </c>
      <c r="V260">
        <v>44</v>
      </c>
      <c r="W260">
        <v>66</v>
      </c>
      <c r="X260">
        <v>97</v>
      </c>
      <c r="Y260">
        <v>72</v>
      </c>
      <c r="Z260">
        <v>142</v>
      </c>
      <c r="AA260">
        <v>111</v>
      </c>
      <c r="AB260" t="s">
        <v>284</v>
      </c>
    </row>
    <row r="261" spans="1:28">
      <c r="A261">
        <v>1221</v>
      </c>
      <c r="B261">
        <v>1103</v>
      </c>
      <c r="C261" t="s">
        <v>646</v>
      </c>
      <c r="D261" t="s">
        <v>93</v>
      </c>
      <c r="E261" t="s">
        <v>744</v>
      </c>
      <c r="F261" t="s">
        <v>369</v>
      </c>
      <c r="G261" t="s">
        <v>458</v>
      </c>
      <c r="H261" t="s">
        <v>309</v>
      </c>
      <c r="I261" t="s">
        <v>318</v>
      </c>
      <c r="J261" t="s">
        <v>318</v>
      </c>
      <c r="K261" t="s">
        <v>647</v>
      </c>
      <c r="L261" s="48">
        <v>43684</v>
      </c>
      <c r="M261" t="s">
        <v>134</v>
      </c>
      <c r="N261" t="s">
        <v>559</v>
      </c>
      <c r="O261">
        <v>9</v>
      </c>
      <c r="P261" t="s">
        <v>719</v>
      </c>
      <c r="Q261" t="s">
        <v>648</v>
      </c>
      <c r="R261" s="81" t="s">
        <v>720</v>
      </c>
      <c r="S261" s="81" t="s">
        <v>721</v>
      </c>
      <c r="T261" t="s">
        <v>113</v>
      </c>
      <c r="U261" t="s">
        <v>82</v>
      </c>
      <c r="V261">
        <v>41</v>
      </c>
      <c r="W261">
        <v>66</v>
      </c>
      <c r="X261">
        <v>97</v>
      </c>
      <c r="Y261">
        <v>68</v>
      </c>
      <c r="Z261">
        <v>142</v>
      </c>
      <c r="AA261">
        <v>105</v>
      </c>
      <c r="AB261" t="s">
        <v>284</v>
      </c>
    </row>
    <row r="262" spans="1:28">
      <c r="A262">
        <v>1221</v>
      </c>
      <c r="B262">
        <v>1103</v>
      </c>
      <c r="C262" t="s">
        <v>646</v>
      </c>
      <c r="D262" t="s">
        <v>93</v>
      </c>
      <c r="E262" t="s">
        <v>744</v>
      </c>
      <c r="F262" t="s">
        <v>367</v>
      </c>
      <c r="G262" t="s">
        <v>459</v>
      </c>
      <c r="H262" t="s">
        <v>312</v>
      </c>
      <c r="I262" t="s">
        <v>318</v>
      </c>
      <c r="J262" t="s">
        <v>312</v>
      </c>
      <c r="K262" t="s">
        <v>647</v>
      </c>
      <c r="L262" s="48">
        <v>43684</v>
      </c>
      <c r="M262" t="s">
        <v>134</v>
      </c>
      <c r="N262" t="s">
        <v>559</v>
      </c>
      <c r="O262">
        <v>9</v>
      </c>
      <c r="P262" t="s">
        <v>719</v>
      </c>
      <c r="Q262" t="s">
        <v>648</v>
      </c>
      <c r="R262" s="81" t="s">
        <v>720</v>
      </c>
      <c r="S262" s="81" t="s">
        <v>721</v>
      </c>
      <c r="T262" t="s">
        <v>37</v>
      </c>
      <c r="U262" t="s">
        <v>82</v>
      </c>
      <c r="V262">
        <v>41</v>
      </c>
      <c r="W262">
        <v>66</v>
      </c>
      <c r="X262">
        <v>97</v>
      </c>
      <c r="Y262">
        <v>68</v>
      </c>
      <c r="Z262">
        <v>142</v>
      </c>
      <c r="AA262">
        <v>105</v>
      </c>
      <c r="AB262" t="s">
        <v>284</v>
      </c>
    </row>
    <row r="263" spans="1:28">
      <c r="A263">
        <v>1221</v>
      </c>
      <c r="B263">
        <v>1103</v>
      </c>
      <c r="C263" t="s">
        <v>646</v>
      </c>
      <c r="D263" t="s">
        <v>93</v>
      </c>
      <c r="E263" t="s">
        <v>744</v>
      </c>
      <c r="F263" t="s">
        <v>7</v>
      </c>
      <c r="G263" t="s">
        <v>330</v>
      </c>
      <c r="H263" t="s">
        <v>312</v>
      </c>
      <c r="I263" t="s">
        <v>321</v>
      </c>
      <c r="J263" t="s">
        <v>296</v>
      </c>
      <c r="K263" t="s">
        <v>647</v>
      </c>
      <c r="L263" s="48">
        <v>43684</v>
      </c>
      <c r="M263" t="s">
        <v>134</v>
      </c>
      <c r="N263" t="s">
        <v>559</v>
      </c>
      <c r="O263">
        <v>9</v>
      </c>
      <c r="P263" t="s">
        <v>719</v>
      </c>
      <c r="Q263" t="s">
        <v>648</v>
      </c>
      <c r="R263" s="81" t="s">
        <v>720</v>
      </c>
      <c r="S263" s="81" t="s">
        <v>721</v>
      </c>
      <c r="T263" t="s">
        <v>31</v>
      </c>
      <c r="U263" t="s">
        <v>82</v>
      </c>
      <c r="V263">
        <v>41</v>
      </c>
      <c r="W263">
        <v>66</v>
      </c>
      <c r="X263">
        <v>97</v>
      </c>
      <c r="Y263">
        <v>68</v>
      </c>
      <c r="Z263">
        <v>142</v>
      </c>
      <c r="AA263">
        <v>105</v>
      </c>
      <c r="AB263" t="s">
        <v>284</v>
      </c>
    </row>
    <row r="264" spans="1:28">
      <c r="A264">
        <v>1221</v>
      </c>
      <c r="B264">
        <v>1103</v>
      </c>
      <c r="C264" t="s">
        <v>646</v>
      </c>
      <c r="D264" t="s">
        <v>93</v>
      </c>
      <c r="E264" t="s">
        <v>744</v>
      </c>
      <c r="F264" t="s">
        <v>8</v>
      </c>
      <c r="G264" t="s">
        <v>331</v>
      </c>
      <c r="H264" t="s">
        <v>317</v>
      </c>
      <c r="I264" t="s">
        <v>204</v>
      </c>
      <c r="J264" t="s">
        <v>742</v>
      </c>
      <c r="K264" t="s">
        <v>647</v>
      </c>
      <c r="L264" s="48">
        <v>43684</v>
      </c>
      <c r="M264" t="s">
        <v>134</v>
      </c>
      <c r="N264" t="s">
        <v>559</v>
      </c>
      <c r="O264">
        <v>9</v>
      </c>
      <c r="P264" t="s">
        <v>719</v>
      </c>
      <c r="Q264" t="s">
        <v>648</v>
      </c>
      <c r="R264" s="81" t="s">
        <v>720</v>
      </c>
      <c r="S264" s="81" t="s">
        <v>721</v>
      </c>
      <c r="T264" t="s">
        <v>30</v>
      </c>
      <c r="U264" t="s">
        <v>82</v>
      </c>
      <c r="V264">
        <v>41</v>
      </c>
      <c r="W264">
        <v>66</v>
      </c>
      <c r="X264">
        <v>97</v>
      </c>
      <c r="Y264">
        <v>68</v>
      </c>
      <c r="Z264">
        <v>142</v>
      </c>
      <c r="AA264">
        <v>105</v>
      </c>
      <c r="AB264" t="s">
        <v>284</v>
      </c>
    </row>
    <row r="265" spans="1:28">
      <c r="A265">
        <v>1221</v>
      </c>
      <c r="B265">
        <v>1103</v>
      </c>
      <c r="C265" t="s">
        <v>646</v>
      </c>
      <c r="D265" t="s">
        <v>93</v>
      </c>
      <c r="E265" t="s">
        <v>744</v>
      </c>
      <c r="F265" t="s">
        <v>5</v>
      </c>
      <c r="G265" t="s">
        <v>332</v>
      </c>
      <c r="H265" t="s">
        <v>308</v>
      </c>
      <c r="I265" t="s">
        <v>316</v>
      </c>
      <c r="J265" t="s">
        <v>311</v>
      </c>
      <c r="K265" t="s">
        <v>647</v>
      </c>
      <c r="L265" s="48">
        <v>43684</v>
      </c>
      <c r="M265" t="s">
        <v>134</v>
      </c>
      <c r="N265" t="s">
        <v>559</v>
      </c>
      <c r="O265">
        <v>9</v>
      </c>
      <c r="P265" t="s">
        <v>719</v>
      </c>
      <c r="Q265" t="s">
        <v>648</v>
      </c>
      <c r="R265" s="81" t="s">
        <v>720</v>
      </c>
      <c r="S265" s="81" t="s">
        <v>721</v>
      </c>
      <c r="T265" t="s">
        <v>32</v>
      </c>
      <c r="U265" t="s">
        <v>82</v>
      </c>
      <c r="V265">
        <v>41</v>
      </c>
      <c r="W265">
        <v>66</v>
      </c>
      <c r="X265">
        <v>97</v>
      </c>
      <c r="Y265">
        <v>68</v>
      </c>
      <c r="Z265">
        <v>142</v>
      </c>
      <c r="AA265">
        <v>105</v>
      </c>
      <c r="AB265" t="s">
        <v>284</v>
      </c>
    </row>
    <row r="266" spans="1:28">
      <c r="A266">
        <v>1222</v>
      </c>
      <c r="B266">
        <v>1013</v>
      </c>
      <c r="C266" t="s">
        <v>641</v>
      </c>
      <c r="D266" t="s">
        <v>93</v>
      </c>
      <c r="E266" t="s">
        <v>744</v>
      </c>
      <c r="F266" t="s">
        <v>5</v>
      </c>
      <c r="G266" t="s">
        <v>333</v>
      </c>
      <c r="H266" t="s">
        <v>301</v>
      </c>
      <c r="I266" t="s">
        <v>292</v>
      </c>
      <c r="J266" t="s">
        <v>285</v>
      </c>
      <c r="K266" t="s">
        <v>642</v>
      </c>
      <c r="L266" s="48">
        <v>43159</v>
      </c>
      <c r="M266" t="s">
        <v>134</v>
      </c>
      <c r="N266" t="s">
        <v>643</v>
      </c>
      <c r="O266">
        <v>3</v>
      </c>
      <c r="P266" t="s">
        <v>644</v>
      </c>
      <c r="Q266" t="s">
        <v>645</v>
      </c>
      <c r="R266" s="81" t="s">
        <v>717</v>
      </c>
      <c r="S266" s="81" t="s">
        <v>718</v>
      </c>
      <c r="T266" t="s">
        <v>32</v>
      </c>
      <c r="U266" t="s">
        <v>77</v>
      </c>
      <c r="V266">
        <v>50</v>
      </c>
      <c r="W266">
        <v>66</v>
      </c>
      <c r="X266">
        <v>97</v>
      </c>
      <c r="Y266">
        <v>79</v>
      </c>
      <c r="Z266">
        <v>142</v>
      </c>
      <c r="AA266">
        <v>115</v>
      </c>
      <c r="AB266" t="s">
        <v>284</v>
      </c>
    </row>
    <row r="267" spans="1:28">
      <c r="A267">
        <v>1222</v>
      </c>
      <c r="B267">
        <v>1013</v>
      </c>
      <c r="C267" t="s">
        <v>641</v>
      </c>
      <c r="D267" t="s">
        <v>93</v>
      </c>
      <c r="E267" t="s">
        <v>744</v>
      </c>
      <c r="F267" t="s">
        <v>8</v>
      </c>
      <c r="G267" t="s">
        <v>334</v>
      </c>
      <c r="H267" t="s">
        <v>294</v>
      </c>
      <c r="I267" t="s">
        <v>294</v>
      </c>
      <c r="J267" t="s">
        <v>292</v>
      </c>
      <c r="K267" t="s">
        <v>642</v>
      </c>
      <c r="L267" s="48">
        <v>43159</v>
      </c>
      <c r="M267" t="s">
        <v>134</v>
      </c>
      <c r="N267" t="s">
        <v>643</v>
      </c>
      <c r="O267">
        <v>3</v>
      </c>
      <c r="P267" t="s">
        <v>644</v>
      </c>
      <c r="Q267" t="s">
        <v>645</v>
      </c>
      <c r="R267" s="81" t="s">
        <v>717</v>
      </c>
      <c r="S267" s="81" t="s">
        <v>718</v>
      </c>
      <c r="T267" t="s">
        <v>30</v>
      </c>
      <c r="U267" t="s">
        <v>77</v>
      </c>
      <c r="V267">
        <v>50</v>
      </c>
      <c r="W267">
        <v>66</v>
      </c>
      <c r="X267">
        <v>97</v>
      </c>
      <c r="Y267">
        <v>79</v>
      </c>
      <c r="Z267">
        <v>142</v>
      </c>
      <c r="AA267">
        <v>115</v>
      </c>
      <c r="AB267" t="s">
        <v>284</v>
      </c>
    </row>
    <row r="268" spans="1:28">
      <c r="A268">
        <v>1222</v>
      </c>
      <c r="B268">
        <v>1013</v>
      </c>
      <c r="C268" t="s">
        <v>641</v>
      </c>
      <c r="D268" t="s">
        <v>93</v>
      </c>
      <c r="E268" t="s">
        <v>744</v>
      </c>
      <c r="F268" t="s">
        <v>7</v>
      </c>
      <c r="G268" t="s">
        <v>335</v>
      </c>
      <c r="H268" t="s">
        <v>289</v>
      </c>
      <c r="I268" t="s">
        <v>289</v>
      </c>
      <c r="J268" t="s">
        <v>300</v>
      </c>
      <c r="K268" t="s">
        <v>642</v>
      </c>
      <c r="L268" s="48">
        <v>43159</v>
      </c>
      <c r="M268" t="s">
        <v>134</v>
      </c>
      <c r="N268" t="s">
        <v>643</v>
      </c>
      <c r="O268">
        <v>3</v>
      </c>
      <c r="P268" t="s">
        <v>644</v>
      </c>
      <c r="Q268" t="s">
        <v>645</v>
      </c>
      <c r="R268" s="81" t="s">
        <v>717</v>
      </c>
      <c r="S268" s="81" t="s">
        <v>718</v>
      </c>
      <c r="T268" t="s">
        <v>31</v>
      </c>
      <c r="U268" t="s">
        <v>77</v>
      </c>
      <c r="V268">
        <v>50</v>
      </c>
      <c r="W268">
        <v>66</v>
      </c>
      <c r="X268">
        <v>97</v>
      </c>
      <c r="Y268">
        <v>79</v>
      </c>
      <c r="Z268">
        <v>142</v>
      </c>
      <c r="AA268">
        <v>115</v>
      </c>
      <c r="AB268" t="s">
        <v>284</v>
      </c>
    </row>
    <row r="269" spans="1:28">
      <c r="A269">
        <v>1222</v>
      </c>
      <c r="B269">
        <v>1013</v>
      </c>
      <c r="C269" t="s">
        <v>641</v>
      </c>
      <c r="D269" t="s">
        <v>93</v>
      </c>
      <c r="E269" t="s">
        <v>744</v>
      </c>
      <c r="F269" t="s">
        <v>367</v>
      </c>
      <c r="G269" t="s">
        <v>460</v>
      </c>
      <c r="H269" t="s">
        <v>312</v>
      </c>
      <c r="I269" t="s">
        <v>318</v>
      </c>
      <c r="J269" t="s">
        <v>318</v>
      </c>
      <c r="K269" t="s">
        <v>642</v>
      </c>
      <c r="L269" s="48">
        <v>43159</v>
      </c>
      <c r="M269" t="s">
        <v>134</v>
      </c>
      <c r="N269" t="s">
        <v>643</v>
      </c>
      <c r="O269">
        <v>3</v>
      </c>
      <c r="P269" t="s">
        <v>644</v>
      </c>
      <c r="Q269" t="s">
        <v>645</v>
      </c>
      <c r="R269" s="81" t="s">
        <v>717</v>
      </c>
      <c r="S269" s="81" t="s">
        <v>718</v>
      </c>
      <c r="T269" t="s">
        <v>37</v>
      </c>
      <c r="U269" t="s">
        <v>77</v>
      </c>
      <c r="V269">
        <v>50</v>
      </c>
      <c r="W269">
        <v>66</v>
      </c>
      <c r="X269">
        <v>97</v>
      </c>
      <c r="Y269">
        <v>79</v>
      </c>
      <c r="Z269">
        <v>142</v>
      </c>
      <c r="AA269">
        <v>115</v>
      </c>
      <c r="AB269" t="s">
        <v>284</v>
      </c>
    </row>
    <row r="270" spans="1:28">
      <c r="A270">
        <v>1222</v>
      </c>
      <c r="B270">
        <v>1013</v>
      </c>
      <c r="C270" t="s">
        <v>641</v>
      </c>
      <c r="D270" t="s">
        <v>93</v>
      </c>
      <c r="E270" t="s">
        <v>744</v>
      </c>
      <c r="F270" t="s">
        <v>369</v>
      </c>
      <c r="G270" t="s">
        <v>461</v>
      </c>
      <c r="H270" t="s">
        <v>309</v>
      </c>
      <c r="I270" t="s">
        <v>309</v>
      </c>
      <c r="J270" t="s">
        <v>312</v>
      </c>
      <c r="K270" t="s">
        <v>642</v>
      </c>
      <c r="L270" s="48">
        <v>43159</v>
      </c>
      <c r="M270" t="s">
        <v>134</v>
      </c>
      <c r="N270" t="s">
        <v>643</v>
      </c>
      <c r="O270">
        <v>3</v>
      </c>
      <c r="P270" t="s">
        <v>644</v>
      </c>
      <c r="Q270" t="s">
        <v>645</v>
      </c>
      <c r="R270" s="81" t="s">
        <v>717</v>
      </c>
      <c r="S270" s="81" t="s">
        <v>718</v>
      </c>
      <c r="T270" t="s">
        <v>113</v>
      </c>
      <c r="U270" t="s">
        <v>77</v>
      </c>
      <c r="V270">
        <v>50</v>
      </c>
      <c r="W270">
        <v>66</v>
      </c>
      <c r="X270">
        <v>97</v>
      </c>
      <c r="Y270">
        <v>79</v>
      </c>
      <c r="Z270">
        <v>142</v>
      </c>
      <c r="AA270">
        <v>115</v>
      </c>
      <c r="AB270" t="s">
        <v>284</v>
      </c>
    </row>
    <row r="271" spans="1:28">
      <c r="A271">
        <v>1223</v>
      </c>
      <c r="B271">
        <v>1011</v>
      </c>
      <c r="C271" t="s">
        <v>649</v>
      </c>
      <c r="D271" t="s">
        <v>93</v>
      </c>
      <c r="E271" t="s">
        <v>744</v>
      </c>
      <c r="F271" t="s">
        <v>369</v>
      </c>
      <c r="G271" t="s">
        <v>462</v>
      </c>
      <c r="H271" t="s">
        <v>309</v>
      </c>
      <c r="I271" t="s">
        <v>312</v>
      </c>
      <c r="J271" t="s">
        <v>319</v>
      </c>
      <c r="K271" t="s">
        <v>650</v>
      </c>
      <c r="L271" s="48">
        <v>43739</v>
      </c>
      <c r="M271" t="s">
        <v>134</v>
      </c>
      <c r="N271" t="s">
        <v>651</v>
      </c>
      <c r="O271">
        <v>2</v>
      </c>
      <c r="P271" t="s">
        <v>652</v>
      </c>
      <c r="Q271" t="s">
        <v>653</v>
      </c>
      <c r="R271" s="81" t="s">
        <v>722</v>
      </c>
      <c r="S271" s="81" t="s">
        <v>723</v>
      </c>
      <c r="T271" t="s">
        <v>113</v>
      </c>
      <c r="U271" t="s">
        <v>76</v>
      </c>
      <c r="V271">
        <v>41</v>
      </c>
      <c r="W271">
        <v>66</v>
      </c>
      <c r="X271">
        <v>97</v>
      </c>
      <c r="Y271">
        <v>67</v>
      </c>
      <c r="Z271">
        <v>142</v>
      </c>
      <c r="AA271">
        <v>102</v>
      </c>
      <c r="AB271" t="s">
        <v>284</v>
      </c>
    </row>
    <row r="272" spans="1:28">
      <c r="A272">
        <v>1223</v>
      </c>
      <c r="B272">
        <v>1011</v>
      </c>
      <c r="C272" t="s">
        <v>649</v>
      </c>
      <c r="D272" t="s">
        <v>93</v>
      </c>
      <c r="E272" t="s">
        <v>744</v>
      </c>
      <c r="F272" t="s">
        <v>367</v>
      </c>
      <c r="G272" t="s">
        <v>463</v>
      </c>
      <c r="H272" t="s">
        <v>312</v>
      </c>
      <c r="I272" t="s">
        <v>318</v>
      </c>
      <c r="J272" t="s">
        <v>312</v>
      </c>
      <c r="K272" t="s">
        <v>650</v>
      </c>
      <c r="L272" s="48">
        <v>43739</v>
      </c>
      <c r="M272" t="s">
        <v>134</v>
      </c>
      <c r="N272" t="s">
        <v>651</v>
      </c>
      <c r="O272">
        <v>2</v>
      </c>
      <c r="P272" t="s">
        <v>652</v>
      </c>
      <c r="Q272" t="s">
        <v>653</v>
      </c>
      <c r="R272" s="81" t="s">
        <v>722</v>
      </c>
      <c r="S272" s="81" t="s">
        <v>723</v>
      </c>
      <c r="T272" t="s">
        <v>37</v>
      </c>
      <c r="U272" t="s">
        <v>76</v>
      </c>
      <c r="V272">
        <v>41</v>
      </c>
      <c r="W272">
        <v>66</v>
      </c>
      <c r="X272">
        <v>97</v>
      </c>
      <c r="Y272">
        <v>67</v>
      </c>
      <c r="Z272">
        <v>142</v>
      </c>
      <c r="AA272">
        <v>102</v>
      </c>
      <c r="AB272" t="s">
        <v>284</v>
      </c>
    </row>
    <row r="273" spans="1:28">
      <c r="A273">
        <v>1223</v>
      </c>
      <c r="B273">
        <v>1011</v>
      </c>
      <c r="C273" t="s">
        <v>649</v>
      </c>
      <c r="D273" t="s">
        <v>93</v>
      </c>
      <c r="E273" t="s">
        <v>744</v>
      </c>
      <c r="F273" t="s">
        <v>7</v>
      </c>
      <c r="G273" t="s">
        <v>336</v>
      </c>
      <c r="H273" t="s">
        <v>310</v>
      </c>
      <c r="I273" t="s">
        <v>313</v>
      </c>
      <c r="J273" t="s">
        <v>310</v>
      </c>
      <c r="K273" t="s">
        <v>650</v>
      </c>
      <c r="L273" s="48">
        <v>43739</v>
      </c>
      <c r="M273" t="s">
        <v>134</v>
      </c>
      <c r="N273" t="s">
        <v>651</v>
      </c>
      <c r="O273">
        <v>2</v>
      </c>
      <c r="P273" t="s">
        <v>652</v>
      </c>
      <c r="Q273" t="s">
        <v>653</v>
      </c>
      <c r="R273" s="81" t="s">
        <v>722</v>
      </c>
      <c r="S273" s="81" t="s">
        <v>723</v>
      </c>
      <c r="T273" t="s">
        <v>31</v>
      </c>
      <c r="U273" t="s">
        <v>76</v>
      </c>
      <c r="V273">
        <v>41</v>
      </c>
      <c r="W273">
        <v>66</v>
      </c>
      <c r="X273">
        <v>97</v>
      </c>
      <c r="Y273">
        <v>67</v>
      </c>
      <c r="Z273">
        <v>142</v>
      </c>
      <c r="AA273">
        <v>102</v>
      </c>
      <c r="AB273" t="s">
        <v>284</v>
      </c>
    </row>
    <row r="274" spans="1:28">
      <c r="A274">
        <v>1223</v>
      </c>
      <c r="B274">
        <v>1011</v>
      </c>
      <c r="C274" t="s">
        <v>649</v>
      </c>
      <c r="D274" t="s">
        <v>93</v>
      </c>
      <c r="E274" t="s">
        <v>744</v>
      </c>
      <c r="F274" t="s">
        <v>8</v>
      </c>
      <c r="G274" t="s">
        <v>337</v>
      </c>
      <c r="H274" t="s">
        <v>313</v>
      </c>
      <c r="I274" t="s">
        <v>302</v>
      </c>
      <c r="J274" t="s">
        <v>313</v>
      </c>
      <c r="K274" t="s">
        <v>650</v>
      </c>
      <c r="L274" s="48">
        <v>43739</v>
      </c>
      <c r="M274" t="s">
        <v>134</v>
      </c>
      <c r="N274" t="s">
        <v>651</v>
      </c>
      <c r="O274">
        <v>2</v>
      </c>
      <c r="P274" t="s">
        <v>652</v>
      </c>
      <c r="Q274" t="s">
        <v>653</v>
      </c>
      <c r="R274" s="81" t="s">
        <v>722</v>
      </c>
      <c r="S274" s="81" t="s">
        <v>723</v>
      </c>
      <c r="T274" t="s">
        <v>30</v>
      </c>
      <c r="U274" t="s">
        <v>76</v>
      </c>
      <c r="V274">
        <v>41</v>
      </c>
      <c r="W274">
        <v>66</v>
      </c>
      <c r="X274">
        <v>97</v>
      </c>
      <c r="Y274">
        <v>67</v>
      </c>
      <c r="Z274">
        <v>142</v>
      </c>
      <c r="AA274">
        <v>102</v>
      </c>
      <c r="AB274" t="s">
        <v>284</v>
      </c>
    </row>
    <row r="275" spans="1:28">
      <c r="A275">
        <v>1223</v>
      </c>
      <c r="B275">
        <v>1011</v>
      </c>
      <c r="C275" t="s">
        <v>649</v>
      </c>
      <c r="D275" t="s">
        <v>93</v>
      </c>
      <c r="E275" t="s">
        <v>744</v>
      </c>
      <c r="F275" t="s">
        <v>5</v>
      </c>
      <c r="G275" t="s">
        <v>338</v>
      </c>
      <c r="H275" t="s">
        <v>293</v>
      </c>
      <c r="I275" t="s">
        <v>319</v>
      </c>
      <c r="J275" t="s">
        <v>304</v>
      </c>
      <c r="K275" t="s">
        <v>650</v>
      </c>
      <c r="L275" s="48">
        <v>43739</v>
      </c>
      <c r="M275" t="s">
        <v>134</v>
      </c>
      <c r="N275" t="s">
        <v>651</v>
      </c>
      <c r="O275">
        <v>2</v>
      </c>
      <c r="P275" t="s">
        <v>652</v>
      </c>
      <c r="Q275" t="s">
        <v>653</v>
      </c>
      <c r="R275" s="81" t="s">
        <v>722</v>
      </c>
      <c r="S275" s="81" t="s">
        <v>723</v>
      </c>
      <c r="T275" t="s">
        <v>32</v>
      </c>
      <c r="U275" t="s">
        <v>76</v>
      </c>
      <c r="V275">
        <v>41</v>
      </c>
      <c r="W275">
        <v>66</v>
      </c>
      <c r="X275">
        <v>97</v>
      </c>
      <c r="Y275">
        <v>67</v>
      </c>
      <c r="Z275">
        <v>142</v>
      </c>
      <c r="AA275">
        <v>102</v>
      </c>
      <c r="AB275" t="s">
        <v>284</v>
      </c>
    </row>
    <row r="276" spans="1:28">
      <c r="A276">
        <v>1224</v>
      </c>
      <c r="B276">
        <v>1208</v>
      </c>
      <c r="C276" t="s">
        <v>944</v>
      </c>
      <c r="D276" t="s">
        <v>93</v>
      </c>
      <c r="E276" t="s">
        <v>744</v>
      </c>
      <c r="F276" t="s">
        <v>5</v>
      </c>
      <c r="G276" t="s">
        <v>339</v>
      </c>
      <c r="H276" t="s">
        <v>315</v>
      </c>
      <c r="I276" t="s">
        <v>204</v>
      </c>
      <c r="J276" t="s">
        <v>309</v>
      </c>
      <c r="K276" t="s">
        <v>945</v>
      </c>
      <c r="L276" s="48">
        <v>44037</v>
      </c>
      <c r="M276" t="s">
        <v>134</v>
      </c>
      <c r="N276" t="s">
        <v>946</v>
      </c>
      <c r="O276">
        <v>3</v>
      </c>
      <c r="P276" t="s">
        <v>947</v>
      </c>
      <c r="Q276" t="s">
        <v>948</v>
      </c>
      <c r="R276" s="81" t="s">
        <v>949</v>
      </c>
      <c r="S276" s="81" t="s">
        <v>950</v>
      </c>
      <c r="T276" t="s">
        <v>32</v>
      </c>
      <c r="U276" t="s">
        <v>77</v>
      </c>
      <c r="V276">
        <v>37</v>
      </c>
      <c r="W276">
        <v>66</v>
      </c>
      <c r="X276">
        <v>97</v>
      </c>
      <c r="Y276">
        <v>64</v>
      </c>
      <c r="Z276">
        <v>142</v>
      </c>
      <c r="AA276">
        <v>101</v>
      </c>
      <c r="AB276" t="s">
        <v>284</v>
      </c>
    </row>
    <row r="277" spans="1:28">
      <c r="A277">
        <v>1224</v>
      </c>
      <c r="B277">
        <v>1208</v>
      </c>
      <c r="C277" t="s">
        <v>944</v>
      </c>
      <c r="D277" t="s">
        <v>93</v>
      </c>
      <c r="E277" t="s">
        <v>744</v>
      </c>
      <c r="F277" t="s">
        <v>8</v>
      </c>
      <c r="G277" t="s">
        <v>340</v>
      </c>
      <c r="H277" t="s">
        <v>319</v>
      </c>
      <c r="I277" t="s">
        <v>237</v>
      </c>
      <c r="J277" t="s">
        <v>320</v>
      </c>
      <c r="K277" t="s">
        <v>945</v>
      </c>
      <c r="L277" s="48">
        <v>44037</v>
      </c>
      <c r="M277" t="s">
        <v>134</v>
      </c>
      <c r="N277" t="s">
        <v>946</v>
      </c>
      <c r="O277">
        <v>3</v>
      </c>
      <c r="P277" t="s">
        <v>947</v>
      </c>
      <c r="Q277" t="s">
        <v>948</v>
      </c>
      <c r="R277" s="81" t="s">
        <v>949</v>
      </c>
      <c r="S277" s="81" t="s">
        <v>950</v>
      </c>
      <c r="T277" t="s">
        <v>30</v>
      </c>
      <c r="U277" t="s">
        <v>77</v>
      </c>
      <c r="V277">
        <v>37</v>
      </c>
      <c r="W277">
        <v>66</v>
      </c>
      <c r="X277">
        <v>97</v>
      </c>
      <c r="Y277">
        <v>64</v>
      </c>
      <c r="Z277">
        <v>142</v>
      </c>
      <c r="AA277">
        <v>101</v>
      </c>
      <c r="AB277" t="s">
        <v>284</v>
      </c>
    </row>
    <row r="278" spans="1:28">
      <c r="A278">
        <v>1224</v>
      </c>
      <c r="B278">
        <v>1208</v>
      </c>
      <c r="C278" t="s">
        <v>944</v>
      </c>
      <c r="D278" t="s">
        <v>93</v>
      </c>
      <c r="E278" t="s">
        <v>744</v>
      </c>
      <c r="F278" t="s">
        <v>7</v>
      </c>
      <c r="G278" t="s">
        <v>341</v>
      </c>
      <c r="H278" t="s">
        <v>303</v>
      </c>
      <c r="I278" t="s">
        <v>309</v>
      </c>
      <c r="J278" t="s">
        <v>315</v>
      </c>
      <c r="K278" t="s">
        <v>945</v>
      </c>
      <c r="L278" s="48">
        <v>44037</v>
      </c>
      <c r="M278" t="s">
        <v>134</v>
      </c>
      <c r="N278" t="s">
        <v>946</v>
      </c>
      <c r="O278">
        <v>3</v>
      </c>
      <c r="P278" t="s">
        <v>947</v>
      </c>
      <c r="Q278" t="s">
        <v>948</v>
      </c>
      <c r="R278" s="81" t="s">
        <v>949</v>
      </c>
      <c r="S278" s="81" t="s">
        <v>950</v>
      </c>
      <c r="T278" t="s">
        <v>31</v>
      </c>
      <c r="U278" t="s">
        <v>77</v>
      </c>
      <c r="V278">
        <v>37</v>
      </c>
      <c r="W278">
        <v>66</v>
      </c>
      <c r="X278">
        <v>97</v>
      </c>
      <c r="Y278">
        <v>64</v>
      </c>
      <c r="Z278">
        <v>142</v>
      </c>
      <c r="AA278">
        <v>101</v>
      </c>
      <c r="AB278" t="s">
        <v>284</v>
      </c>
    </row>
    <row r="279" spans="1:28">
      <c r="A279">
        <v>1224</v>
      </c>
      <c r="B279">
        <v>1208</v>
      </c>
      <c r="C279" t="s">
        <v>944</v>
      </c>
      <c r="D279" t="s">
        <v>93</v>
      </c>
      <c r="E279" t="s">
        <v>744</v>
      </c>
      <c r="F279" t="s">
        <v>367</v>
      </c>
      <c r="G279" t="s">
        <v>464</v>
      </c>
      <c r="H279" t="s">
        <v>312</v>
      </c>
      <c r="I279" t="s">
        <v>309</v>
      </c>
      <c r="J279" t="s">
        <v>318</v>
      </c>
      <c r="K279" t="s">
        <v>945</v>
      </c>
      <c r="L279" s="48">
        <v>44037</v>
      </c>
      <c r="M279" t="s">
        <v>134</v>
      </c>
      <c r="N279" t="s">
        <v>946</v>
      </c>
      <c r="O279">
        <v>3</v>
      </c>
      <c r="P279" t="s">
        <v>947</v>
      </c>
      <c r="Q279" t="s">
        <v>948</v>
      </c>
      <c r="R279" s="81" t="s">
        <v>949</v>
      </c>
      <c r="S279" s="81" t="s">
        <v>950</v>
      </c>
      <c r="T279" t="s">
        <v>37</v>
      </c>
      <c r="U279" t="s">
        <v>77</v>
      </c>
      <c r="V279">
        <v>37</v>
      </c>
      <c r="W279">
        <v>66</v>
      </c>
      <c r="X279">
        <v>97</v>
      </c>
      <c r="Y279">
        <v>64</v>
      </c>
      <c r="Z279">
        <v>142</v>
      </c>
      <c r="AA279">
        <v>101</v>
      </c>
      <c r="AB279" t="s">
        <v>284</v>
      </c>
    </row>
    <row r="280" spans="1:28">
      <c r="A280">
        <v>1224</v>
      </c>
      <c r="B280">
        <v>1208</v>
      </c>
      <c r="C280" t="s">
        <v>944</v>
      </c>
      <c r="D280" t="s">
        <v>93</v>
      </c>
      <c r="E280" t="s">
        <v>744</v>
      </c>
      <c r="F280" t="s">
        <v>369</v>
      </c>
      <c r="G280" t="s">
        <v>465</v>
      </c>
      <c r="H280" t="s">
        <v>309</v>
      </c>
      <c r="I280" t="s">
        <v>312</v>
      </c>
      <c r="J280" t="s">
        <v>318</v>
      </c>
      <c r="K280" t="s">
        <v>945</v>
      </c>
      <c r="L280" s="48">
        <v>44037</v>
      </c>
      <c r="M280" t="s">
        <v>134</v>
      </c>
      <c r="N280" t="s">
        <v>946</v>
      </c>
      <c r="O280">
        <v>3</v>
      </c>
      <c r="P280" t="s">
        <v>947</v>
      </c>
      <c r="Q280" t="s">
        <v>948</v>
      </c>
      <c r="R280" s="81" t="s">
        <v>949</v>
      </c>
      <c r="S280" s="81" t="s">
        <v>950</v>
      </c>
      <c r="T280" t="s">
        <v>113</v>
      </c>
      <c r="U280" t="s">
        <v>77</v>
      </c>
      <c r="V280">
        <v>37</v>
      </c>
      <c r="W280">
        <v>66</v>
      </c>
      <c r="X280">
        <v>97</v>
      </c>
      <c r="Y280">
        <v>64</v>
      </c>
      <c r="Z280">
        <v>142</v>
      </c>
      <c r="AA280">
        <v>101</v>
      </c>
      <c r="AB280" t="s">
        <v>284</v>
      </c>
    </row>
    <row r="281" spans="1:28">
      <c r="A281">
        <v>1225</v>
      </c>
      <c r="B281">
        <v>1235</v>
      </c>
      <c r="C281" t="s">
        <v>951</v>
      </c>
      <c r="D281" t="s">
        <v>93</v>
      </c>
      <c r="E281" t="s">
        <v>744</v>
      </c>
      <c r="F281" t="s">
        <v>369</v>
      </c>
      <c r="G281" t="s">
        <v>557</v>
      </c>
      <c r="H281" t="s">
        <v>309</v>
      </c>
      <c r="I281" t="s">
        <v>318</v>
      </c>
      <c r="J281" t="s">
        <v>319</v>
      </c>
      <c r="K281" t="s">
        <v>952</v>
      </c>
      <c r="L281" s="48">
        <v>44191</v>
      </c>
      <c r="M281" t="s">
        <v>134</v>
      </c>
      <c r="N281" t="s">
        <v>953</v>
      </c>
      <c r="O281">
        <v>2</v>
      </c>
      <c r="P281" t="s">
        <v>954</v>
      </c>
      <c r="Q281" t="s">
        <v>955</v>
      </c>
      <c r="R281" s="81" t="s">
        <v>284</v>
      </c>
      <c r="S281" s="81" t="s">
        <v>284</v>
      </c>
      <c r="T281" t="s">
        <v>113</v>
      </c>
      <c r="U281" t="s">
        <v>76</v>
      </c>
      <c r="V281">
        <v>41</v>
      </c>
      <c r="W281">
        <v>66</v>
      </c>
      <c r="X281">
        <v>97</v>
      </c>
      <c r="Y281">
        <v>65</v>
      </c>
      <c r="Z281">
        <v>142</v>
      </c>
      <c r="AA281">
        <v>95</v>
      </c>
      <c r="AB281" t="s">
        <v>284</v>
      </c>
    </row>
    <row r="282" spans="1:28">
      <c r="A282">
        <v>1225</v>
      </c>
      <c r="B282">
        <v>1235</v>
      </c>
      <c r="C282" t="s">
        <v>951</v>
      </c>
      <c r="D282" t="s">
        <v>93</v>
      </c>
      <c r="E282" t="s">
        <v>744</v>
      </c>
      <c r="F282" t="s">
        <v>367</v>
      </c>
      <c r="G282" t="s">
        <v>554</v>
      </c>
      <c r="H282" t="s">
        <v>312</v>
      </c>
      <c r="I282" t="s">
        <v>318</v>
      </c>
      <c r="J282" t="s">
        <v>312</v>
      </c>
      <c r="K282" t="s">
        <v>952</v>
      </c>
      <c r="L282" s="48">
        <v>44191</v>
      </c>
      <c r="M282" t="s">
        <v>134</v>
      </c>
      <c r="N282" t="s">
        <v>953</v>
      </c>
      <c r="O282">
        <v>2</v>
      </c>
      <c r="P282" t="s">
        <v>954</v>
      </c>
      <c r="Q282" t="s">
        <v>955</v>
      </c>
      <c r="R282" s="81" t="s">
        <v>284</v>
      </c>
      <c r="S282" s="81" t="s">
        <v>284</v>
      </c>
      <c r="T282" t="s">
        <v>37</v>
      </c>
      <c r="U282" t="s">
        <v>76</v>
      </c>
      <c r="V282">
        <v>41</v>
      </c>
      <c r="W282">
        <v>66</v>
      </c>
      <c r="X282">
        <v>97</v>
      </c>
      <c r="Y282">
        <v>65</v>
      </c>
      <c r="Z282">
        <v>142</v>
      </c>
      <c r="AA282">
        <v>95</v>
      </c>
      <c r="AB282" t="s">
        <v>284</v>
      </c>
    </row>
    <row r="283" spans="1:28">
      <c r="A283">
        <v>1225</v>
      </c>
      <c r="B283">
        <v>1235</v>
      </c>
      <c r="C283" t="s">
        <v>951</v>
      </c>
      <c r="D283" t="s">
        <v>93</v>
      </c>
      <c r="E283" t="s">
        <v>744</v>
      </c>
      <c r="F283" t="s">
        <v>7</v>
      </c>
      <c r="G283" t="s">
        <v>555</v>
      </c>
      <c r="H283" t="s">
        <v>312</v>
      </c>
      <c r="I283" t="s">
        <v>483</v>
      </c>
      <c r="J283" t="s">
        <v>323</v>
      </c>
      <c r="K283" t="s">
        <v>952</v>
      </c>
      <c r="L283" s="48">
        <v>44191</v>
      </c>
      <c r="M283" t="s">
        <v>134</v>
      </c>
      <c r="N283" t="s">
        <v>953</v>
      </c>
      <c r="O283">
        <v>2</v>
      </c>
      <c r="P283" t="s">
        <v>954</v>
      </c>
      <c r="Q283" t="s">
        <v>955</v>
      </c>
      <c r="R283" s="81" t="s">
        <v>284</v>
      </c>
      <c r="S283" s="81" t="s">
        <v>284</v>
      </c>
      <c r="T283" t="s">
        <v>31</v>
      </c>
      <c r="U283" t="s">
        <v>76</v>
      </c>
      <c r="V283">
        <v>41</v>
      </c>
      <c r="W283">
        <v>66</v>
      </c>
      <c r="X283">
        <v>97</v>
      </c>
      <c r="Y283">
        <v>65</v>
      </c>
      <c r="Z283">
        <v>142</v>
      </c>
      <c r="AA283">
        <v>95</v>
      </c>
      <c r="AB283" t="s">
        <v>284</v>
      </c>
    </row>
    <row r="284" spans="1:28">
      <c r="A284">
        <v>1225</v>
      </c>
      <c r="B284">
        <v>1235</v>
      </c>
      <c r="C284" t="s">
        <v>951</v>
      </c>
      <c r="D284" t="s">
        <v>93</v>
      </c>
      <c r="E284" t="s">
        <v>744</v>
      </c>
      <c r="F284" t="s">
        <v>8</v>
      </c>
      <c r="G284" t="s">
        <v>556</v>
      </c>
      <c r="H284" t="s">
        <v>318</v>
      </c>
      <c r="I284" t="s">
        <v>483</v>
      </c>
      <c r="J284" t="s">
        <v>227</v>
      </c>
      <c r="K284" t="s">
        <v>952</v>
      </c>
      <c r="L284" s="48">
        <v>44191</v>
      </c>
      <c r="M284" t="s">
        <v>134</v>
      </c>
      <c r="N284" t="s">
        <v>953</v>
      </c>
      <c r="O284">
        <v>2</v>
      </c>
      <c r="P284" t="s">
        <v>954</v>
      </c>
      <c r="Q284" t="s">
        <v>955</v>
      </c>
      <c r="R284" s="81" t="s">
        <v>284</v>
      </c>
      <c r="S284" s="81" t="s">
        <v>284</v>
      </c>
      <c r="T284" t="s">
        <v>30</v>
      </c>
      <c r="U284" t="s">
        <v>76</v>
      </c>
      <c r="V284">
        <v>41</v>
      </c>
      <c r="W284">
        <v>66</v>
      </c>
      <c r="X284">
        <v>97</v>
      </c>
      <c r="Y284">
        <v>65</v>
      </c>
      <c r="Z284">
        <v>142</v>
      </c>
      <c r="AA284">
        <v>95</v>
      </c>
      <c r="AB284" t="s">
        <v>284</v>
      </c>
    </row>
    <row r="285" spans="1:28">
      <c r="A285">
        <v>1225</v>
      </c>
      <c r="B285">
        <v>1235</v>
      </c>
      <c r="C285" t="s">
        <v>951</v>
      </c>
      <c r="D285" t="s">
        <v>93</v>
      </c>
      <c r="E285" t="s">
        <v>744</v>
      </c>
      <c r="F285" t="s">
        <v>5</v>
      </c>
      <c r="G285" t="s">
        <v>553</v>
      </c>
      <c r="H285" t="s">
        <v>319</v>
      </c>
      <c r="I285" t="s">
        <v>483</v>
      </c>
      <c r="J285" t="s">
        <v>283</v>
      </c>
      <c r="K285" t="s">
        <v>952</v>
      </c>
      <c r="L285" s="48">
        <v>44191</v>
      </c>
      <c r="M285" t="s">
        <v>134</v>
      </c>
      <c r="N285" t="s">
        <v>953</v>
      </c>
      <c r="O285">
        <v>2</v>
      </c>
      <c r="P285" t="s">
        <v>954</v>
      </c>
      <c r="Q285" t="s">
        <v>955</v>
      </c>
      <c r="R285" s="81" t="s">
        <v>284</v>
      </c>
      <c r="S285" s="81" t="s">
        <v>284</v>
      </c>
      <c r="T285" t="s">
        <v>32</v>
      </c>
      <c r="U285" t="s">
        <v>76</v>
      </c>
      <c r="V285">
        <v>41</v>
      </c>
      <c r="W285">
        <v>66</v>
      </c>
      <c r="X285">
        <v>97</v>
      </c>
      <c r="Y285">
        <v>65</v>
      </c>
      <c r="Z285">
        <v>142</v>
      </c>
      <c r="AA285">
        <v>95</v>
      </c>
      <c r="AB285" t="s">
        <v>284</v>
      </c>
    </row>
    <row r="286" spans="1:28">
      <c r="A286">
        <v>1226</v>
      </c>
      <c r="B286">
        <v>906</v>
      </c>
      <c r="C286" t="s">
        <v>503</v>
      </c>
      <c r="D286" t="s">
        <v>93</v>
      </c>
      <c r="E286" t="s">
        <v>744</v>
      </c>
      <c r="F286" t="s">
        <v>5</v>
      </c>
      <c r="G286" t="s">
        <v>344</v>
      </c>
      <c r="H286" t="s">
        <v>287</v>
      </c>
      <c r="I286" t="s">
        <v>301</v>
      </c>
      <c r="J286" t="s">
        <v>304</v>
      </c>
      <c r="K286" t="s">
        <v>504</v>
      </c>
      <c r="L286" s="48">
        <v>43397</v>
      </c>
      <c r="M286" t="s">
        <v>134</v>
      </c>
      <c r="N286" t="s">
        <v>574</v>
      </c>
      <c r="O286">
        <v>3</v>
      </c>
      <c r="P286" t="s">
        <v>505</v>
      </c>
      <c r="Q286" t="s">
        <v>506</v>
      </c>
      <c r="R286" s="81" t="s">
        <v>507</v>
      </c>
      <c r="S286" s="81" t="s">
        <v>508</v>
      </c>
      <c r="T286" t="s">
        <v>32</v>
      </c>
      <c r="U286" t="s">
        <v>77</v>
      </c>
      <c r="V286">
        <v>49</v>
      </c>
      <c r="W286">
        <v>66</v>
      </c>
      <c r="X286">
        <v>97</v>
      </c>
      <c r="Y286">
        <v>80</v>
      </c>
      <c r="Z286">
        <v>142</v>
      </c>
      <c r="AA286">
        <v>119</v>
      </c>
      <c r="AB286" t="s">
        <v>284</v>
      </c>
    </row>
    <row r="287" spans="1:28">
      <c r="A287">
        <v>1226</v>
      </c>
      <c r="B287">
        <v>906</v>
      </c>
      <c r="C287" t="s">
        <v>503</v>
      </c>
      <c r="D287" t="s">
        <v>93</v>
      </c>
      <c r="E287" t="s">
        <v>744</v>
      </c>
      <c r="F287" t="s">
        <v>8</v>
      </c>
      <c r="G287" t="s">
        <v>343</v>
      </c>
      <c r="H287" t="s">
        <v>300</v>
      </c>
      <c r="I287" t="s">
        <v>310</v>
      </c>
      <c r="J287" t="s">
        <v>293</v>
      </c>
      <c r="K287" t="s">
        <v>504</v>
      </c>
      <c r="L287" s="48">
        <v>43397</v>
      </c>
      <c r="M287" t="s">
        <v>134</v>
      </c>
      <c r="N287" t="s">
        <v>574</v>
      </c>
      <c r="O287">
        <v>3</v>
      </c>
      <c r="P287" t="s">
        <v>505</v>
      </c>
      <c r="Q287" t="s">
        <v>506</v>
      </c>
      <c r="R287" s="81" t="s">
        <v>507</v>
      </c>
      <c r="S287" s="81" t="s">
        <v>508</v>
      </c>
      <c r="T287" t="s">
        <v>30</v>
      </c>
      <c r="U287" t="s">
        <v>77</v>
      </c>
      <c r="V287">
        <v>49</v>
      </c>
      <c r="W287">
        <v>66</v>
      </c>
      <c r="X287">
        <v>97</v>
      </c>
      <c r="Y287">
        <v>80</v>
      </c>
      <c r="Z287">
        <v>142</v>
      </c>
      <c r="AA287">
        <v>119</v>
      </c>
      <c r="AB287" t="s">
        <v>284</v>
      </c>
    </row>
    <row r="288" spans="1:28">
      <c r="A288">
        <v>1226</v>
      </c>
      <c r="B288">
        <v>906</v>
      </c>
      <c r="C288" t="s">
        <v>503</v>
      </c>
      <c r="D288" t="s">
        <v>93</v>
      </c>
      <c r="E288" t="s">
        <v>744</v>
      </c>
      <c r="F288" t="s">
        <v>7</v>
      </c>
      <c r="G288" t="s">
        <v>342</v>
      </c>
      <c r="H288" t="s">
        <v>299</v>
      </c>
      <c r="I288" t="s">
        <v>295</v>
      </c>
      <c r="J288" t="s">
        <v>285</v>
      </c>
      <c r="K288" t="s">
        <v>504</v>
      </c>
      <c r="L288" s="48">
        <v>43397</v>
      </c>
      <c r="M288" t="s">
        <v>134</v>
      </c>
      <c r="N288" t="s">
        <v>574</v>
      </c>
      <c r="O288">
        <v>3</v>
      </c>
      <c r="P288" t="s">
        <v>505</v>
      </c>
      <c r="Q288" t="s">
        <v>506</v>
      </c>
      <c r="R288" s="81" t="s">
        <v>507</v>
      </c>
      <c r="S288" s="81" t="s">
        <v>508</v>
      </c>
      <c r="T288" t="s">
        <v>31</v>
      </c>
      <c r="U288" t="s">
        <v>77</v>
      </c>
      <c r="V288">
        <v>49</v>
      </c>
      <c r="W288">
        <v>66</v>
      </c>
      <c r="X288">
        <v>97</v>
      </c>
      <c r="Y288">
        <v>80</v>
      </c>
      <c r="Z288">
        <v>142</v>
      </c>
      <c r="AA288">
        <v>119</v>
      </c>
      <c r="AB288" t="s">
        <v>284</v>
      </c>
    </row>
    <row r="289" spans="1:28">
      <c r="A289">
        <v>1226</v>
      </c>
      <c r="B289">
        <v>906</v>
      </c>
      <c r="C289" t="s">
        <v>503</v>
      </c>
      <c r="D289" t="s">
        <v>93</v>
      </c>
      <c r="E289" t="s">
        <v>744</v>
      </c>
      <c r="F289" t="s">
        <v>367</v>
      </c>
      <c r="G289" t="s">
        <v>467</v>
      </c>
      <c r="H289" t="s">
        <v>312</v>
      </c>
      <c r="I289" t="s">
        <v>309</v>
      </c>
      <c r="J289" t="s">
        <v>318</v>
      </c>
      <c r="K289" t="s">
        <v>504</v>
      </c>
      <c r="L289" s="48">
        <v>43397</v>
      </c>
      <c r="M289" t="s">
        <v>134</v>
      </c>
      <c r="N289" t="s">
        <v>574</v>
      </c>
      <c r="O289">
        <v>3</v>
      </c>
      <c r="P289" t="s">
        <v>505</v>
      </c>
      <c r="Q289" t="s">
        <v>506</v>
      </c>
      <c r="R289" s="81" t="s">
        <v>507</v>
      </c>
      <c r="S289" s="81" t="s">
        <v>508</v>
      </c>
      <c r="T289" t="s">
        <v>37</v>
      </c>
      <c r="U289" t="s">
        <v>77</v>
      </c>
      <c r="V289">
        <v>49</v>
      </c>
      <c r="W289">
        <v>66</v>
      </c>
      <c r="X289">
        <v>97</v>
      </c>
      <c r="Y289">
        <v>80</v>
      </c>
      <c r="Z289">
        <v>142</v>
      </c>
      <c r="AA289">
        <v>119</v>
      </c>
      <c r="AB289" t="s">
        <v>284</v>
      </c>
    </row>
    <row r="290" spans="1:28">
      <c r="A290">
        <v>1226</v>
      </c>
      <c r="B290">
        <v>906</v>
      </c>
      <c r="C290" t="s">
        <v>503</v>
      </c>
      <c r="D290" t="s">
        <v>93</v>
      </c>
      <c r="E290" t="s">
        <v>744</v>
      </c>
      <c r="F290" t="s">
        <v>369</v>
      </c>
      <c r="G290" t="s">
        <v>466</v>
      </c>
      <c r="H290" t="s">
        <v>309</v>
      </c>
      <c r="I290" t="s">
        <v>309</v>
      </c>
      <c r="J290" t="s">
        <v>319</v>
      </c>
      <c r="K290" t="s">
        <v>504</v>
      </c>
      <c r="L290" s="48">
        <v>43397</v>
      </c>
      <c r="M290" t="s">
        <v>134</v>
      </c>
      <c r="N290" t="s">
        <v>574</v>
      </c>
      <c r="O290">
        <v>3</v>
      </c>
      <c r="P290" t="s">
        <v>505</v>
      </c>
      <c r="Q290" t="s">
        <v>506</v>
      </c>
      <c r="R290" s="81" t="s">
        <v>507</v>
      </c>
      <c r="S290" s="81" t="s">
        <v>508</v>
      </c>
      <c r="T290" t="s">
        <v>113</v>
      </c>
      <c r="U290" t="s">
        <v>77</v>
      </c>
      <c r="V290">
        <v>49</v>
      </c>
      <c r="W290">
        <v>66</v>
      </c>
      <c r="X290">
        <v>97</v>
      </c>
      <c r="Y290">
        <v>80</v>
      </c>
      <c r="Z290">
        <v>142</v>
      </c>
      <c r="AA290">
        <v>119</v>
      </c>
      <c r="AB290" t="s">
        <v>284</v>
      </c>
    </row>
    <row r="291" spans="1:28">
      <c r="A291">
        <v>1227</v>
      </c>
      <c r="B291">
        <v>1072</v>
      </c>
      <c r="C291" t="s">
        <v>654</v>
      </c>
      <c r="D291" t="s">
        <v>93</v>
      </c>
      <c r="E291" t="s">
        <v>744</v>
      </c>
      <c r="F291" t="s">
        <v>369</v>
      </c>
      <c r="G291" t="s">
        <v>469</v>
      </c>
      <c r="H291" t="s">
        <v>309</v>
      </c>
      <c r="I291" t="s">
        <v>318</v>
      </c>
      <c r="J291" t="s">
        <v>312</v>
      </c>
      <c r="K291" t="s">
        <v>655</v>
      </c>
      <c r="L291" s="48">
        <v>43208</v>
      </c>
      <c r="M291" t="s">
        <v>134</v>
      </c>
      <c r="N291" t="s">
        <v>575</v>
      </c>
      <c r="O291">
        <v>2</v>
      </c>
      <c r="P291" t="s">
        <v>656</v>
      </c>
      <c r="Q291" t="s">
        <v>657</v>
      </c>
      <c r="R291" s="81" t="s">
        <v>724</v>
      </c>
      <c r="S291" s="81" t="s">
        <v>725</v>
      </c>
      <c r="T291" t="s">
        <v>113</v>
      </c>
      <c r="U291" t="s">
        <v>76</v>
      </c>
      <c r="V291">
        <v>45</v>
      </c>
      <c r="W291">
        <v>66</v>
      </c>
      <c r="X291">
        <v>97</v>
      </c>
      <c r="Y291">
        <v>74</v>
      </c>
      <c r="Z291">
        <v>142</v>
      </c>
      <c r="AA291">
        <v>105</v>
      </c>
      <c r="AB291" t="s">
        <v>284</v>
      </c>
    </row>
    <row r="292" spans="1:28">
      <c r="A292">
        <v>1227</v>
      </c>
      <c r="B292">
        <v>1072</v>
      </c>
      <c r="C292" t="s">
        <v>654</v>
      </c>
      <c r="D292" t="s">
        <v>93</v>
      </c>
      <c r="E292" t="s">
        <v>744</v>
      </c>
      <c r="F292" t="s">
        <v>367</v>
      </c>
      <c r="G292" t="s">
        <v>468</v>
      </c>
      <c r="H292" t="s">
        <v>312</v>
      </c>
      <c r="I292" t="s">
        <v>309</v>
      </c>
      <c r="J292" t="s">
        <v>312</v>
      </c>
      <c r="K292" t="s">
        <v>655</v>
      </c>
      <c r="L292" s="48">
        <v>43208</v>
      </c>
      <c r="M292" t="s">
        <v>134</v>
      </c>
      <c r="N292" t="s">
        <v>575</v>
      </c>
      <c r="O292">
        <v>2</v>
      </c>
      <c r="P292" t="s">
        <v>656</v>
      </c>
      <c r="Q292" t="s">
        <v>657</v>
      </c>
      <c r="R292" s="81" t="s">
        <v>724</v>
      </c>
      <c r="S292" s="81" t="s">
        <v>725</v>
      </c>
      <c r="T292" t="s">
        <v>37</v>
      </c>
      <c r="U292" t="s">
        <v>76</v>
      </c>
      <c r="V292">
        <v>45</v>
      </c>
      <c r="W292">
        <v>66</v>
      </c>
      <c r="X292">
        <v>97</v>
      </c>
      <c r="Y292">
        <v>74</v>
      </c>
      <c r="Z292">
        <v>142</v>
      </c>
      <c r="AA292">
        <v>105</v>
      </c>
      <c r="AB292" t="s">
        <v>284</v>
      </c>
    </row>
    <row r="293" spans="1:28">
      <c r="A293">
        <v>1227</v>
      </c>
      <c r="B293">
        <v>1072</v>
      </c>
      <c r="C293" t="s">
        <v>654</v>
      </c>
      <c r="D293" t="s">
        <v>93</v>
      </c>
      <c r="E293" t="s">
        <v>744</v>
      </c>
      <c r="F293" t="s">
        <v>7</v>
      </c>
      <c r="G293" t="s">
        <v>347</v>
      </c>
      <c r="H293" t="s">
        <v>299</v>
      </c>
      <c r="I293" t="s">
        <v>301</v>
      </c>
      <c r="J293" t="s">
        <v>305</v>
      </c>
      <c r="K293" t="s">
        <v>655</v>
      </c>
      <c r="L293" s="48">
        <v>43208</v>
      </c>
      <c r="M293" t="s">
        <v>134</v>
      </c>
      <c r="N293" t="s">
        <v>575</v>
      </c>
      <c r="O293">
        <v>2</v>
      </c>
      <c r="P293" t="s">
        <v>656</v>
      </c>
      <c r="Q293" t="s">
        <v>657</v>
      </c>
      <c r="R293" s="81" t="s">
        <v>724</v>
      </c>
      <c r="S293" s="81" t="s">
        <v>725</v>
      </c>
      <c r="T293" t="s">
        <v>31</v>
      </c>
      <c r="U293" t="s">
        <v>76</v>
      </c>
      <c r="V293">
        <v>45</v>
      </c>
      <c r="W293">
        <v>66</v>
      </c>
      <c r="X293">
        <v>97</v>
      </c>
      <c r="Y293">
        <v>74</v>
      </c>
      <c r="Z293">
        <v>142</v>
      </c>
      <c r="AA293">
        <v>105</v>
      </c>
      <c r="AB293" t="s">
        <v>284</v>
      </c>
    </row>
    <row r="294" spans="1:28">
      <c r="A294">
        <v>1227</v>
      </c>
      <c r="B294">
        <v>1072</v>
      </c>
      <c r="C294" t="s">
        <v>654</v>
      </c>
      <c r="D294" t="s">
        <v>93</v>
      </c>
      <c r="E294" t="s">
        <v>744</v>
      </c>
      <c r="F294" t="s">
        <v>8</v>
      </c>
      <c r="G294" t="s">
        <v>346</v>
      </c>
      <c r="H294" t="s">
        <v>285</v>
      </c>
      <c r="I294" t="s">
        <v>294</v>
      </c>
      <c r="J294" t="s">
        <v>299</v>
      </c>
      <c r="K294" t="s">
        <v>655</v>
      </c>
      <c r="L294" s="48">
        <v>43208</v>
      </c>
      <c r="M294" t="s">
        <v>134</v>
      </c>
      <c r="N294" t="s">
        <v>575</v>
      </c>
      <c r="O294">
        <v>2</v>
      </c>
      <c r="P294" t="s">
        <v>656</v>
      </c>
      <c r="Q294" t="s">
        <v>657</v>
      </c>
      <c r="R294" s="81" t="s">
        <v>724</v>
      </c>
      <c r="S294" s="81" t="s">
        <v>725</v>
      </c>
      <c r="T294" t="s">
        <v>30</v>
      </c>
      <c r="U294" t="s">
        <v>76</v>
      </c>
      <c r="V294">
        <v>45</v>
      </c>
      <c r="W294">
        <v>66</v>
      </c>
      <c r="X294">
        <v>97</v>
      </c>
      <c r="Y294">
        <v>74</v>
      </c>
      <c r="Z294">
        <v>142</v>
      </c>
      <c r="AA294">
        <v>105</v>
      </c>
      <c r="AB294" t="s">
        <v>284</v>
      </c>
    </row>
    <row r="295" spans="1:28">
      <c r="A295">
        <v>1227</v>
      </c>
      <c r="B295">
        <v>1072</v>
      </c>
      <c r="C295" t="s">
        <v>654</v>
      </c>
      <c r="D295" t="s">
        <v>93</v>
      </c>
      <c r="E295" t="s">
        <v>744</v>
      </c>
      <c r="F295" t="s">
        <v>5</v>
      </c>
      <c r="G295" t="s">
        <v>345</v>
      </c>
      <c r="H295" t="s">
        <v>287</v>
      </c>
      <c r="I295" t="s">
        <v>301</v>
      </c>
      <c r="J295" t="s">
        <v>294</v>
      </c>
      <c r="K295" t="s">
        <v>655</v>
      </c>
      <c r="L295" s="48">
        <v>43208</v>
      </c>
      <c r="M295" t="s">
        <v>134</v>
      </c>
      <c r="N295" t="s">
        <v>575</v>
      </c>
      <c r="O295">
        <v>2</v>
      </c>
      <c r="P295" t="s">
        <v>656</v>
      </c>
      <c r="Q295" t="s">
        <v>657</v>
      </c>
      <c r="R295" s="81" t="s">
        <v>724</v>
      </c>
      <c r="S295" s="81" t="s">
        <v>725</v>
      </c>
      <c r="T295" t="s">
        <v>32</v>
      </c>
      <c r="U295" t="s">
        <v>76</v>
      </c>
      <c r="V295">
        <v>45</v>
      </c>
      <c r="W295">
        <v>66</v>
      </c>
      <c r="X295">
        <v>97</v>
      </c>
      <c r="Y295">
        <v>74</v>
      </c>
      <c r="Z295">
        <v>142</v>
      </c>
      <c r="AA295">
        <v>105</v>
      </c>
      <c r="AB295" t="s">
        <v>284</v>
      </c>
    </row>
    <row r="296" spans="1:28">
      <c r="A296">
        <v>1228</v>
      </c>
      <c r="B296">
        <v>1173</v>
      </c>
      <c r="C296" t="s">
        <v>956</v>
      </c>
      <c r="D296" t="s">
        <v>93</v>
      </c>
      <c r="E296" t="s">
        <v>744</v>
      </c>
      <c r="F296" t="s">
        <v>5</v>
      </c>
      <c r="G296" t="s">
        <v>350</v>
      </c>
      <c r="H296" t="s">
        <v>292</v>
      </c>
      <c r="I296" t="s">
        <v>311</v>
      </c>
      <c r="J296" t="s">
        <v>310</v>
      </c>
      <c r="K296" t="s">
        <v>957</v>
      </c>
      <c r="L296" s="48">
        <v>43840</v>
      </c>
      <c r="M296" t="s">
        <v>134</v>
      </c>
      <c r="N296" t="s">
        <v>568</v>
      </c>
      <c r="O296">
        <v>3</v>
      </c>
      <c r="P296" t="s">
        <v>958</v>
      </c>
      <c r="Q296" t="s">
        <v>959</v>
      </c>
      <c r="R296" s="81" t="s">
        <v>960</v>
      </c>
      <c r="S296" s="81" t="s">
        <v>961</v>
      </c>
      <c r="T296" t="s">
        <v>32</v>
      </c>
      <c r="U296" t="s">
        <v>77</v>
      </c>
      <c r="V296">
        <v>36</v>
      </c>
      <c r="W296">
        <v>66</v>
      </c>
      <c r="X296">
        <v>97</v>
      </c>
      <c r="Y296">
        <v>63</v>
      </c>
      <c r="Z296">
        <v>142</v>
      </c>
      <c r="AA296">
        <v>94</v>
      </c>
      <c r="AB296" t="s">
        <v>284</v>
      </c>
    </row>
    <row r="297" spans="1:28">
      <c r="A297">
        <v>1228</v>
      </c>
      <c r="B297">
        <v>1173</v>
      </c>
      <c r="C297" t="s">
        <v>956</v>
      </c>
      <c r="D297" t="s">
        <v>93</v>
      </c>
      <c r="E297" t="s">
        <v>744</v>
      </c>
      <c r="F297" t="s">
        <v>8</v>
      </c>
      <c r="G297" t="s">
        <v>349</v>
      </c>
      <c r="H297" t="s">
        <v>297</v>
      </c>
      <c r="I297" t="s">
        <v>298</v>
      </c>
      <c r="J297" t="s">
        <v>312</v>
      </c>
      <c r="K297" t="s">
        <v>957</v>
      </c>
      <c r="L297" s="48">
        <v>43840</v>
      </c>
      <c r="M297" t="s">
        <v>134</v>
      </c>
      <c r="N297" t="s">
        <v>568</v>
      </c>
      <c r="O297">
        <v>3</v>
      </c>
      <c r="P297" t="s">
        <v>958</v>
      </c>
      <c r="Q297" t="s">
        <v>959</v>
      </c>
      <c r="R297" s="81" t="s">
        <v>960</v>
      </c>
      <c r="S297" s="81" t="s">
        <v>961</v>
      </c>
      <c r="T297" t="s">
        <v>30</v>
      </c>
      <c r="U297" t="s">
        <v>77</v>
      </c>
      <c r="V297">
        <v>36</v>
      </c>
      <c r="W297">
        <v>66</v>
      </c>
      <c r="X297">
        <v>97</v>
      </c>
      <c r="Y297">
        <v>63</v>
      </c>
      <c r="Z297">
        <v>142</v>
      </c>
      <c r="AA297">
        <v>94</v>
      </c>
      <c r="AB297" t="s">
        <v>284</v>
      </c>
    </row>
    <row r="298" spans="1:28">
      <c r="A298">
        <v>1228</v>
      </c>
      <c r="B298">
        <v>1173</v>
      </c>
      <c r="C298" t="s">
        <v>956</v>
      </c>
      <c r="D298" t="s">
        <v>93</v>
      </c>
      <c r="E298" t="s">
        <v>744</v>
      </c>
      <c r="F298" t="s">
        <v>7</v>
      </c>
      <c r="G298" t="s">
        <v>348</v>
      </c>
      <c r="H298" t="s">
        <v>311</v>
      </c>
      <c r="I298" t="s">
        <v>298</v>
      </c>
      <c r="J298" t="s">
        <v>317</v>
      </c>
      <c r="K298" t="s">
        <v>957</v>
      </c>
      <c r="L298" s="48">
        <v>43840</v>
      </c>
      <c r="M298" t="s">
        <v>134</v>
      </c>
      <c r="N298" t="s">
        <v>568</v>
      </c>
      <c r="O298">
        <v>3</v>
      </c>
      <c r="P298" t="s">
        <v>958</v>
      </c>
      <c r="Q298" t="s">
        <v>959</v>
      </c>
      <c r="R298" s="81" t="s">
        <v>960</v>
      </c>
      <c r="S298" s="81" t="s">
        <v>961</v>
      </c>
      <c r="T298" t="s">
        <v>31</v>
      </c>
      <c r="U298" t="s">
        <v>77</v>
      </c>
      <c r="V298">
        <v>36</v>
      </c>
      <c r="W298">
        <v>66</v>
      </c>
      <c r="X298">
        <v>97</v>
      </c>
      <c r="Y298">
        <v>63</v>
      </c>
      <c r="Z298">
        <v>142</v>
      </c>
      <c r="AA298">
        <v>94</v>
      </c>
      <c r="AB298" t="s">
        <v>284</v>
      </c>
    </row>
    <row r="299" spans="1:28">
      <c r="A299">
        <v>1228</v>
      </c>
      <c r="B299">
        <v>1173</v>
      </c>
      <c r="C299" t="s">
        <v>956</v>
      </c>
      <c r="D299" t="s">
        <v>93</v>
      </c>
      <c r="E299" t="s">
        <v>744</v>
      </c>
      <c r="F299" t="s">
        <v>367</v>
      </c>
      <c r="G299" t="s">
        <v>471</v>
      </c>
      <c r="H299" t="s">
        <v>312</v>
      </c>
      <c r="I299" t="s">
        <v>309</v>
      </c>
      <c r="J299" t="s">
        <v>318</v>
      </c>
      <c r="K299" t="s">
        <v>957</v>
      </c>
      <c r="L299" s="48">
        <v>43840</v>
      </c>
      <c r="M299" t="s">
        <v>134</v>
      </c>
      <c r="N299" t="s">
        <v>568</v>
      </c>
      <c r="O299">
        <v>3</v>
      </c>
      <c r="P299" t="s">
        <v>958</v>
      </c>
      <c r="Q299" t="s">
        <v>959</v>
      </c>
      <c r="R299" s="81" t="s">
        <v>960</v>
      </c>
      <c r="S299" s="81" t="s">
        <v>961</v>
      </c>
      <c r="T299" t="s">
        <v>37</v>
      </c>
      <c r="U299" t="s">
        <v>77</v>
      </c>
      <c r="V299">
        <v>36</v>
      </c>
      <c r="W299">
        <v>66</v>
      </c>
      <c r="X299">
        <v>97</v>
      </c>
      <c r="Y299">
        <v>63</v>
      </c>
      <c r="Z299">
        <v>142</v>
      </c>
      <c r="AA299">
        <v>94</v>
      </c>
      <c r="AB299" t="s">
        <v>284</v>
      </c>
    </row>
    <row r="300" spans="1:28">
      <c r="A300">
        <v>1228</v>
      </c>
      <c r="B300">
        <v>1173</v>
      </c>
      <c r="C300" t="s">
        <v>956</v>
      </c>
      <c r="D300" t="s">
        <v>93</v>
      </c>
      <c r="E300" t="s">
        <v>744</v>
      </c>
      <c r="F300" t="s">
        <v>369</v>
      </c>
      <c r="G300" t="s">
        <v>470</v>
      </c>
      <c r="H300" t="s">
        <v>309</v>
      </c>
      <c r="I300" t="s">
        <v>309</v>
      </c>
      <c r="J300" t="s">
        <v>318</v>
      </c>
      <c r="K300" t="s">
        <v>957</v>
      </c>
      <c r="L300" s="48">
        <v>43840</v>
      </c>
      <c r="M300" t="s">
        <v>134</v>
      </c>
      <c r="N300" t="s">
        <v>568</v>
      </c>
      <c r="O300">
        <v>3</v>
      </c>
      <c r="P300" t="s">
        <v>958</v>
      </c>
      <c r="Q300" t="s">
        <v>959</v>
      </c>
      <c r="R300" s="81" t="s">
        <v>960</v>
      </c>
      <c r="S300" s="81" t="s">
        <v>961</v>
      </c>
      <c r="T300" t="s">
        <v>113</v>
      </c>
      <c r="U300" t="s">
        <v>77</v>
      </c>
      <c r="V300">
        <v>36</v>
      </c>
      <c r="W300">
        <v>66</v>
      </c>
      <c r="X300">
        <v>97</v>
      </c>
      <c r="Y300">
        <v>63</v>
      </c>
      <c r="Z300">
        <v>142</v>
      </c>
      <c r="AA300">
        <v>94</v>
      </c>
      <c r="AB300" t="s">
        <v>284</v>
      </c>
    </row>
    <row r="301" spans="1:28">
      <c r="A301">
        <v>1229</v>
      </c>
      <c r="B301">
        <v>1118</v>
      </c>
      <c r="C301" t="s">
        <v>962</v>
      </c>
      <c r="D301" t="s">
        <v>93</v>
      </c>
      <c r="E301" t="s">
        <v>744</v>
      </c>
      <c r="F301" t="s">
        <v>369</v>
      </c>
      <c r="G301" t="s">
        <v>472</v>
      </c>
      <c r="H301" t="s">
        <v>309</v>
      </c>
      <c r="I301" t="s">
        <v>318</v>
      </c>
      <c r="J301" t="s">
        <v>312</v>
      </c>
      <c r="K301" t="s">
        <v>963</v>
      </c>
      <c r="L301" s="48">
        <v>43693</v>
      </c>
      <c r="M301" t="s">
        <v>134</v>
      </c>
      <c r="N301" t="s">
        <v>490</v>
      </c>
      <c r="O301">
        <v>3</v>
      </c>
      <c r="P301" t="s">
        <v>964</v>
      </c>
      <c r="Q301" t="s">
        <v>965</v>
      </c>
      <c r="R301" s="81" t="s">
        <v>966</v>
      </c>
      <c r="S301" s="81" t="s">
        <v>967</v>
      </c>
      <c r="T301" t="s">
        <v>113</v>
      </c>
      <c r="U301" t="s">
        <v>77</v>
      </c>
      <c r="V301">
        <v>45</v>
      </c>
      <c r="W301">
        <v>66</v>
      </c>
      <c r="X301">
        <v>97</v>
      </c>
      <c r="Y301">
        <v>74</v>
      </c>
      <c r="Z301">
        <v>142</v>
      </c>
      <c r="AA301">
        <v>114</v>
      </c>
      <c r="AB301" t="s">
        <v>284</v>
      </c>
    </row>
    <row r="302" spans="1:28">
      <c r="A302">
        <v>1229</v>
      </c>
      <c r="B302">
        <v>1118</v>
      </c>
      <c r="C302" t="s">
        <v>962</v>
      </c>
      <c r="D302" t="s">
        <v>93</v>
      </c>
      <c r="E302" t="s">
        <v>744</v>
      </c>
      <c r="F302" t="s">
        <v>367</v>
      </c>
      <c r="G302" t="s">
        <v>473</v>
      </c>
      <c r="H302" t="s">
        <v>312</v>
      </c>
      <c r="I302" t="s">
        <v>318</v>
      </c>
      <c r="J302" t="s">
        <v>312</v>
      </c>
      <c r="K302" t="s">
        <v>963</v>
      </c>
      <c r="L302" s="48">
        <v>43693</v>
      </c>
      <c r="M302" t="s">
        <v>134</v>
      </c>
      <c r="N302" t="s">
        <v>490</v>
      </c>
      <c r="O302">
        <v>3</v>
      </c>
      <c r="P302" t="s">
        <v>964</v>
      </c>
      <c r="Q302" t="s">
        <v>965</v>
      </c>
      <c r="R302" s="81" t="s">
        <v>966</v>
      </c>
      <c r="S302" s="81" t="s">
        <v>967</v>
      </c>
      <c r="T302" t="s">
        <v>37</v>
      </c>
      <c r="U302" t="s">
        <v>77</v>
      </c>
      <c r="V302">
        <v>45</v>
      </c>
      <c r="W302">
        <v>66</v>
      </c>
      <c r="X302">
        <v>97</v>
      </c>
      <c r="Y302">
        <v>74</v>
      </c>
      <c r="Z302">
        <v>142</v>
      </c>
      <c r="AA302">
        <v>114</v>
      </c>
      <c r="AB302" t="s">
        <v>284</v>
      </c>
    </row>
    <row r="303" spans="1:28">
      <c r="A303">
        <v>1229</v>
      </c>
      <c r="B303">
        <v>1118</v>
      </c>
      <c r="C303" t="s">
        <v>962</v>
      </c>
      <c r="D303" t="s">
        <v>93</v>
      </c>
      <c r="E303" t="s">
        <v>744</v>
      </c>
      <c r="F303" t="s">
        <v>7</v>
      </c>
      <c r="G303" t="s">
        <v>353</v>
      </c>
      <c r="H303" t="s">
        <v>292</v>
      </c>
      <c r="I303" t="s">
        <v>293</v>
      </c>
      <c r="J303" t="s">
        <v>293</v>
      </c>
      <c r="K303" t="s">
        <v>963</v>
      </c>
      <c r="L303" s="48">
        <v>43693</v>
      </c>
      <c r="M303" t="s">
        <v>134</v>
      </c>
      <c r="N303" t="s">
        <v>490</v>
      </c>
      <c r="O303">
        <v>3</v>
      </c>
      <c r="P303" t="s">
        <v>964</v>
      </c>
      <c r="Q303" t="s">
        <v>965</v>
      </c>
      <c r="R303" s="81" t="s">
        <v>966</v>
      </c>
      <c r="S303" s="81" t="s">
        <v>967</v>
      </c>
      <c r="T303" t="s">
        <v>31</v>
      </c>
      <c r="U303" t="s">
        <v>77</v>
      </c>
      <c r="V303">
        <v>45</v>
      </c>
      <c r="W303">
        <v>66</v>
      </c>
      <c r="X303">
        <v>97</v>
      </c>
      <c r="Y303">
        <v>74</v>
      </c>
      <c r="Z303">
        <v>142</v>
      </c>
      <c r="AA303">
        <v>114</v>
      </c>
      <c r="AB303" t="s">
        <v>284</v>
      </c>
    </row>
    <row r="304" spans="1:28">
      <c r="A304">
        <v>1229</v>
      </c>
      <c r="B304">
        <v>1118</v>
      </c>
      <c r="C304" t="s">
        <v>962</v>
      </c>
      <c r="D304" t="s">
        <v>93</v>
      </c>
      <c r="E304" t="s">
        <v>744</v>
      </c>
      <c r="F304" t="s">
        <v>8</v>
      </c>
      <c r="G304" t="s">
        <v>352</v>
      </c>
      <c r="H304" t="s">
        <v>299</v>
      </c>
      <c r="I304" t="s">
        <v>313</v>
      </c>
      <c r="J304" t="s">
        <v>308</v>
      </c>
      <c r="K304" t="s">
        <v>963</v>
      </c>
      <c r="L304" s="48">
        <v>43693</v>
      </c>
      <c r="M304" t="s">
        <v>134</v>
      </c>
      <c r="N304" t="s">
        <v>490</v>
      </c>
      <c r="O304">
        <v>3</v>
      </c>
      <c r="P304" t="s">
        <v>964</v>
      </c>
      <c r="Q304" t="s">
        <v>965</v>
      </c>
      <c r="R304" s="81" t="s">
        <v>966</v>
      </c>
      <c r="S304" s="81" t="s">
        <v>967</v>
      </c>
      <c r="T304" t="s">
        <v>30</v>
      </c>
      <c r="U304" t="s">
        <v>77</v>
      </c>
      <c r="V304">
        <v>45</v>
      </c>
      <c r="W304">
        <v>66</v>
      </c>
      <c r="X304">
        <v>97</v>
      </c>
      <c r="Y304">
        <v>74</v>
      </c>
      <c r="Z304">
        <v>142</v>
      </c>
      <c r="AA304">
        <v>114</v>
      </c>
      <c r="AB304" t="s">
        <v>284</v>
      </c>
    </row>
    <row r="305" spans="1:28">
      <c r="A305">
        <v>1229</v>
      </c>
      <c r="B305">
        <v>1118</v>
      </c>
      <c r="C305" t="s">
        <v>962</v>
      </c>
      <c r="D305" t="s">
        <v>93</v>
      </c>
      <c r="E305" t="s">
        <v>744</v>
      </c>
      <c r="F305" t="s">
        <v>5</v>
      </c>
      <c r="G305" t="s">
        <v>351</v>
      </c>
      <c r="H305" t="s">
        <v>293</v>
      </c>
      <c r="I305" t="s">
        <v>319</v>
      </c>
      <c r="J305" t="s">
        <v>302</v>
      </c>
      <c r="K305" t="s">
        <v>963</v>
      </c>
      <c r="L305" s="48">
        <v>43693</v>
      </c>
      <c r="M305" t="s">
        <v>134</v>
      </c>
      <c r="N305" t="s">
        <v>490</v>
      </c>
      <c r="O305">
        <v>3</v>
      </c>
      <c r="P305" t="s">
        <v>964</v>
      </c>
      <c r="Q305" t="s">
        <v>965</v>
      </c>
      <c r="R305" s="81" t="s">
        <v>966</v>
      </c>
      <c r="S305" s="81" t="s">
        <v>967</v>
      </c>
      <c r="T305" t="s">
        <v>32</v>
      </c>
      <c r="U305" t="s">
        <v>77</v>
      </c>
      <c r="V305">
        <v>45</v>
      </c>
      <c r="W305">
        <v>66</v>
      </c>
      <c r="X305">
        <v>97</v>
      </c>
      <c r="Y305">
        <v>74</v>
      </c>
      <c r="Z305">
        <v>142</v>
      </c>
      <c r="AA305">
        <v>114</v>
      </c>
      <c r="AB305" t="s">
        <v>284</v>
      </c>
    </row>
    <row r="306" spans="1:28">
      <c r="A306">
        <v>1230</v>
      </c>
      <c r="B306">
        <v>1079</v>
      </c>
      <c r="C306" t="s">
        <v>726</v>
      </c>
      <c r="D306" t="s">
        <v>93</v>
      </c>
      <c r="E306" t="s">
        <v>744</v>
      </c>
      <c r="F306" t="s">
        <v>5</v>
      </c>
      <c r="G306" t="s">
        <v>355</v>
      </c>
      <c r="H306" t="s">
        <v>293</v>
      </c>
      <c r="I306" t="s">
        <v>297</v>
      </c>
      <c r="J306" t="s">
        <v>295</v>
      </c>
      <c r="K306" t="s">
        <v>658</v>
      </c>
      <c r="L306" s="48">
        <v>43929</v>
      </c>
      <c r="M306" t="s">
        <v>134</v>
      </c>
      <c r="N306" t="s">
        <v>570</v>
      </c>
      <c r="O306">
        <v>3</v>
      </c>
      <c r="P306" t="s">
        <v>659</v>
      </c>
      <c r="Q306" t="s">
        <v>660</v>
      </c>
      <c r="R306" s="81" t="s">
        <v>727</v>
      </c>
      <c r="S306" s="81" t="s">
        <v>728</v>
      </c>
      <c r="T306" t="s">
        <v>32</v>
      </c>
      <c r="U306" t="s">
        <v>77</v>
      </c>
      <c r="V306">
        <v>65</v>
      </c>
      <c r="W306">
        <v>66</v>
      </c>
      <c r="X306">
        <v>97</v>
      </c>
      <c r="Y306">
        <v>93</v>
      </c>
      <c r="Z306">
        <v>142</v>
      </c>
      <c r="AA306">
        <v>135</v>
      </c>
      <c r="AB306" t="s">
        <v>284</v>
      </c>
    </row>
    <row r="307" spans="1:28">
      <c r="A307">
        <v>1230</v>
      </c>
      <c r="B307">
        <v>1079</v>
      </c>
      <c r="C307" t="s">
        <v>726</v>
      </c>
      <c r="D307" t="s">
        <v>93</v>
      </c>
      <c r="E307" t="s">
        <v>744</v>
      </c>
      <c r="F307" t="s">
        <v>8</v>
      </c>
      <c r="G307" t="s">
        <v>356</v>
      </c>
      <c r="H307" t="s">
        <v>292</v>
      </c>
      <c r="I307" t="s">
        <v>303</v>
      </c>
      <c r="J307" t="s">
        <v>308</v>
      </c>
      <c r="K307" t="s">
        <v>658</v>
      </c>
      <c r="L307" s="48">
        <v>43929</v>
      </c>
      <c r="M307" t="s">
        <v>134</v>
      </c>
      <c r="N307" t="s">
        <v>570</v>
      </c>
      <c r="O307">
        <v>3</v>
      </c>
      <c r="P307" t="s">
        <v>659</v>
      </c>
      <c r="Q307" t="s">
        <v>660</v>
      </c>
      <c r="R307" s="81" t="s">
        <v>727</v>
      </c>
      <c r="S307" s="81" t="s">
        <v>728</v>
      </c>
      <c r="T307" t="s">
        <v>30</v>
      </c>
      <c r="U307" t="s">
        <v>77</v>
      </c>
      <c r="V307">
        <v>65</v>
      </c>
      <c r="W307">
        <v>66</v>
      </c>
      <c r="X307">
        <v>97</v>
      </c>
      <c r="Y307">
        <v>93</v>
      </c>
      <c r="Z307">
        <v>142</v>
      </c>
      <c r="AA307">
        <v>135</v>
      </c>
      <c r="AB307" t="s">
        <v>284</v>
      </c>
    </row>
    <row r="308" spans="1:28">
      <c r="A308">
        <v>1230</v>
      </c>
      <c r="B308">
        <v>1079</v>
      </c>
      <c r="C308" t="s">
        <v>726</v>
      </c>
      <c r="D308" t="s">
        <v>93</v>
      </c>
      <c r="E308" t="s">
        <v>744</v>
      </c>
      <c r="F308" t="s">
        <v>7</v>
      </c>
      <c r="G308" t="s">
        <v>354</v>
      </c>
      <c r="H308" t="s">
        <v>291</v>
      </c>
      <c r="I308" t="s">
        <v>296</v>
      </c>
      <c r="J308" t="s">
        <v>306</v>
      </c>
      <c r="K308" t="s">
        <v>658</v>
      </c>
      <c r="L308" s="48">
        <v>43929</v>
      </c>
      <c r="M308" t="s">
        <v>134</v>
      </c>
      <c r="N308" t="s">
        <v>570</v>
      </c>
      <c r="O308">
        <v>3</v>
      </c>
      <c r="P308" t="s">
        <v>659</v>
      </c>
      <c r="Q308" t="s">
        <v>660</v>
      </c>
      <c r="R308" s="81" t="s">
        <v>727</v>
      </c>
      <c r="S308" s="81" t="s">
        <v>728</v>
      </c>
      <c r="T308" t="s">
        <v>31</v>
      </c>
      <c r="U308" t="s">
        <v>77</v>
      </c>
      <c r="V308">
        <v>65</v>
      </c>
      <c r="W308">
        <v>66</v>
      </c>
      <c r="X308">
        <v>97</v>
      </c>
      <c r="Y308">
        <v>93</v>
      </c>
      <c r="Z308">
        <v>142</v>
      </c>
      <c r="AA308">
        <v>135</v>
      </c>
      <c r="AB308" t="s">
        <v>284</v>
      </c>
    </row>
    <row r="309" spans="1:28">
      <c r="A309">
        <v>1230</v>
      </c>
      <c r="B309">
        <v>1079</v>
      </c>
      <c r="C309" t="s">
        <v>726</v>
      </c>
      <c r="D309" t="s">
        <v>93</v>
      </c>
      <c r="E309" t="s">
        <v>744</v>
      </c>
      <c r="F309" t="s">
        <v>367</v>
      </c>
      <c r="G309" t="s">
        <v>475</v>
      </c>
      <c r="H309" t="s">
        <v>312</v>
      </c>
      <c r="I309" t="s">
        <v>318</v>
      </c>
      <c r="J309" t="s">
        <v>318</v>
      </c>
      <c r="K309" t="s">
        <v>658</v>
      </c>
      <c r="L309" s="48">
        <v>43929</v>
      </c>
      <c r="M309" t="s">
        <v>134</v>
      </c>
      <c r="N309" t="s">
        <v>570</v>
      </c>
      <c r="O309">
        <v>3</v>
      </c>
      <c r="P309" t="s">
        <v>659</v>
      </c>
      <c r="Q309" t="s">
        <v>660</v>
      </c>
      <c r="R309" s="81" t="s">
        <v>727</v>
      </c>
      <c r="S309" s="81" t="s">
        <v>728</v>
      </c>
      <c r="T309" t="s">
        <v>37</v>
      </c>
      <c r="U309" t="s">
        <v>77</v>
      </c>
      <c r="V309">
        <v>65</v>
      </c>
      <c r="W309">
        <v>66</v>
      </c>
      <c r="X309">
        <v>97</v>
      </c>
      <c r="Y309">
        <v>93</v>
      </c>
      <c r="Z309">
        <v>142</v>
      </c>
      <c r="AA309">
        <v>135</v>
      </c>
      <c r="AB309" t="s">
        <v>284</v>
      </c>
    </row>
    <row r="310" spans="1:28">
      <c r="A310">
        <v>1230</v>
      </c>
      <c r="B310">
        <v>1079</v>
      </c>
      <c r="C310" t="s">
        <v>726</v>
      </c>
      <c r="D310" t="s">
        <v>93</v>
      </c>
      <c r="E310" t="s">
        <v>744</v>
      </c>
      <c r="F310" t="s">
        <v>369</v>
      </c>
      <c r="G310" t="s">
        <v>474</v>
      </c>
      <c r="H310" t="s">
        <v>309</v>
      </c>
      <c r="I310" t="s">
        <v>309</v>
      </c>
      <c r="J310" t="s">
        <v>319</v>
      </c>
      <c r="K310" t="s">
        <v>658</v>
      </c>
      <c r="L310" s="48">
        <v>43929</v>
      </c>
      <c r="M310" t="s">
        <v>134</v>
      </c>
      <c r="N310" t="s">
        <v>570</v>
      </c>
      <c r="O310">
        <v>3</v>
      </c>
      <c r="P310" t="s">
        <v>659</v>
      </c>
      <c r="Q310" t="s">
        <v>660</v>
      </c>
      <c r="R310" s="81" t="s">
        <v>727</v>
      </c>
      <c r="S310" s="81" t="s">
        <v>728</v>
      </c>
      <c r="T310" t="s">
        <v>113</v>
      </c>
      <c r="U310" t="s">
        <v>77</v>
      </c>
      <c r="V310">
        <v>65</v>
      </c>
      <c r="W310">
        <v>66</v>
      </c>
      <c r="X310">
        <v>97</v>
      </c>
      <c r="Y310">
        <v>93</v>
      </c>
      <c r="Z310">
        <v>142</v>
      </c>
      <c r="AA310">
        <v>135</v>
      </c>
      <c r="AB310" t="s">
        <v>284</v>
      </c>
    </row>
    <row r="311" spans="1:28">
      <c r="A311">
        <v>1231</v>
      </c>
      <c r="B311">
        <v>1101</v>
      </c>
      <c r="C311" t="s">
        <v>674</v>
      </c>
      <c r="D311" t="s">
        <v>93</v>
      </c>
      <c r="E311" t="s">
        <v>744</v>
      </c>
      <c r="F311" t="s">
        <v>369</v>
      </c>
      <c r="G311" t="s">
        <v>477</v>
      </c>
      <c r="H311" t="s">
        <v>309</v>
      </c>
      <c r="I311" t="s">
        <v>309</v>
      </c>
      <c r="J311" t="s">
        <v>319</v>
      </c>
      <c r="K311" t="s">
        <v>675</v>
      </c>
      <c r="L311" s="48">
        <v>43326</v>
      </c>
      <c r="M311" t="s">
        <v>134</v>
      </c>
      <c r="N311" t="s">
        <v>559</v>
      </c>
      <c r="O311">
        <v>1</v>
      </c>
      <c r="P311" t="s">
        <v>676</v>
      </c>
      <c r="Q311" t="s">
        <v>677</v>
      </c>
      <c r="R311" s="81" t="s">
        <v>735</v>
      </c>
      <c r="S311" s="81" t="s">
        <v>736</v>
      </c>
      <c r="T311" t="s">
        <v>113</v>
      </c>
      <c r="U311" t="s">
        <v>75</v>
      </c>
      <c r="V311">
        <v>54</v>
      </c>
      <c r="W311">
        <v>66</v>
      </c>
      <c r="X311">
        <v>97</v>
      </c>
      <c r="Y311">
        <v>84</v>
      </c>
      <c r="Z311">
        <v>142</v>
      </c>
      <c r="AA311">
        <v>122</v>
      </c>
      <c r="AB311" t="s">
        <v>284</v>
      </c>
    </row>
    <row r="312" spans="1:28">
      <c r="A312">
        <v>1231</v>
      </c>
      <c r="B312">
        <v>1101</v>
      </c>
      <c r="C312" t="s">
        <v>674</v>
      </c>
      <c r="D312" t="s">
        <v>93</v>
      </c>
      <c r="E312" t="s">
        <v>744</v>
      </c>
      <c r="F312" t="s">
        <v>367</v>
      </c>
      <c r="G312" t="s">
        <v>476</v>
      </c>
      <c r="H312" t="s">
        <v>312</v>
      </c>
      <c r="I312" t="s">
        <v>309</v>
      </c>
      <c r="J312" t="s">
        <v>312</v>
      </c>
      <c r="K312" t="s">
        <v>675</v>
      </c>
      <c r="L312" s="48">
        <v>43326</v>
      </c>
      <c r="M312" t="s">
        <v>134</v>
      </c>
      <c r="N312" t="s">
        <v>559</v>
      </c>
      <c r="O312">
        <v>1</v>
      </c>
      <c r="P312" t="s">
        <v>676</v>
      </c>
      <c r="Q312" t="s">
        <v>677</v>
      </c>
      <c r="R312" s="81" t="s">
        <v>735</v>
      </c>
      <c r="S312" s="81" t="s">
        <v>736</v>
      </c>
      <c r="T312" t="s">
        <v>37</v>
      </c>
      <c r="U312" t="s">
        <v>75</v>
      </c>
      <c r="V312">
        <v>54</v>
      </c>
      <c r="W312">
        <v>66</v>
      </c>
      <c r="X312">
        <v>97</v>
      </c>
      <c r="Y312">
        <v>84</v>
      </c>
      <c r="Z312">
        <v>142</v>
      </c>
      <c r="AA312">
        <v>122</v>
      </c>
      <c r="AB312" t="s">
        <v>284</v>
      </c>
    </row>
    <row r="313" spans="1:28">
      <c r="A313">
        <v>1231</v>
      </c>
      <c r="B313">
        <v>1101</v>
      </c>
      <c r="C313" t="s">
        <v>674</v>
      </c>
      <c r="D313" t="s">
        <v>93</v>
      </c>
      <c r="E313" t="s">
        <v>744</v>
      </c>
      <c r="F313" t="s">
        <v>7</v>
      </c>
      <c r="G313" t="s">
        <v>358</v>
      </c>
      <c r="H313" t="s">
        <v>305</v>
      </c>
      <c r="I313" t="s">
        <v>294</v>
      </c>
      <c r="J313" t="s">
        <v>288</v>
      </c>
      <c r="K313" t="s">
        <v>675</v>
      </c>
      <c r="L313" s="48">
        <v>43326</v>
      </c>
      <c r="M313" t="s">
        <v>134</v>
      </c>
      <c r="N313" t="s">
        <v>559</v>
      </c>
      <c r="O313">
        <v>1</v>
      </c>
      <c r="P313" t="s">
        <v>676</v>
      </c>
      <c r="Q313" t="s">
        <v>677</v>
      </c>
      <c r="R313" s="81" t="s">
        <v>735</v>
      </c>
      <c r="S313" s="81" t="s">
        <v>736</v>
      </c>
      <c r="T313" t="s">
        <v>31</v>
      </c>
      <c r="U313" t="s">
        <v>75</v>
      </c>
      <c r="V313">
        <v>54</v>
      </c>
      <c r="W313">
        <v>66</v>
      </c>
      <c r="X313">
        <v>97</v>
      </c>
      <c r="Y313">
        <v>84</v>
      </c>
      <c r="Z313">
        <v>142</v>
      </c>
      <c r="AA313">
        <v>122</v>
      </c>
      <c r="AB313" t="s">
        <v>284</v>
      </c>
    </row>
    <row r="314" spans="1:28">
      <c r="A314">
        <v>1231</v>
      </c>
      <c r="B314">
        <v>1101</v>
      </c>
      <c r="C314" t="s">
        <v>674</v>
      </c>
      <c r="D314" t="s">
        <v>93</v>
      </c>
      <c r="E314" t="s">
        <v>744</v>
      </c>
      <c r="F314" t="s">
        <v>8</v>
      </c>
      <c r="G314" t="s">
        <v>359</v>
      </c>
      <c r="H314" t="s">
        <v>289</v>
      </c>
      <c r="I314" t="s">
        <v>286</v>
      </c>
      <c r="J314" t="s">
        <v>300</v>
      </c>
      <c r="K314" t="s">
        <v>675</v>
      </c>
      <c r="L314" s="48">
        <v>43326</v>
      </c>
      <c r="M314" t="s">
        <v>134</v>
      </c>
      <c r="N314" t="s">
        <v>559</v>
      </c>
      <c r="O314">
        <v>1</v>
      </c>
      <c r="P314" t="s">
        <v>676</v>
      </c>
      <c r="Q314" t="s">
        <v>677</v>
      </c>
      <c r="R314" s="81" t="s">
        <v>735</v>
      </c>
      <c r="S314" s="81" t="s">
        <v>736</v>
      </c>
      <c r="T314" t="s">
        <v>30</v>
      </c>
      <c r="U314" t="s">
        <v>75</v>
      </c>
      <c r="V314">
        <v>54</v>
      </c>
      <c r="W314">
        <v>66</v>
      </c>
      <c r="X314">
        <v>97</v>
      </c>
      <c r="Y314">
        <v>84</v>
      </c>
      <c r="Z314">
        <v>142</v>
      </c>
      <c r="AA314">
        <v>122</v>
      </c>
      <c r="AB314" t="s">
        <v>284</v>
      </c>
    </row>
    <row r="315" spans="1:28">
      <c r="A315">
        <v>1231</v>
      </c>
      <c r="B315">
        <v>1101</v>
      </c>
      <c r="C315" t="s">
        <v>674</v>
      </c>
      <c r="D315" t="s">
        <v>93</v>
      </c>
      <c r="E315" t="s">
        <v>744</v>
      </c>
      <c r="F315" t="s">
        <v>5</v>
      </c>
      <c r="G315" t="s">
        <v>357</v>
      </c>
      <c r="H315" t="s">
        <v>286</v>
      </c>
      <c r="I315" t="s">
        <v>288</v>
      </c>
      <c r="J315" t="s">
        <v>289</v>
      </c>
      <c r="K315" t="s">
        <v>675</v>
      </c>
      <c r="L315" s="48">
        <v>43326</v>
      </c>
      <c r="M315" t="s">
        <v>134</v>
      </c>
      <c r="N315" t="s">
        <v>559</v>
      </c>
      <c r="O315">
        <v>1</v>
      </c>
      <c r="P315" t="s">
        <v>676</v>
      </c>
      <c r="Q315" t="s">
        <v>677</v>
      </c>
      <c r="R315" s="81" t="s">
        <v>735</v>
      </c>
      <c r="S315" s="81" t="s">
        <v>736</v>
      </c>
      <c r="T315" t="s">
        <v>32</v>
      </c>
      <c r="U315" t="s">
        <v>75</v>
      </c>
      <c r="V315">
        <v>54</v>
      </c>
      <c r="W315">
        <v>66</v>
      </c>
      <c r="X315">
        <v>97</v>
      </c>
      <c r="Y315">
        <v>84</v>
      </c>
      <c r="Z315">
        <v>142</v>
      </c>
      <c r="AA315">
        <v>122</v>
      </c>
      <c r="AB315" t="s">
        <v>284</v>
      </c>
    </row>
    <row r="316" spans="1:28">
      <c r="A316">
        <v>1232</v>
      </c>
      <c r="B316">
        <v>1076</v>
      </c>
      <c r="C316" t="s">
        <v>669</v>
      </c>
      <c r="D316" t="s">
        <v>93</v>
      </c>
      <c r="E316" t="s">
        <v>744</v>
      </c>
      <c r="F316" t="s">
        <v>5</v>
      </c>
      <c r="G316" t="s">
        <v>362</v>
      </c>
      <c r="H316" t="s">
        <v>293</v>
      </c>
      <c r="I316" t="s">
        <v>313</v>
      </c>
      <c r="J316" t="s">
        <v>300</v>
      </c>
      <c r="K316" t="s">
        <v>670</v>
      </c>
      <c r="L316" s="48">
        <v>43422</v>
      </c>
      <c r="M316" t="s">
        <v>134</v>
      </c>
      <c r="N316" t="s">
        <v>671</v>
      </c>
      <c r="O316">
        <v>2</v>
      </c>
      <c r="P316" t="s">
        <v>672</v>
      </c>
      <c r="Q316" t="s">
        <v>673</v>
      </c>
      <c r="R316" s="81" t="s">
        <v>733</v>
      </c>
      <c r="S316" s="81" t="s">
        <v>734</v>
      </c>
      <c r="T316" t="s">
        <v>32</v>
      </c>
      <c r="U316" t="s">
        <v>76</v>
      </c>
      <c r="V316">
        <v>38</v>
      </c>
      <c r="W316">
        <v>66</v>
      </c>
      <c r="X316">
        <v>97</v>
      </c>
      <c r="Y316">
        <v>55</v>
      </c>
      <c r="Z316">
        <v>142</v>
      </c>
      <c r="AA316">
        <v>90</v>
      </c>
      <c r="AB316" t="s">
        <v>284</v>
      </c>
    </row>
    <row r="317" spans="1:28">
      <c r="A317">
        <v>1232</v>
      </c>
      <c r="B317">
        <v>1076</v>
      </c>
      <c r="C317" t="s">
        <v>669</v>
      </c>
      <c r="D317" t="s">
        <v>93</v>
      </c>
      <c r="E317" t="s">
        <v>744</v>
      </c>
      <c r="F317" t="s">
        <v>8</v>
      </c>
      <c r="G317" t="s">
        <v>361</v>
      </c>
      <c r="H317" t="s">
        <v>285</v>
      </c>
      <c r="I317" t="s">
        <v>293</v>
      </c>
      <c r="J317" t="s">
        <v>310</v>
      </c>
      <c r="K317" t="s">
        <v>670</v>
      </c>
      <c r="L317" s="48">
        <v>43422</v>
      </c>
      <c r="M317" t="s">
        <v>134</v>
      </c>
      <c r="N317" t="s">
        <v>671</v>
      </c>
      <c r="O317">
        <v>2</v>
      </c>
      <c r="P317" t="s">
        <v>672</v>
      </c>
      <c r="Q317" t="s">
        <v>673</v>
      </c>
      <c r="R317" s="81" t="s">
        <v>733</v>
      </c>
      <c r="S317" s="81" t="s">
        <v>734</v>
      </c>
      <c r="T317" t="s">
        <v>30</v>
      </c>
      <c r="U317" t="s">
        <v>76</v>
      </c>
      <c r="V317">
        <v>38</v>
      </c>
      <c r="W317">
        <v>66</v>
      </c>
      <c r="X317">
        <v>97</v>
      </c>
      <c r="Y317">
        <v>55</v>
      </c>
      <c r="Z317">
        <v>142</v>
      </c>
      <c r="AA317">
        <v>90</v>
      </c>
      <c r="AB317" t="s">
        <v>284</v>
      </c>
    </row>
    <row r="318" spans="1:28">
      <c r="A318">
        <v>1232</v>
      </c>
      <c r="B318">
        <v>1076</v>
      </c>
      <c r="C318" t="s">
        <v>669</v>
      </c>
      <c r="D318" t="s">
        <v>93</v>
      </c>
      <c r="E318" t="s">
        <v>744</v>
      </c>
      <c r="F318" t="s">
        <v>7</v>
      </c>
      <c r="G318" t="s">
        <v>363</v>
      </c>
      <c r="H318" t="s">
        <v>299</v>
      </c>
      <c r="I318" t="s">
        <v>306</v>
      </c>
      <c r="J318" t="s">
        <v>285</v>
      </c>
      <c r="K318" t="s">
        <v>670</v>
      </c>
      <c r="L318" s="48">
        <v>43422</v>
      </c>
      <c r="M318" t="s">
        <v>134</v>
      </c>
      <c r="N318" t="s">
        <v>671</v>
      </c>
      <c r="O318">
        <v>2</v>
      </c>
      <c r="P318" t="s">
        <v>672</v>
      </c>
      <c r="Q318" t="s">
        <v>673</v>
      </c>
      <c r="R318" s="81" t="s">
        <v>733</v>
      </c>
      <c r="S318" s="81" t="s">
        <v>734</v>
      </c>
      <c r="T318" t="s">
        <v>31</v>
      </c>
      <c r="U318" t="s">
        <v>76</v>
      </c>
      <c r="V318">
        <v>38</v>
      </c>
      <c r="W318">
        <v>66</v>
      </c>
      <c r="X318">
        <v>97</v>
      </c>
      <c r="Y318">
        <v>55</v>
      </c>
      <c r="Z318">
        <v>142</v>
      </c>
      <c r="AA318">
        <v>90</v>
      </c>
      <c r="AB318" t="s">
        <v>284</v>
      </c>
    </row>
    <row r="319" spans="1:28">
      <c r="A319">
        <v>1232</v>
      </c>
      <c r="B319">
        <v>1076</v>
      </c>
      <c r="C319" t="s">
        <v>669</v>
      </c>
      <c r="D319" t="s">
        <v>93</v>
      </c>
      <c r="E319" t="s">
        <v>744</v>
      </c>
      <c r="F319" t="s">
        <v>367</v>
      </c>
      <c r="G319" t="s">
        <v>478</v>
      </c>
      <c r="H319" t="s">
        <v>312</v>
      </c>
      <c r="I319" t="s">
        <v>318</v>
      </c>
      <c r="J319" t="s">
        <v>312</v>
      </c>
      <c r="K319" t="s">
        <v>670</v>
      </c>
      <c r="L319" s="48">
        <v>43422</v>
      </c>
      <c r="M319" t="s">
        <v>134</v>
      </c>
      <c r="N319" t="s">
        <v>671</v>
      </c>
      <c r="O319">
        <v>2</v>
      </c>
      <c r="P319" t="s">
        <v>672</v>
      </c>
      <c r="Q319" t="s">
        <v>673</v>
      </c>
      <c r="R319" s="81" t="s">
        <v>733</v>
      </c>
      <c r="S319" s="81" t="s">
        <v>734</v>
      </c>
      <c r="T319" t="s">
        <v>37</v>
      </c>
      <c r="U319" t="s">
        <v>76</v>
      </c>
      <c r="V319">
        <v>38</v>
      </c>
      <c r="W319">
        <v>66</v>
      </c>
      <c r="X319">
        <v>97</v>
      </c>
      <c r="Y319">
        <v>55</v>
      </c>
      <c r="Z319">
        <v>142</v>
      </c>
      <c r="AA319">
        <v>90</v>
      </c>
      <c r="AB319" t="s">
        <v>284</v>
      </c>
    </row>
    <row r="320" spans="1:28">
      <c r="A320">
        <v>1232</v>
      </c>
      <c r="B320">
        <v>1076</v>
      </c>
      <c r="C320" t="s">
        <v>669</v>
      </c>
      <c r="D320" t="s">
        <v>93</v>
      </c>
      <c r="E320" t="s">
        <v>744</v>
      </c>
      <c r="F320" t="s">
        <v>369</v>
      </c>
      <c r="G320" t="s">
        <v>479</v>
      </c>
      <c r="H320" t="s">
        <v>309</v>
      </c>
      <c r="I320" t="s">
        <v>318</v>
      </c>
      <c r="J320" t="s">
        <v>318</v>
      </c>
      <c r="K320" t="s">
        <v>670</v>
      </c>
      <c r="L320" s="48">
        <v>43422</v>
      </c>
      <c r="M320" t="s">
        <v>134</v>
      </c>
      <c r="N320" t="s">
        <v>671</v>
      </c>
      <c r="O320">
        <v>2</v>
      </c>
      <c r="P320" t="s">
        <v>672</v>
      </c>
      <c r="Q320" t="s">
        <v>673</v>
      </c>
      <c r="R320" s="81" t="s">
        <v>733</v>
      </c>
      <c r="S320" s="81" t="s">
        <v>734</v>
      </c>
      <c r="T320" t="s">
        <v>113</v>
      </c>
      <c r="U320" t="s">
        <v>76</v>
      </c>
      <c r="V320">
        <v>38</v>
      </c>
      <c r="W320">
        <v>66</v>
      </c>
      <c r="X320">
        <v>97</v>
      </c>
      <c r="Y320">
        <v>55</v>
      </c>
      <c r="Z320">
        <v>142</v>
      </c>
      <c r="AA320">
        <v>90</v>
      </c>
      <c r="AB320" t="s">
        <v>284</v>
      </c>
    </row>
    <row r="321" spans="1:28">
      <c r="A321">
        <v>1233</v>
      </c>
      <c r="B321">
        <v>1185</v>
      </c>
      <c r="C321" t="s">
        <v>968</v>
      </c>
      <c r="D321" t="s">
        <v>93</v>
      </c>
      <c r="E321" t="s">
        <v>744</v>
      </c>
      <c r="F321" t="s">
        <v>369</v>
      </c>
      <c r="G321" t="s">
        <v>480</v>
      </c>
      <c r="H321" t="s">
        <v>309</v>
      </c>
      <c r="I321" t="s">
        <v>312</v>
      </c>
      <c r="J321" t="s">
        <v>312</v>
      </c>
      <c r="K321" t="s">
        <v>969</v>
      </c>
      <c r="L321" s="48">
        <v>43825</v>
      </c>
      <c r="M321" t="s">
        <v>134</v>
      </c>
      <c r="N321" t="s">
        <v>575</v>
      </c>
      <c r="O321">
        <v>3</v>
      </c>
      <c r="P321" t="s">
        <v>970</v>
      </c>
      <c r="Q321" t="s">
        <v>971</v>
      </c>
      <c r="R321" s="81" t="s">
        <v>972</v>
      </c>
      <c r="S321" s="81" t="s">
        <v>973</v>
      </c>
      <c r="T321" t="s">
        <v>113</v>
      </c>
      <c r="U321" t="s">
        <v>77</v>
      </c>
      <c r="V321">
        <v>48</v>
      </c>
      <c r="W321">
        <v>66</v>
      </c>
      <c r="X321">
        <v>97</v>
      </c>
      <c r="Y321">
        <v>79</v>
      </c>
      <c r="Z321">
        <v>142</v>
      </c>
      <c r="AA321">
        <v>122</v>
      </c>
      <c r="AB321" t="s">
        <v>284</v>
      </c>
    </row>
    <row r="322" spans="1:28">
      <c r="A322">
        <v>1233</v>
      </c>
      <c r="B322">
        <v>1185</v>
      </c>
      <c r="C322" t="s">
        <v>968</v>
      </c>
      <c r="D322" t="s">
        <v>93</v>
      </c>
      <c r="E322" t="s">
        <v>744</v>
      </c>
      <c r="F322" t="s">
        <v>367</v>
      </c>
      <c r="G322" t="s">
        <v>481</v>
      </c>
      <c r="H322" t="s">
        <v>312</v>
      </c>
      <c r="I322" t="s">
        <v>309</v>
      </c>
      <c r="J322" t="s">
        <v>318</v>
      </c>
      <c r="K322" t="s">
        <v>969</v>
      </c>
      <c r="L322" s="48">
        <v>43825</v>
      </c>
      <c r="M322" t="s">
        <v>134</v>
      </c>
      <c r="N322" t="s">
        <v>575</v>
      </c>
      <c r="O322">
        <v>3</v>
      </c>
      <c r="P322" t="s">
        <v>970</v>
      </c>
      <c r="Q322" t="s">
        <v>971</v>
      </c>
      <c r="R322" s="81" t="s">
        <v>972</v>
      </c>
      <c r="S322" s="81" t="s">
        <v>973</v>
      </c>
      <c r="T322" t="s">
        <v>37</v>
      </c>
      <c r="U322" t="s">
        <v>77</v>
      </c>
      <c r="V322">
        <v>48</v>
      </c>
      <c r="W322">
        <v>66</v>
      </c>
      <c r="X322">
        <v>97</v>
      </c>
      <c r="Y322">
        <v>79</v>
      </c>
      <c r="Z322">
        <v>142</v>
      </c>
      <c r="AA322">
        <v>122</v>
      </c>
      <c r="AB322" t="s">
        <v>284</v>
      </c>
    </row>
    <row r="323" spans="1:28">
      <c r="A323">
        <v>1233</v>
      </c>
      <c r="B323">
        <v>1185</v>
      </c>
      <c r="C323" t="s">
        <v>968</v>
      </c>
      <c r="D323" t="s">
        <v>93</v>
      </c>
      <c r="E323" t="s">
        <v>744</v>
      </c>
      <c r="F323" t="s">
        <v>7</v>
      </c>
      <c r="G323" t="s">
        <v>364</v>
      </c>
      <c r="H323" t="s">
        <v>306</v>
      </c>
      <c r="I323" t="s">
        <v>303</v>
      </c>
      <c r="J323" t="s">
        <v>310</v>
      </c>
      <c r="K323" t="s">
        <v>969</v>
      </c>
      <c r="L323" s="48">
        <v>43825</v>
      </c>
      <c r="M323" t="s">
        <v>134</v>
      </c>
      <c r="N323" t="s">
        <v>575</v>
      </c>
      <c r="O323">
        <v>3</v>
      </c>
      <c r="P323" t="s">
        <v>970</v>
      </c>
      <c r="Q323" t="s">
        <v>971</v>
      </c>
      <c r="R323" s="81" t="s">
        <v>972</v>
      </c>
      <c r="S323" s="81" t="s">
        <v>973</v>
      </c>
      <c r="T323" t="s">
        <v>31</v>
      </c>
      <c r="U323" t="s">
        <v>77</v>
      </c>
      <c r="V323">
        <v>48</v>
      </c>
      <c r="W323">
        <v>66</v>
      </c>
      <c r="X323">
        <v>97</v>
      </c>
      <c r="Y323">
        <v>79</v>
      </c>
      <c r="Z323">
        <v>142</v>
      </c>
      <c r="AA323">
        <v>122</v>
      </c>
      <c r="AB323" t="s">
        <v>284</v>
      </c>
    </row>
    <row r="324" spans="1:28">
      <c r="A324">
        <v>1233</v>
      </c>
      <c r="B324">
        <v>1185</v>
      </c>
      <c r="C324" t="s">
        <v>968</v>
      </c>
      <c r="D324" t="s">
        <v>93</v>
      </c>
      <c r="E324" t="s">
        <v>744</v>
      </c>
      <c r="F324" t="s">
        <v>8</v>
      </c>
      <c r="G324" t="s">
        <v>366</v>
      </c>
      <c r="H324" t="s">
        <v>285</v>
      </c>
      <c r="I324" t="s">
        <v>312</v>
      </c>
      <c r="J324" t="s">
        <v>306</v>
      </c>
      <c r="K324" t="s">
        <v>969</v>
      </c>
      <c r="L324" s="48">
        <v>43825</v>
      </c>
      <c r="M324" t="s">
        <v>134</v>
      </c>
      <c r="N324" t="s">
        <v>575</v>
      </c>
      <c r="O324">
        <v>3</v>
      </c>
      <c r="P324" t="s">
        <v>970</v>
      </c>
      <c r="Q324" t="s">
        <v>971</v>
      </c>
      <c r="R324" s="81" t="s">
        <v>972</v>
      </c>
      <c r="S324" s="81" t="s">
        <v>973</v>
      </c>
      <c r="T324" t="s">
        <v>30</v>
      </c>
      <c r="U324" t="s">
        <v>77</v>
      </c>
      <c r="V324">
        <v>48</v>
      </c>
      <c r="W324">
        <v>66</v>
      </c>
      <c r="X324">
        <v>97</v>
      </c>
      <c r="Y324">
        <v>79</v>
      </c>
      <c r="Z324">
        <v>142</v>
      </c>
      <c r="AA324">
        <v>122</v>
      </c>
      <c r="AB324" t="s">
        <v>284</v>
      </c>
    </row>
    <row r="325" spans="1:28">
      <c r="A325">
        <v>1233</v>
      </c>
      <c r="B325">
        <v>1185</v>
      </c>
      <c r="C325" t="s">
        <v>968</v>
      </c>
      <c r="D325" t="s">
        <v>93</v>
      </c>
      <c r="E325" t="s">
        <v>744</v>
      </c>
      <c r="F325" t="s">
        <v>5</v>
      </c>
      <c r="G325" t="s">
        <v>365</v>
      </c>
      <c r="H325" t="s">
        <v>292</v>
      </c>
      <c r="I325" t="s">
        <v>295</v>
      </c>
      <c r="J325" t="s">
        <v>292</v>
      </c>
      <c r="K325" t="s">
        <v>969</v>
      </c>
      <c r="L325" s="48">
        <v>43825</v>
      </c>
      <c r="M325" t="s">
        <v>134</v>
      </c>
      <c r="N325" t="s">
        <v>575</v>
      </c>
      <c r="O325">
        <v>3</v>
      </c>
      <c r="P325" t="s">
        <v>970</v>
      </c>
      <c r="Q325" t="s">
        <v>971</v>
      </c>
      <c r="R325" s="81" t="s">
        <v>972</v>
      </c>
      <c r="S325" s="81" t="s">
        <v>973</v>
      </c>
      <c r="T325" t="s">
        <v>32</v>
      </c>
      <c r="U325" t="s">
        <v>77</v>
      </c>
      <c r="V325">
        <v>48</v>
      </c>
      <c r="W325">
        <v>66</v>
      </c>
      <c r="X325">
        <v>97</v>
      </c>
      <c r="Y325">
        <v>79</v>
      </c>
      <c r="Z325">
        <v>142</v>
      </c>
      <c r="AA325">
        <v>122</v>
      </c>
      <c r="AB325" t="s">
        <v>284</v>
      </c>
    </row>
    <row r="326" spans="1:28">
      <c r="A326">
        <v>1234</v>
      </c>
      <c r="B326">
        <v>1099</v>
      </c>
      <c r="C326" t="s">
        <v>678</v>
      </c>
      <c r="D326" t="s">
        <v>93</v>
      </c>
      <c r="E326" t="s">
        <v>744</v>
      </c>
      <c r="F326" t="s">
        <v>5</v>
      </c>
      <c r="G326" t="s">
        <v>563</v>
      </c>
      <c r="H326" t="s">
        <v>306</v>
      </c>
      <c r="I326" t="s">
        <v>313</v>
      </c>
      <c r="J326" t="s">
        <v>308</v>
      </c>
      <c r="K326" t="s">
        <v>679</v>
      </c>
      <c r="L326" s="48">
        <v>43540</v>
      </c>
      <c r="M326" t="s">
        <v>134</v>
      </c>
      <c r="N326" t="s">
        <v>680</v>
      </c>
      <c r="O326">
        <v>1</v>
      </c>
      <c r="P326" t="s">
        <v>681</v>
      </c>
      <c r="Q326" t="s">
        <v>682</v>
      </c>
      <c r="R326" s="81" t="s">
        <v>737</v>
      </c>
      <c r="S326" s="81" t="s">
        <v>738</v>
      </c>
      <c r="T326" t="s">
        <v>32</v>
      </c>
      <c r="U326" t="s">
        <v>75</v>
      </c>
      <c r="V326">
        <v>47</v>
      </c>
      <c r="W326">
        <v>66</v>
      </c>
      <c r="X326">
        <v>97</v>
      </c>
      <c r="Y326">
        <v>72</v>
      </c>
      <c r="Z326">
        <v>142</v>
      </c>
      <c r="AA326">
        <v>110</v>
      </c>
      <c r="AB326" t="s">
        <v>284</v>
      </c>
    </row>
    <row r="327" spans="1:28">
      <c r="A327">
        <v>1234</v>
      </c>
      <c r="B327">
        <v>1099</v>
      </c>
      <c r="C327" t="s">
        <v>678</v>
      </c>
      <c r="D327" t="s">
        <v>93</v>
      </c>
      <c r="E327" t="s">
        <v>744</v>
      </c>
      <c r="F327" t="s">
        <v>8</v>
      </c>
      <c r="G327" t="s">
        <v>561</v>
      </c>
      <c r="H327" t="s">
        <v>318</v>
      </c>
      <c r="I327" t="s">
        <v>282</v>
      </c>
      <c r="J327" t="s">
        <v>296</v>
      </c>
      <c r="K327" t="s">
        <v>679</v>
      </c>
      <c r="L327" s="48">
        <v>43540</v>
      </c>
      <c r="M327" t="s">
        <v>134</v>
      </c>
      <c r="N327" t="s">
        <v>680</v>
      </c>
      <c r="O327">
        <v>1</v>
      </c>
      <c r="P327" t="s">
        <v>681</v>
      </c>
      <c r="Q327" t="s">
        <v>682</v>
      </c>
      <c r="R327" s="81" t="s">
        <v>737</v>
      </c>
      <c r="S327" s="81" t="s">
        <v>738</v>
      </c>
      <c r="T327" t="s">
        <v>30</v>
      </c>
      <c r="U327" t="s">
        <v>75</v>
      </c>
      <c r="V327">
        <v>47</v>
      </c>
      <c r="W327">
        <v>66</v>
      </c>
      <c r="X327">
        <v>97</v>
      </c>
      <c r="Y327">
        <v>72</v>
      </c>
      <c r="Z327">
        <v>142</v>
      </c>
      <c r="AA327">
        <v>110</v>
      </c>
      <c r="AB327" t="s">
        <v>284</v>
      </c>
    </row>
    <row r="328" spans="1:28">
      <c r="A328">
        <v>1234</v>
      </c>
      <c r="B328">
        <v>1099</v>
      </c>
      <c r="C328" t="s">
        <v>678</v>
      </c>
      <c r="D328" t="s">
        <v>93</v>
      </c>
      <c r="E328" t="s">
        <v>744</v>
      </c>
      <c r="F328" t="s">
        <v>7</v>
      </c>
      <c r="G328" t="s">
        <v>562</v>
      </c>
      <c r="H328" t="s">
        <v>308</v>
      </c>
      <c r="I328" t="s">
        <v>318</v>
      </c>
      <c r="J328" t="s">
        <v>314</v>
      </c>
      <c r="K328" t="s">
        <v>679</v>
      </c>
      <c r="L328" s="48">
        <v>43540</v>
      </c>
      <c r="M328" t="s">
        <v>134</v>
      </c>
      <c r="N328" t="s">
        <v>680</v>
      </c>
      <c r="O328">
        <v>1</v>
      </c>
      <c r="P328" t="s">
        <v>681</v>
      </c>
      <c r="Q328" t="s">
        <v>682</v>
      </c>
      <c r="R328" s="81" t="s">
        <v>737</v>
      </c>
      <c r="S328" s="81" t="s">
        <v>738</v>
      </c>
      <c r="T328" t="s">
        <v>31</v>
      </c>
      <c r="U328" t="s">
        <v>75</v>
      </c>
      <c r="V328">
        <v>47</v>
      </c>
      <c r="W328">
        <v>66</v>
      </c>
      <c r="X328">
        <v>97</v>
      </c>
      <c r="Y328">
        <v>72</v>
      </c>
      <c r="Z328">
        <v>142</v>
      </c>
      <c r="AA328">
        <v>110</v>
      </c>
      <c r="AB328" t="s">
        <v>284</v>
      </c>
    </row>
    <row r="329" spans="1:28">
      <c r="A329">
        <v>1234</v>
      </c>
      <c r="B329">
        <v>1099</v>
      </c>
      <c r="C329" t="s">
        <v>678</v>
      </c>
      <c r="D329" t="s">
        <v>93</v>
      </c>
      <c r="E329" t="s">
        <v>744</v>
      </c>
      <c r="F329" t="s">
        <v>367</v>
      </c>
      <c r="G329" t="s">
        <v>558</v>
      </c>
      <c r="H329" t="s">
        <v>312</v>
      </c>
      <c r="I329" t="s">
        <v>318</v>
      </c>
      <c r="J329" t="s">
        <v>318</v>
      </c>
      <c r="K329" t="s">
        <v>679</v>
      </c>
      <c r="L329" s="48">
        <v>43540</v>
      </c>
      <c r="M329" t="s">
        <v>134</v>
      </c>
      <c r="N329" t="s">
        <v>680</v>
      </c>
      <c r="O329">
        <v>1</v>
      </c>
      <c r="P329" t="s">
        <v>681</v>
      </c>
      <c r="Q329" t="s">
        <v>682</v>
      </c>
      <c r="R329" s="81" t="s">
        <v>737</v>
      </c>
      <c r="S329" s="81" t="s">
        <v>738</v>
      </c>
      <c r="T329" t="s">
        <v>37</v>
      </c>
      <c r="U329" t="s">
        <v>75</v>
      </c>
      <c r="V329">
        <v>47</v>
      </c>
      <c r="W329">
        <v>66</v>
      </c>
      <c r="X329">
        <v>97</v>
      </c>
      <c r="Y329">
        <v>72</v>
      </c>
      <c r="Z329">
        <v>142</v>
      </c>
      <c r="AA329">
        <v>110</v>
      </c>
      <c r="AB329" t="s">
        <v>284</v>
      </c>
    </row>
    <row r="330" spans="1:28">
      <c r="A330">
        <v>1234</v>
      </c>
      <c r="B330">
        <v>1099</v>
      </c>
      <c r="C330" t="s">
        <v>678</v>
      </c>
      <c r="D330" t="s">
        <v>93</v>
      </c>
      <c r="E330" t="s">
        <v>744</v>
      </c>
      <c r="F330" t="s">
        <v>369</v>
      </c>
      <c r="G330" t="s">
        <v>560</v>
      </c>
      <c r="H330" t="s">
        <v>309</v>
      </c>
      <c r="I330" t="s">
        <v>309</v>
      </c>
      <c r="J330" t="s">
        <v>318</v>
      </c>
      <c r="K330" t="s">
        <v>679</v>
      </c>
      <c r="L330" s="48">
        <v>43540</v>
      </c>
      <c r="M330" t="s">
        <v>134</v>
      </c>
      <c r="N330" t="s">
        <v>680</v>
      </c>
      <c r="O330">
        <v>1</v>
      </c>
      <c r="P330" t="s">
        <v>681</v>
      </c>
      <c r="Q330" t="s">
        <v>682</v>
      </c>
      <c r="R330" s="81" t="s">
        <v>737</v>
      </c>
      <c r="S330" s="81" t="s">
        <v>738</v>
      </c>
      <c r="T330" t="s">
        <v>113</v>
      </c>
      <c r="U330" t="s">
        <v>75</v>
      </c>
      <c r="V330">
        <v>47</v>
      </c>
      <c r="W330">
        <v>66</v>
      </c>
      <c r="X330">
        <v>97</v>
      </c>
      <c r="Y330">
        <v>72</v>
      </c>
      <c r="Z330">
        <v>142</v>
      </c>
      <c r="AA330">
        <v>110</v>
      </c>
      <c r="AB330" t="s">
        <v>284</v>
      </c>
    </row>
  </sheetData>
  <phoneticPr fontId="2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499984740745262"/>
  </sheetPr>
  <dimension ref="A1:AD68"/>
  <sheetViews>
    <sheetView tabSelected="1" zoomScaleNormal="100" workbookViewId="0">
      <selection activeCell="AG13" sqref="AG13"/>
    </sheetView>
  </sheetViews>
  <sheetFormatPr defaultRowHeight="12.75"/>
  <cols>
    <col min="1" max="1" width="0.7109375" style="23" customWidth="1"/>
    <col min="2" max="2" width="9.140625" style="23"/>
    <col min="3" max="3" width="7" style="23" customWidth="1"/>
    <col min="4" max="4" width="4" style="23" customWidth="1"/>
    <col min="5" max="5" width="3.5703125" style="23" customWidth="1"/>
    <col min="6" max="6" width="0.85546875" style="23" hidden="1" customWidth="1"/>
    <col min="7" max="7" width="4" style="23" customWidth="1"/>
    <col min="8" max="8" width="4.85546875" style="23" customWidth="1"/>
    <col min="9" max="9" width="0.140625" style="23" hidden="1" customWidth="1"/>
    <col min="10" max="10" width="3.7109375" style="23" customWidth="1"/>
    <col min="11" max="11" width="5.28515625" style="23" customWidth="1"/>
    <col min="12" max="12" width="1" style="23" hidden="1" customWidth="1"/>
    <col min="13" max="13" width="3.85546875" style="23" customWidth="1"/>
    <col min="14" max="14" width="3.7109375" style="23" customWidth="1"/>
    <col min="15" max="15" width="0.42578125" style="23" customWidth="1"/>
    <col min="16" max="17" width="4" style="23" customWidth="1"/>
    <col min="18" max="18" width="1.28515625" style="23" hidden="1" customWidth="1"/>
    <col min="19" max="19" width="3.85546875" style="23" customWidth="1"/>
    <col min="20" max="20" width="4.5703125" style="23" customWidth="1"/>
    <col min="21" max="21" width="4.28515625" style="23" hidden="1" customWidth="1"/>
    <col min="22" max="22" width="8" style="23" customWidth="1"/>
    <col min="23" max="23" width="8.85546875" style="23" customWidth="1"/>
    <col min="24" max="24" width="8.7109375" style="23" customWidth="1"/>
    <col min="25" max="25" width="7.42578125" style="23" customWidth="1"/>
    <col min="26" max="26" width="4.85546875" style="23" customWidth="1"/>
    <col min="27" max="27" width="5.85546875" style="23" customWidth="1"/>
    <col min="28" max="28" width="10.42578125" style="23" customWidth="1"/>
    <col min="29" max="29" width="11.7109375" style="23" customWidth="1"/>
    <col min="30" max="30" width="0.5703125" style="23" customWidth="1"/>
    <col min="31" max="16384" width="9.140625" style="23"/>
  </cols>
  <sheetData>
    <row r="1" spans="1:30" s="5" customFormat="1" ht="28.5">
      <c r="A1" s="1"/>
      <c r="B1" s="2"/>
      <c r="C1" s="2"/>
      <c r="D1" s="75" t="s">
        <v>13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"/>
    </row>
    <row r="2" spans="1:30" s="5" customFormat="1" ht="18.75">
      <c r="A2" s="4"/>
      <c r="J2" s="18" t="s">
        <v>15</v>
      </c>
      <c r="AD2" s="6"/>
    </row>
    <row r="3" spans="1:30" s="5" customFormat="1" ht="9.75" customHeight="1" thickBot="1">
      <c r="A3" s="4"/>
      <c r="K3" s="14"/>
      <c r="AD3" s="6"/>
    </row>
    <row r="4" spans="1:30" s="5" customFormat="1" ht="4.5" customHeight="1">
      <c r="A4" s="4"/>
      <c r="N4"/>
      <c r="O4" s="148" t="s">
        <v>16</v>
      </c>
      <c r="P4" s="149"/>
      <c r="Q4" s="149"/>
      <c r="R4" s="149"/>
      <c r="S4" s="149"/>
      <c r="T4" s="149"/>
      <c r="U4" s="149"/>
      <c r="V4" s="149"/>
      <c r="W4" s="150"/>
      <c r="AD4" s="6"/>
    </row>
    <row r="5" spans="1:30" s="5" customFormat="1" ht="18.75">
      <c r="A5" s="4"/>
      <c r="J5" s="166"/>
      <c r="K5" s="166"/>
      <c r="L5" s="166"/>
      <c r="N5"/>
      <c r="O5" s="151"/>
      <c r="P5" s="152"/>
      <c r="Q5" s="152"/>
      <c r="R5" s="152"/>
      <c r="S5" s="152"/>
      <c r="T5" s="152"/>
      <c r="U5" s="152"/>
      <c r="V5" s="152"/>
      <c r="W5" s="153"/>
      <c r="AD5" s="6"/>
    </row>
    <row r="6" spans="1:30" s="5" customFormat="1" ht="6" customHeight="1" thickBot="1">
      <c r="A6" s="4"/>
      <c r="B6" s="15"/>
      <c r="O6" s="154"/>
      <c r="P6" s="155"/>
      <c r="Q6" s="155"/>
      <c r="R6" s="155"/>
      <c r="S6" s="155"/>
      <c r="T6" s="155"/>
      <c r="U6" s="155"/>
      <c r="V6" s="155"/>
      <c r="W6" s="156"/>
      <c r="AD6" s="6"/>
    </row>
    <row r="7" spans="1:30" s="5" customFormat="1" ht="18" customHeight="1">
      <c r="A7" s="4"/>
      <c r="B7" s="15"/>
      <c r="O7" s="53"/>
      <c r="P7" s="53"/>
      <c r="Q7" s="53"/>
      <c r="R7" s="53"/>
      <c r="S7" s="53"/>
      <c r="T7" s="53"/>
      <c r="U7" s="53"/>
      <c r="V7" s="53"/>
      <c r="W7" s="53"/>
      <c r="AD7" s="6"/>
    </row>
    <row r="8" spans="1:30" s="11" customFormat="1" ht="18.75">
      <c r="A8" s="12"/>
      <c r="B8" s="16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13"/>
    </row>
    <row r="9" spans="1:30" s="5" customFormat="1" ht="25.5" customHeight="1" thickBot="1">
      <c r="A9" s="4"/>
      <c r="B9" s="19" t="s">
        <v>116</v>
      </c>
      <c r="C9" s="80" t="str">
        <f>VLOOKUP(Z9,Sheet1!1:1048576,3,0)</f>
        <v>YUVRAJ DHURVE</v>
      </c>
      <c r="D9" s="11"/>
      <c r="E9" s="11"/>
      <c r="F9" s="11"/>
      <c r="G9" s="11"/>
      <c r="H9" s="11"/>
      <c r="I9" s="11"/>
      <c r="J9" s="11"/>
      <c r="K9" s="11"/>
      <c r="L9" s="167" t="s">
        <v>117</v>
      </c>
      <c r="M9" s="167"/>
      <c r="N9" s="167"/>
      <c r="O9" s="187" t="str">
        <f>LEFT(SUBSTITUTE(VLOOKUP(Z9,Sheet1!1:1048576,4,0), "Class",""),LEN(SUBSTITUTE(VLOOKUP(Z9,Sheet1!1:1048576,4,0), "Class",""))-1)</f>
        <v>L.K.G.</v>
      </c>
      <c r="P9" s="187"/>
      <c r="Q9" s="187"/>
      <c r="R9" s="187"/>
      <c r="S9" s="167" t="s">
        <v>118</v>
      </c>
      <c r="T9" s="167"/>
      <c r="U9" s="11"/>
      <c r="V9" s="186" t="str">
        <f>VLOOKUP(Z9,Sheet1!1:1048576,5,0)</f>
        <v>2025-2026</v>
      </c>
      <c r="W9" s="186"/>
      <c r="X9" s="185" t="s">
        <v>119</v>
      </c>
      <c r="Y9" s="185"/>
      <c r="Z9" s="47">
        <v>1033</v>
      </c>
      <c r="AA9" s="184" t="s">
        <v>120</v>
      </c>
      <c r="AB9" s="184"/>
      <c r="AC9" s="55" t="str">
        <f>VLOOKUP(Z9,Sheet1!1:1048576,11,0)</f>
        <v>211866</v>
      </c>
      <c r="AD9" s="6"/>
    </row>
    <row r="10" spans="1:30" s="5" customFormat="1" ht="24.75" customHeight="1" thickBot="1">
      <c r="A10" s="4"/>
      <c r="B10" s="157" t="s">
        <v>18</v>
      </c>
      <c r="C10" s="158"/>
      <c r="D10" s="163" t="s">
        <v>19</v>
      </c>
      <c r="E10" s="164"/>
      <c r="F10" s="164"/>
      <c r="G10" s="164"/>
      <c r="H10" s="164"/>
      <c r="I10" s="165"/>
      <c r="J10" s="163" t="s">
        <v>20</v>
      </c>
      <c r="K10" s="164"/>
      <c r="L10" s="164"/>
      <c r="M10" s="164"/>
      <c r="N10" s="164"/>
      <c r="O10" s="165"/>
      <c r="P10" s="163" t="s">
        <v>21</v>
      </c>
      <c r="Q10" s="164"/>
      <c r="R10" s="164"/>
      <c r="S10" s="164"/>
      <c r="T10" s="164"/>
      <c r="U10" s="164"/>
      <c r="V10" s="163" t="s">
        <v>22</v>
      </c>
      <c r="W10" s="164"/>
      <c r="X10" s="164"/>
      <c r="Y10" s="164"/>
      <c r="Z10" s="164"/>
      <c r="AA10" s="165"/>
      <c r="AB10" s="199" t="s">
        <v>29</v>
      </c>
      <c r="AC10" s="200"/>
      <c r="AD10" s="6"/>
    </row>
    <row r="11" spans="1:30" s="5" customFormat="1" ht="10.5" customHeight="1">
      <c r="A11" s="4"/>
      <c r="B11" s="159"/>
      <c r="C11" s="160"/>
      <c r="D11" s="170" t="s">
        <v>23</v>
      </c>
      <c r="E11" s="171"/>
      <c r="F11" s="172"/>
      <c r="G11" s="170" t="s">
        <v>24</v>
      </c>
      <c r="H11" s="171"/>
      <c r="I11" s="172"/>
      <c r="J11" s="170" t="s">
        <v>23</v>
      </c>
      <c r="K11" s="171"/>
      <c r="L11" s="172"/>
      <c r="M11" s="170" t="s">
        <v>24</v>
      </c>
      <c r="N11" s="171"/>
      <c r="O11" s="172"/>
      <c r="P11" s="170" t="s">
        <v>23</v>
      </c>
      <c r="Q11" s="171"/>
      <c r="R11" s="172"/>
      <c r="S11" s="170" t="s">
        <v>25</v>
      </c>
      <c r="T11" s="171"/>
      <c r="U11" s="172"/>
      <c r="V11" s="168" t="s">
        <v>26</v>
      </c>
      <c r="W11" s="168" t="s">
        <v>27</v>
      </c>
      <c r="X11" s="176" t="s">
        <v>196</v>
      </c>
      <c r="Y11" s="178" t="s">
        <v>28</v>
      </c>
      <c r="Z11" s="179"/>
      <c r="AA11" s="180"/>
      <c r="AB11" s="201"/>
      <c r="AC11" s="202"/>
      <c r="AD11" s="6"/>
    </row>
    <row r="12" spans="1:30" s="5" customFormat="1" ht="15.75" customHeight="1" thickBot="1">
      <c r="A12" s="4"/>
      <c r="B12" s="161"/>
      <c r="C12" s="162"/>
      <c r="D12" s="173"/>
      <c r="E12" s="174"/>
      <c r="F12" s="175"/>
      <c r="G12" s="173"/>
      <c r="H12" s="174"/>
      <c r="I12" s="175"/>
      <c r="J12" s="173"/>
      <c r="K12" s="174"/>
      <c r="L12" s="175"/>
      <c r="M12" s="173"/>
      <c r="N12" s="174"/>
      <c r="O12" s="175"/>
      <c r="P12" s="173"/>
      <c r="Q12" s="174"/>
      <c r="R12" s="175"/>
      <c r="S12" s="173"/>
      <c r="T12" s="174"/>
      <c r="U12" s="175"/>
      <c r="V12" s="169"/>
      <c r="W12" s="169"/>
      <c r="X12" s="177"/>
      <c r="Y12" s="181"/>
      <c r="Z12" s="182"/>
      <c r="AA12" s="183"/>
      <c r="AB12" s="201"/>
      <c r="AC12" s="202"/>
      <c r="AD12" s="6"/>
    </row>
    <row r="13" spans="1:30" s="5" customFormat="1" ht="23.25" customHeight="1">
      <c r="A13" s="4"/>
      <c r="B13" s="250" t="s">
        <v>30</v>
      </c>
      <c r="C13" s="251"/>
      <c r="D13" s="123">
        <v>50</v>
      </c>
      <c r="E13" s="124"/>
      <c r="F13" s="125"/>
      <c r="G13" s="123">
        <f>IF(ISNUMBER(VALUE(VLOOKUP(CONCATENATE(B13,$Z$9),Sheet1!G:J,4,0))),VALUE(VLOOKUP(CONCATENATE(B13,$Z$9),Sheet1!G:J,4,0)),VLOOKUP(CONCATENATE(B13,$Z$9),Sheet1!G:J,4,0))</f>
        <v>37</v>
      </c>
      <c r="H13" s="124"/>
      <c r="I13" s="125"/>
      <c r="J13" s="123">
        <v>50</v>
      </c>
      <c r="K13" s="124"/>
      <c r="L13" s="125"/>
      <c r="M13" s="123">
        <f>IF(ISNUMBER(VALUE(VLOOKUP(CONCATENATE(B13,$Z$9),Sheet1!G:J,3,0))),VALUE(VLOOKUP(CONCATENATE(B13,$Z$9),Sheet1!G:J,3,0)),VLOOKUP(CONCATENATE(B13,$Z$9),Sheet1!G:J,3,0))</f>
        <v>46</v>
      </c>
      <c r="N13" s="124"/>
      <c r="O13" s="125"/>
      <c r="P13" s="123">
        <v>50</v>
      </c>
      <c r="Q13" s="124"/>
      <c r="R13" s="125"/>
      <c r="S13" s="126">
        <f>IF(ISNUMBER(VALUE(VLOOKUP(CONCATENATE(B13,$Z$9),Sheet1!G:J,2,0))),VALUE(VLOOKUP(CONCATENATE(B13,$Z$9),Sheet1!G:J,2,0)),VLOOKUP(CONCATENATE(B13,$Z$9),Sheet1!G:J,2,0))</f>
        <v>48</v>
      </c>
      <c r="T13" s="127"/>
      <c r="U13" s="128" t="e">
        <f>VLOOKUP(CONCATENATE(B13,Z9),#REF!,2,0)</f>
        <v>#REF!</v>
      </c>
      <c r="V13" s="70">
        <f>IF(ISNUMBER(VALUE(SUBSTITUTE(G13,"*",""))),VALUE(SUBSTITUTE(G13,"*","")),0)*10%</f>
        <v>3.7</v>
      </c>
      <c r="W13" s="70">
        <f>IF(ISNUMBER(VALUE(SUBSTITUTE(M13,"*",""))),VALUE(SUBSTITUTE(M13,"*","")),0)*10%</f>
        <v>4.6000000000000005</v>
      </c>
      <c r="X13" s="59">
        <f>IF(ISNUMBER(VALUE(SUBSTITUTE(SUBSTITUTE(S13,"*",""),IF(ISNUMBER(SEARCH("+",S13)),RIGHT(S13,2),""),""))),VALUE(SUBSTITUTE(SUBSTITUTE(S13,"*",""),IF(ISNUMBER(SEARCH("+",S13)),RIGHT(S13,2),""),"")),0)*80%</f>
        <v>38.400000000000006</v>
      </c>
      <c r="Y13" s="236">
        <f>V13+W13+X13</f>
        <v>46.7</v>
      </c>
      <c r="Z13" s="237"/>
      <c r="AA13" s="238"/>
      <c r="AB13" s="99" t="s">
        <v>121</v>
      </c>
      <c r="AC13" s="100"/>
      <c r="AD13" s="6"/>
    </row>
    <row r="14" spans="1:30" s="5" customFormat="1" ht="23.25" customHeight="1" thickBot="1">
      <c r="A14" s="4"/>
      <c r="B14" s="195" t="s">
        <v>31</v>
      </c>
      <c r="C14" s="196"/>
      <c r="D14" s="203">
        <v>50</v>
      </c>
      <c r="E14" s="204"/>
      <c r="F14" s="205"/>
      <c r="G14" s="123">
        <f>IF(ISNUMBER(VALUE(VLOOKUP(CONCATENATE(B14,$Z$9),Sheet1!G:J,4,0))),VALUE(VLOOKUP(CONCATENATE(B14,$Z$9),Sheet1!G:J,4,0)),VLOOKUP(CONCATENATE(B14,$Z$9),Sheet1!G:J,4,0))</f>
        <v>40</v>
      </c>
      <c r="H14" s="124"/>
      <c r="I14" s="125"/>
      <c r="J14" s="203">
        <v>50</v>
      </c>
      <c r="K14" s="204"/>
      <c r="L14" s="205"/>
      <c r="M14" s="123">
        <f>IF(ISNUMBER(VALUE(VLOOKUP(CONCATENATE(B14,$Z$9),Sheet1!G:J,3,0))),VALUE(VLOOKUP(CONCATENATE(B14,$Z$9),Sheet1!G:J,3,0)),VLOOKUP(CONCATENATE(B14,$Z$9),Sheet1!G:J,3,0))</f>
        <v>49</v>
      </c>
      <c r="N14" s="124"/>
      <c r="O14" s="125"/>
      <c r="P14" s="123">
        <v>50</v>
      </c>
      <c r="Q14" s="124"/>
      <c r="R14" s="125"/>
      <c r="S14" s="129">
        <f>IF(ISNUMBER(VALUE(VLOOKUP(CONCATENATE(B14,$Z$9),Sheet1!G:J,2,0))),VALUE(VLOOKUP(CONCATENATE(B14,$Z$9),Sheet1!G:J,2,0)),VLOOKUP(CONCATENATE(B14,$Z$9),Sheet1!G:J,2,0))</f>
        <v>46</v>
      </c>
      <c r="T14" s="130"/>
      <c r="U14" s="131" t="e">
        <f>VLOOKUP(CONCATENATE(B14,Z10),#REF!,2,0)</f>
        <v>#REF!</v>
      </c>
      <c r="V14" s="54">
        <f t="shared" ref="V14:V15" si="0">IF(ISNUMBER(VALUE(SUBSTITUTE(G14,"*",""))),VALUE(SUBSTITUTE(G14,"*","")),0)*10%</f>
        <v>4</v>
      </c>
      <c r="W14" s="54">
        <f t="shared" ref="W14:W15" si="1">IF(ISNUMBER(VALUE(SUBSTITUTE(M14,"*",""))),VALUE(SUBSTITUTE(M14,"*","")),0)*10%</f>
        <v>4.9000000000000004</v>
      </c>
      <c r="X14" s="59">
        <f>IF(ISNUMBER(VALUE(SUBSTITUTE(SUBSTITUTE(S14,"*",""),IF(ISNUMBER(SEARCH("+",S14)),RIGHT(S14,2),""),""))),VALUE(SUBSTITUTE(SUBSTITUTE(S14,"*",""),IF(ISNUMBER(SEARCH("+",S14)),RIGHT(S14,2),""),"")),0)*80%</f>
        <v>36.800000000000004</v>
      </c>
      <c r="Y14" s="239">
        <f>V14+W14+X14</f>
        <v>45.7</v>
      </c>
      <c r="Z14" s="240"/>
      <c r="AA14" s="241"/>
      <c r="AB14" s="206"/>
      <c r="AC14" s="207"/>
      <c r="AD14" s="6"/>
    </row>
    <row r="15" spans="1:30" s="5" customFormat="1" ht="23.25" customHeight="1" thickBot="1">
      <c r="A15" s="4"/>
      <c r="B15" s="195" t="s">
        <v>32</v>
      </c>
      <c r="C15" s="196"/>
      <c r="D15" s="208">
        <v>50</v>
      </c>
      <c r="E15" s="209"/>
      <c r="F15" s="210"/>
      <c r="G15" s="132">
        <f>IF(ISNUMBER(VALUE(VLOOKUP(CONCATENATE(B15,$Z$9),Sheet1!G:J,4,0))),VALUE(VLOOKUP(CONCATENATE(B15,$Z$9),Sheet1!G:J,4,0)),VLOOKUP(CONCATENATE(B15,$Z$9),Sheet1!G:J,4,0))</f>
        <v>37</v>
      </c>
      <c r="H15" s="133"/>
      <c r="I15" s="134"/>
      <c r="J15" s="208">
        <v>50</v>
      </c>
      <c r="K15" s="209"/>
      <c r="L15" s="210"/>
      <c r="M15" s="132">
        <f>IF(ISNUMBER(VALUE(VLOOKUP(CONCATENATE(B15,$Z$9),Sheet1!G:J,3,0))),VALUE(VLOOKUP(CONCATENATE(B15,$Z$9),Sheet1!G:J,3,0)),VLOOKUP(CONCATENATE(B15,$Z$9),Sheet1!G:J,3,0))</f>
        <v>49</v>
      </c>
      <c r="N15" s="133"/>
      <c r="O15" s="134"/>
      <c r="P15" s="132">
        <v>50</v>
      </c>
      <c r="Q15" s="133"/>
      <c r="R15" s="134"/>
      <c r="S15" s="135">
        <f>IF(ISNUMBER(VALUE(VLOOKUP(CONCATENATE(B15,$Z$9),Sheet1!G:J,2,0))),VALUE(VLOOKUP(CONCATENATE(B15,$Z$9),Sheet1!G:J,2,0)),VLOOKUP(CONCATENATE(B15,$Z$9),Sheet1!G:J,2,0))</f>
        <v>25</v>
      </c>
      <c r="T15" s="136"/>
      <c r="U15" s="137" t="e">
        <f>VLOOKUP(CONCATENATE(B15,Z11),#REF!,2,0)</f>
        <v>#REF!</v>
      </c>
      <c r="V15" s="59">
        <f t="shared" si="0"/>
        <v>3.7</v>
      </c>
      <c r="W15" s="59">
        <f t="shared" si="1"/>
        <v>4.9000000000000004</v>
      </c>
      <c r="X15" s="59">
        <f>IF(ISNUMBER(VALUE(SUBSTITUTE(SUBSTITUTE(S15,"*",""),IF(ISNUMBER(SEARCH("+",S15)),RIGHT(S15,2),""),""))),VALUE(SUBSTITUTE(SUBSTITUTE(S15,"*",""),IF(ISNUMBER(SEARCH("+",S15)),RIGHT(S15,2),""),"")),0)*80%</f>
        <v>20</v>
      </c>
      <c r="Y15" s="242">
        <f>V15+W15+X15</f>
        <v>28.6</v>
      </c>
      <c r="Z15" s="243"/>
      <c r="AA15" s="243"/>
      <c r="AB15" s="99" t="s">
        <v>122</v>
      </c>
      <c r="AC15" s="100"/>
      <c r="AD15" s="6"/>
    </row>
    <row r="16" spans="1:30" s="5" customFormat="1" ht="23.25" customHeight="1" thickBot="1">
      <c r="A16" s="4"/>
      <c r="B16" s="193" t="s">
        <v>34</v>
      </c>
      <c r="C16" s="194"/>
      <c r="D16" s="119">
        <f>SUM(D13:F15)</f>
        <v>150</v>
      </c>
      <c r="E16" s="120"/>
      <c r="F16" s="121"/>
      <c r="G16" s="119">
        <f>IF(ISNUMBER(VALUE(SUBSTITUTE(G13,"*",""))),VALUE(SUBSTITUTE(G13,"*","")),0)+IF(ISNUMBER(VALUE(SUBSTITUTE(G14,"*",""))),VALUE(SUBSTITUTE(G14,"*","")),0)+IF(ISNUMBER(VALUE(SUBSTITUTE(G15,"*",""))),VALUE(SUBSTITUTE(G15,"*","")),0)</f>
        <v>114</v>
      </c>
      <c r="H16" s="120"/>
      <c r="I16" s="121"/>
      <c r="J16" s="119">
        <f>SUM(J13:L15)</f>
        <v>150</v>
      </c>
      <c r="K16" s="120"/>
      <c r="L16" s="121"/>
      <c r="M16" s="119">
        <f>IF(ISNUMBER(VALUE(SUBSTITUTE(M13,"*",""))),VALUE(SUBSTITUTE(M13,"*","")),0)+IF(ISNUMBER(VALUE(SUBSTITUTE(M14,"*",""))),VALUE(SUBSTITUTE(M14,"*","")),0)+IF(ISNUMBER(VALUE(SUBSTITUTE(M15,"*",""))),VALUE(SUBSTITUTE(M15,"*","")),0)</f>
        <v>144</v>
      </c>
      <c r="N16" s="120"/>
      <c r="O16" s="121"/>
      <c r="P16" s="119">
        <f>SUM(P13:R15)</f>
        <v>150</v>
      </c>
      <c r="Q16" s="120"/>
      <c r="R16" s="121"/>
      <c r="S16" s="119">
        <f>IF(ISNUMBER(VALUE(SUBSTITUTE(SUBSTITUTE(S13,"*",""),IF(ISNUMBER(SEARCH("+",S13)),RIGHT(S13,2),""),""))),VALUE(SUBSTITUTE(SUBSTITUTE(S13,"*",""),IF(ISNUMBER(SEARCH("+",S13)),RIGHT(S13,2),""),"")),0)+IF(ISNUMBER(VALUE(SUBSTITUTE(SUBSTITUTE(S14,"*",""),IF(ISNUMBER(SEARCH("+",S14)),RIGHT(S14,2),""),""))),VALUE(SUBSTITUTE(SUBSTITUTE(S14,"*",""),IF(ISNUMBER(SEARCH("+",S14)),RIGHT(S14,2),""),"")),0)+IF(ISNUMBER(VALUE(SUBSTITUTE(SUBSTITUTE(S15,"*",""),IF(ISNUMBER(SEARCH("+",S15)),RIGHT(S15,2),""),""))),VALUE(SUBSTITUTE(SUBSTITUTE(S15,"*",""),IF(ISNUMBER(SEARCH("+",S15)),RIGHT(S15,2),""),"")),0)</f>
        <v>119</v>
      </c>
      <c r="T16" s="120"/>
      <c r="U16" s="121"/>
      <c r="V16" s="63">
        <f>SUM(V13:V15)</f>
        <v>11.4</v>
      </c>
      <c r="W16" s="63">
        <f>SUM(W13:W15)</f>
        <v>14.4</v>
      </c>
      <c r="X16" s="63">
        <f>SUM(X13:X15)</f>
        <v>95.200000000000017</v>
      </c>
      <c r="Y16" s="244">
        <f>SUM(Y13:AA15)</f>
        <v>121</v>
      </c>
      <c r="Z16" s="245"/>
      <c r="AA16" s="245"/>
      <c r="AB16" s="206"/>
      <c r="AC16" s="207"/>
      <c r="AD16" s="6"/>
    </row>
    <row r="17" spans="1:30" s="5" customFormat="1" ht="23.25" customHeight="1">
      <c r="A17" s="4"/>
      <c r="B17" s="195" t="s">
        <v>113</v>
      </c>
      <c r="C17" s="196"/>
      <c r="D17" s="116" t="s">
        <v>47</v>
      </c>
      <c r="E17" s="117"/>
      <c r="F17" s="122"/>
      <c r="G17" s="116" t="str">
        <f>IF(ISNUMBER(VALUE(VLOOKUP(CONCATENATE(B17,$Z$9),Sheet1!G:J,4,0))),VLOOKUP(VALUE(VLOOKUP(CONCATENATE(B17,$Z$9),Sheet1!G:J,4,0)),Sheet3!C2:E8,3,1),IF(VLOOKUP(CONCATENATE(B17,$Z$9),Sheet1!G:J,4,0)="Ab","Ab",VLOOKUP(CONCATENATE(B17,$Z$9),Sheet1!G:J,4,0)))</f>
        <v>A</v>
      </c>
      <c r="H17" s="117"/>
      <c r="I17" s="122"/>
      <c r="J17" s="116" t="s">
        <v>47</v>
      </c>
      <c r="K17" s="117"/>
      <c r="L17" s="122"/>
      <c r="M17" s="116" t="str">
        <f>IF(ISNUMBER(VALUE(VLOOKUP(CONCATENATE(B17,$Z$9),Sheet1!G:J,3,0))),VLOOKUP(VALUE(VLOOKUP(CONCATENATE(B17,$Z$9),Sheet1!G:J,3,0)),Sheet3!C2:E8,3,1),IF(VLOOKUP(CONCATENATE(B17,$Z$9),Sheet1!G:J,3,0)="Ab","Ab",VLOOKUP(CONCATENATE(B17,$Z$9),Sheet1!G:J,3,0)))</f>
        <v>A</v>
      </c>
      <c r="N17" s="117"/>
      <c r="O17" s="122"/>
      <c r="P17" s="116" t="s">
        <v>47</v>
      </c>
      <c r="Q17" s="117"/>
      <c r="R17" s="122"/>
      <c r="S17" s="116" t="str">
        <f>IF(ISNUMBER(VALUE(VLOOKUP(CONCATENATE(B17,$Z$9),Sheet1!G:J,2,0))),VLOOKUP(VALUE(VLOOKUP(CONCATENATE(B17,$Z$9),Sheet1!G:J,2,0)),Sheet3!C2:E8,3,1),IF(VLOOKUP(CONCATENATE(B17,$Z$9),Sheet1!G:J,2,0)="Ab","Ab",VLOOKUP(CONCATENATE(B17,$Z$9),Sheet1!G:J,2,0)))</f>
        <v>A</v>
      </c>
      <c r="T17" s="117"/>
      <c r="U17" s="118"/>
      <c r="V17" s="60"/>
      <c r="W17" s="61"/>
      <c r="X17" s="62"/>
      <c r="Y17" s="246"/>
      <c r="Z17" s="246"/>
      <c r="AA17" s="246"/>
      <c r="AB17" s="99" t="s">
        <v>123</v>
      </c>
      <c r="AC17" s="100"/>
      <c r="AD17" s="6"/>
    </row>
    <row r="18" spans="1:30" s="5" customFormat="1" ht="23.25" customHeight="1" thickBot="1">
      <c r="A18" s="4"/>
      <c r="B18" s="197" t="s">
        <v>37</v>
      </c>
      <c r="C18" s="198"/>
      <c r="D18" s="138" t="s">
        <v>47</v>
      </c>
      <c r="E18" s="139"/>
      <c r="F18" s="140"/>
      <c r="G18" s="190" t="str">
        <f>IF(ISNUMBER(VALUE(VLOOKUP(CONCATENATE(B18,$Z$9),Sheet1!G:J,4,0))),VLOOKUP(VALUE(VLOOKUP(CONCATENATE(B18,$Z$9),Sheet1!G:J,4,0)),Sheet3!C2:E8,3,1),IF(VLOOKUP(CONCATENATE(B18,$Z$9),Sheet1!G:J,4,0)="Ab","Ab",VLOOKUP(CONCATENATE(B18,$Z$9),Sheet1!G:J,4,0)))</f>
        <v>A</v>
      </c>
      <c r="H18" s="191"/>
      <c r="I18" s="192"/>
      <c r="J18" s="138" t="s">
        <v>47</v>
      </c>
      <c r="K18" s="139"/>
      <c r="L18" s="140"/>
      <c r="M18" s="116" t="str">
        <f>IF(ISNUMBER(VALUE(VLOOKUP(CONCATENATE(B18,$Z$9),Sheet1!G:J,3,0))),VLOOKUP(VALUE(VLOOKUP(CONCATENATE(B18,$Z$9),Sheet1!G:J,3,0)),Sheet3!C2:E8,3,1),IF(VLOOKUP(CONCATENATE(B18,$Z$9),Sheet1!G:J,3,0)="Ab","Ab",VLOOKUP(CONCATENATE(B18,$Z$9),Sheet1!G:J,3,0)))</f>
        <v>A</v>
      </c>
      <c r="N18" s="117"/>
      <c r="O18" s="122"/>
      <c r="P18" s="138" t="s">
        <v>47</v>
      </c>
      <c r="Q18" s="139"/>
      <c r="R18" s="140"/>
      <c r="S18" s="116" t="str">
        <f>IF(ISNUMBER(VALUE(VLOOKUP(CONCATENATE(B18,$Z$9),Sheet1!G:J,2,0))),VLOOKUP(VALUE(VLOOKUP(CONCATENATE(B18,$Z$9),Sheet1!G:J,2,0)),Sheet3!C2:E8,3,1),IF(VLOOKUP(CONCATENATE(B18,$Z$9),Sheet1!G:J,2,0)="Ab","Ab",VLOOKUP(CONCATENATE(B18,$Z$9),Sheet1!G:J,2,0)))</f>
        <v>A</v>
      </c>
      <c r="T18" s="117"/>
      <c r="U18" s="118"/>
      <c r="V18" s="50"/>
      <c r="W18" s="51"/>
      <c r="X18" s="52"/>
      <c r="Y18" s="247"/>
      <c r="Z18" s="247"/>
      <c r="AA18" s="247"/>
      <c r="AB18" s="206"/>
      <c r="AC18" s="207"/>
      <c r="AD18" s="6"/>
    </row>
    <row r="19" spans="1:30" s="5" customFormat="1" ht="21" customHeight="1" thickBot="1">
      <c r="A19" s="4"/>
      <c r="B19" s="188" t="s">
        <v>38</v>
      </c>
      <c r="C19" s="189"/>
      <c r="D19" s="145" t="str">
        <f>IF(VALUE(LEFT(ROUND((G16/D16)*100,2)&amp;"%",LEN(ROUND((G16/D16)*100,2)&amp;"%")-1)) &gt; 0, VALUE(LEFT(ROUND((G16/D16)*100,2)&amp;"%",LEN(ROUND((G16/D16)*100,2)&amp;"%")-1))&amp;"%", "")</f>
        <v>76%</v>
      </c>
      <c r="E19" s="146"/>
      <c r="F19" s="146"/>
      <c r="G19" s="146"/>
      <c r="H19" s="146"/>
      <c r="I19" s="147"/>
      <c r="J19" s="145" t="str">
        <f>IF(VALUE(LEFT(ROUND((M16/J16)*100,2)&amp;"%",LEN(ROUND((M16/J16)*100,2)&amp;"%")-1)) &gt; 0, VALUE(LEFT(ROUND((M16/J16)*100,2)&amp;"%",LEN(ROUND((M16/J16)*100,2)&amp;"%")-1))&amp;"%", "")</f>
        <v>96%</v>
      </c>
      <c r="K19" s="146"/>
      <c r="L19" s="146"/>
      <c r="M19" s="146"/>
      <c r="N19" s="146"/>
      <c r="O19" s="147"/>
      <c r="P19" s="145" t="str">
        <f>IF(VALUE(LEFT(ROUND((S16/P16)*100,2)&amp;"%",LEN(ROUND((S16/P16)*100,2)&amp;"%")-1)) &gt; 0, VALUE(LEFT(ROUND((S16/P16)*100,2)&amp;"%",LEN(ROUND((S16/P16)*100,2)&amp;"%")-1))&amp;"%", "")</f>
        <v>79.33%</v>
      </c>
      <c r="Q19" s="146"/>
      <c r="R19" s="146"/>
      <c r="S19" s="146"/>
      <c r="T19" s="146"/>
      <c r="U19" s="147"/>
      <c r="V19" s="88"/>
      <c r="W19" s="89"/>
      <c r="X19" s="90"/>
      <c r="Y19" s="145" t="str">
        <f>ROUND((Y16/(D16*10% + J16*10% + P16*80%))*100,2)&amp;"%"</f>
        <v>80.67%</v>
      </c>
      <c r="Z19" s="146"/>
      <c r="AA19" s="146"/>
      <c r="AB19" s="112" t="s">
        <v>193</v>
      </c>
      <c r="AC19" s="113"/>
      <c r="AD19" s="6"/>
    </row>
    <row r="20" spans="1:30" s="5" customFormat="1" ht="21" customHeight="1" thickBot="1">
      <c r="A20" s="4"/>
      <c r="B20" s="141" t="s">
        <v>39</v>
      </c>
      <c r="C20" s="142"/>
      <c r="D20" s="93" t="str">
        <f>IF(D19="","",VLOOKUP(VALUE(LEFT(D19,LEN(D19)-1)),Sheet3!$I$2:$K$5,3,1))</f>
        <v>First</v>
      </c>
      <c r="E20" s="94"/>
      <c r="F20" s="94"/>
      <c r="G20" s="94"/>
      <c r="H20" s="94"/>
      <c r="I20" s="95"/>
      <c r="J20" s="84" t="str">
        <f>IF(J19="","",VLOOKUP(VALUE(LEFT(J19,LEN(J19)-1)),Sheet3!$I$2:$K$5,3,1))</f>
        <v>First</v>
      </c>
      <c r="K20" s="85"/>
      <c r="L20" s="85"/>
      <c r="M20" s="85"/>
      <c r="N20" s="85"/>
      <c r="O20" s="86"/>
      <c r="P20" s="84" t="str">
        <f>IF(P19="","",VLOOKUP(VALUE(LEFT(P19,LEN(P19)-1)),Sheet3!$I$2:$K$5,3,1))</f>
        <v>First</v>
      </c>
      <c r="Q20" s="85"/>
      <c r="R20" s="85"/>
      <c r="S20" s="85"/>
      <c r="T20" s="85"/>
      <c r="U20" s="86"/>
      <c r="V20" s="88"/>
      <c r="W20" s="89"/>
      <c r="X20" s="90"/>
      <c r="Y20" s="88"/>
      <c r="Z20" s="89"/>
      <c r="AA20" s="89"/>
      <c r="AB20" s="66" t="s">
        <v>197</v>
      </c>
      <c r="AC20" s="65">
        <f>Y16</f>
        <v>121</v>
      </c>
      <c r="AD20" s="6"/>
    </row>
    <row r="21" spans="1:30" s="5" customFormat="1" ht="21" customHeight="1" thickBot="1">
      <c r="A21" s="4"/>
      <c r="B21" s="141" t="s">
        <v>40</v>
      </c>
      <c r="C21" s="142"/>
      <c r="D21" s="93" t="str">
        <f>IF(D19="","",IF(VALUE(LEFT(D19,LEN(D19)-1))&lt;33,"Failed",IF(VALUE(SUBSTITUTE(G13,"*",""))&gt;16,IF(VALUE(SUBSTITUTE(G14,"*",""))&gt;16,IF(VALUE(SUBSTITUTE(G15,"*",""))&gt;16,"Passed","Failed"),"Failed"),"Failed")))</f>
        <v>Passed</v>
      </c>
      <c r="E21" s="94"/>
      <c r="F21" s="94"/>
      <c r="G21" s="94"/>
      <c r="H21" s="94"/>
      <c r="I21" s="95"/>
      <c r="J21" s="93" t="str">
        <f>IF(J19="","",IF(VALUE(LEFT(J19,LEN(J19)-1))&lt;33,"Failed",IF(VALUE(SUBSTITUTE(SUBSTITUTE(M13,"Ab","0"),"*",""))&gt;16,IF(VALUE(SUBSTITUTE(SUBSTITUTE(M14,"Ab","0"),"*",""))&gt;16,IF(VALUE(SUBSTITUTE(SUBSTITUTE(M15,"Ab","0"),"*",""))&gt;16,"Passed","Failed"),"Failed"),"Failed")))</f>
        <v>Passed</v>
      </c>
      <c r="K21" s="94"/>
      <c r="L21" s="94"/>
      <c r="M21" s="94"/>
      <c r="N21" s="94"/>
      <c r="O21" s="95"/>
      <c r="P21" s="96" t="str">
        <f>IF(P19="","",IF(VALUE(LEFT(P19,LEN(P19)-1))&lt;33,"Failed",IF(VALUE(SUBSTITUTE(SUBSTITUTE(S13,"*",""),IF(ISNUMBER(SEARCH("+",S13)),RIGHT(S13,2),""),""))&gt;16,IF(VALUE(SUBSTITUTE(SUBSTITUTE(S14,"*",""),IF(ISNUMBER(SEARCH("+",S14)),RIGHT(S14,2),""),""))&gt;16,IF(VALUE(SUBSTITUTE(SUBSTITUTE(S15,"*",""),IF(ISNUMBER(SEARCH("+",S15)),RIGHT(S15,2),""),""))&gt;16,"Passed","Failed"),"Failed"),"Failed")))</f>
        <v>Passed</v>
      </c>
      <c r="Q21" s="97"/>
      <c r="R21" s="97"/>
      <c r="S21" s="97"/>
      <c r="T21" s="97"/>
      <c r="U21" s="98"/>
      <c r="V21" s="88"/>
      <c r="W21" s="89"/>
      <c r="X21" s="90"/>
      <c r="Y21" s="88"/>
      <c r="Z21" s="89"/>
      <c r="AA21" s="89"/>
      <c r="AB21" s="72" t="s">
        <v>198</v>
      </c>
      <c r="AC21" s="64" t="str">
        <f>Y19</f>
        <v>80.67%</v>
      </c>
      <c r="AD21" s="6"/>
    </row>
    <row r="22" spans="1:30" s="5" customFormat="1" ht="21" customHeight="1" thickBot="1">
      <c r="A22" s="4"/>
      <c r="B22" s="141" t="s">
        <v>41</v>
      </c>
      <c r="C22" s="142"/>
      <c r="D22" s="84"/>
      <c r="E22" s="85"/>
      <c r="F22" s="85"/>
      <c r="G22" s="85"/>
      <c r="H22" s="85"/>
      <c r="I22" s="86"/>
      <c r="J22" s="84"/>
      <c r="K22" s="85"/>
      <c r="L22" s="85"/>
      <c r="M22" s="85"/>
      <c r="N22" s="85"/>
      <c r="O22" s="86"/>
      <c r="P22" s="84"/>
      <c r="Q22" s="85"/>
      <c r="R22" s="85"/>
      <c r="S22" s="85"/>
      <c r="T22" s="85"/>
      <c r="U22" s="86"/>
      <c r="V22" s="88"/>
      <c r="W22" s="89"/>
      <c r="X22" s="90"/>
      <c r="Y22" s="88"/>
      <c r="Z22" s="89"/>
      <c r="AA22" s="89"/>
      <c r="AB22" s="82" t="s">
        <v>195</v>
      </c>
      <c r="AC22" s="83"/>
      <c r="AD22" s="6"/>
    </row>
    <row r="23" spans="1:30" s="5" customFormat="1" ht="21" customHeight="1" thickBot="1">
      <c r="A23" s="4"/>
      <c r="B23" s="141" t="s">
        <v>42</v>
      </c>
      <c r="C23" s="142"/>
      <c r="D23" s="93" t="str">
        <f>VLOOKUP(Z9,Sheet1!1:1048576,22,0)&amp;"/"&amp;VLOOKUP(Z9,Sheet1!1:1048576,23,0)</f>
        <v>21/50</v>
      </c>
      <c r="E23" s="94"/>
      <c r="F23" s="94"/>
      <c r="G23" s="94"/>
      <c r="H23" s="94"/>
      <c r="I23" s="95"/>
      <c r="J23" s="93" t="str">
        <f>VLOOKUP(Z9,Sheet1!1:1048576,25,0)&amp;"/"&amp;VLOOKUP(Z9,Sheet1!1:1048576,24,0)</f>
        <v>25/55</v>
      </c>
      <c r="K23" s="94"/>
      <c r="L23" s="94"/>
      <c r="M23" s="94"/>
      <c r="N23" s="94"/>
      <c r="O23" s="95"/>
      <c r="P23" s="93" t="str">
        <f>VLOOKUP(Z9,Sheet1!1:1048576,27,0)&amp;"/"&amp;VLOOKUP(Z9,Sheet1!1:1048576,26,0)</f>
        <v>71/110</v>
      </c>
      <c r="Q23" s="94"/>
      <c r="R23" s="94"/>
      <c r="S23" s="94"/>
      <c r="T23" s="94"/>
      <c r="U23" s="95"/>
      <c r="V23" s="88"/>
      <c r="W23" s="89"/>
      <c r="X23" s="90"/>
      <c r="Y23" s="88"/>
      <c r="Z23" s="89"/>
      <c r="AA23" s="89"/>
      <c r="AB23" s="67" t="s">
        <v>192</v>
      </c>
      <c r="AC23" s="68" t="str">
        <f>P21</f>
        <v>Passed</v>
      </c>
      <c r="AD23" s="6"/>
    </row>
    <row r="24" spans="1:30" s="5" customFormat="1" ht="21" customHeight="1" thickBot="1">
      <c r="A24" s="4"/>
      <c r="B24" s="141" t="s">
        <v>43</v>
      </c>
      <c r="C24" s="142"/>
      <c r="D24" s="84"/>
      <c r="E24" s="85"/>
      <c r="F24" s="85"/>
      <c r="G24" s="85"/>
      <c r="H24" s="85"/>
      <c r="I24" s="86"/>
      <c r="J24" s="84"/>
      <c r="K24" s="85"/>
      <c r="L24" s="85"/>
      <c r="M24" s="85"/>
      <c r="N24" s="85"/>
      <c r="O24" s="86"/>
      <c r="P24" s="84"/>
      <c r="Q24" s="85"/>
      <c r="R24" s="85"/>
      <c r="S24" s="85"/>
      <c r="T24" s="85"/>
      <c r="U24" s="86"/>
      <c r="V24" s="88"/>
      <c r="W24" s="89"/>
      <c r="X24" s="90"/>
      <c r="Y24" s="88"/>
      <c r="Z24" s="89"/>
      <c r="AA24" s="89"/>
      <c r="AB24" s="71" t="s">
        <v>198</v>
      </c>
      <c r="AC24" s="69" t="str">
        <f>P19</f>
        <v>79.33%</v>
      </c>
      <c r="AD24" s="6"/>
    </row>
    <row r="25" spans="1:30" s="5" customFormat="1" ht="21" customHeight="1" thickBot="1">
      <c r="A25" s="4"/>
      <c r="B25" s="143" t="s">
        <v>44</v>
      </c>
      <c r="C25" s="144"/>
      <c r="D25" s="84"/>
      <c r="E25" s="85"/>
      <c r="F25" s="85"/>
      <c r="G25" s="85"/>
      <c r="H25" s="85"/>
      <c r="I25" s="86"/>
      <c r="J25" s="84"/>
      <c r="K25" s="85"/>
      <c r="L25" s="85"/>
      <c r="M25" s="85"/>
      <c r="N25" s="85"/>
      <c r="O25" s="86"/>
      <c r="P25" s="84"/>
      <c r="Q25" s="85"/>
      <c r="R25" s="85"/>
      <c r="S25" s="85"/>
      <c r="T25" s="85"/>
      <c r="U25" s="86"/>
      <c r="V25" s="88"/>
      <c r="W25" s="89"/>
      <c r="X25" s="90"/>
      <c r="Y25" s="88"/>
      <c r="Z25" s="89"/>
      <c r="AA25" s="89"/>
      <c r="AB25" s="114" t="s">
        <v>194</v>
      </c>
      <c r="AC25" s="115"/>
      <c r="AD25" s="6"/>
    </row>
    <row r="26" spans="1:30" s="5" customFormat="1" ht="15">
      <c r="A26" s="4"/>
      <c r="B26" s="248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105"/>
      <c r="AB26" s="211" t="s">
        <v>45</v>
      </c>
      <c r="AC26" s="212"/>
      <c r="AD26" s="6"/>
    </row>
    <row r="27" spans="1:30" s="5" customFormat="1" ht="19.5" customHeight="1" thickBot="1">
      <c r="A27" s="4"/>
      <c r="B27" s="249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106"/>
      <c r="AB27" s="213"/>
      <c r="AC27" s="214"/>
      <c r="AD27" s="6"/>
    </row>
    <row r="28" spans="1:30" s="5" customFormat="1" ht="13.5" customHeight="1">
      <c r="A28" s="4"/>
      <c r="B28" s="227" t="s">
        <v>46</v>
      </c>
      <c r="C28" s="228"/>
      <c r="D28" s="228"/>
      <c r="E28" s="228"/>
      <c r="F28" s="228"/>
      <c r="G28" s="228"/>
      <c r="H28" s="228"/>
      <c r="I28" s="228"/>
      <c r="J28" s="228"/>
      <c r="K28" s="228"/>
      <c r="L28" s="228"/>
      <c r="M28" s="228"/>
      <c r="N28" s="228"/>
      <c r="O28" s="228"/>
      <c r="P28" s="228"/>
      <c r="S28" s="107"/>
      <c r="T28" s="107"/>
      <c r="U28" s="107"/>
      <c r="V28" s="107"/>
      <c r="W28" s="107"/>
      <c r="X28" s="107"/>
      <c r="Y28" s="45"/>
      <c r="Z28" s="45"/>
      <c r="AA28" s="46"/>
      <c r="AB28" s="231" t="s">
        <v>114</v>
      </c>
      <c r="AC28" s="232"/>
      <c r="AD28" s="6"/>
    </row>
    <row r="29" spans="1:30" s="5" customFormat="1" ht="24" customHeight="1" thickBot="1">
      <c r="A29" s="4"/>
      <c r="B29" s="229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8"/>
      <c r="R29" s="8"/>
      <c r="S29" s="108"/>
      <c r="T29" s="108"/>
      <c r="U29" s="108"/>
      <c r="V29" s="108"/>
      <c r="W29" s="108"/>
      <c r="X29" s="108"/>
      <c r="Y29" s="17"/>
      <c r="Z29" s="17"/>
      <c r="AA29" s="20"/>
      <c r="AB29" s="233"/>
      <c r="AC29" s="234"/>
      <c r="AD29" s="6"/>
    </row>
    <row r="30" spans="1:30" s="5" customFormat="1" ht="4.5" customHeight="1" thickBot="1">
      <c r="A30" s="7"/>
      <c r="B30" s="230"/>
      <c r="C30" s="230"/>
      <c r="D30" s="230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0"/>
      <c r="P30" s="230"/>
      <c r="Q30" s="56"/>
      <c r="R30" s="56"/>
      <c r="S30" s="56"/>
      <c r="T30" s="56"/>
      <c r="U30" s="56"/>
      <c r="V30" s="56"/>
      <c r="W30" s="56"/>
      <c r="X30" s="57"/>
      <c r="Y30" s="57"/>
      <c r="Z30" s="49"/>
      <c r="AA30" s="57"/>
      <c r="AB30" s="58"/>
      <c r="AC30" s="58"/>
      <c r="AD30" s="9"/>
    </row>
    <row r="31" spans="1:30" s="5" customFormat="1" ht="15.75" thickBot="1"/>
    <row r="32" spans="1:30" ht="15.75" customHeight="1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V32" s="25"/>
      <c r="W32" s="26"/>
      <c r="X32" s="26"/>
      <c r="Y32" s="26"/>
      <c r="Z32" s="26"/>
      <c r="AA32" s="26"/>
      <c r="AB32" s="26"/>
      <c r="AC32" s="26"/>
      <c r="AD32" s="27"/>
    </row>
    <row r="33" spans="2:30" ht="12.75" customHeight="1">
      <c r="V33" s="73"/>
      <c r="W33" s="111" t="s">
        <v>95</v>
      </c>
      <c r="X33" s="111"/>
      <c r="Y33" s="111"/>
      <c r="Z33" s="111"/>
      <c r="AA33" s="111"/>
      <c r="AB33" s="111"/>
      <c r="AC33" s="74"/>
      <c r="AD33" s="29"/>
    </row>
    <row r="34" spans="2:30" ht="12.75" customHeight="1">
      <c r="D34" s="223" t="s">
        <v>48</v>
      </c>
      <c r="E34" s="223"/>
      <c r="F34" s="223"/>
      <c r="G34" s="223"/>
      <c r="H34" s="223"/>
      <c r="I34" s="223"/>
      <c r="J34" s="223"/>
      <c r="K34" s="223"/>
      <c r="V34" s="73"/>
      <c r="W34" s="111"/>
      <c r="X34" s="111"/>
      <c r="Y34" s="111"/>
      <c r="Z34" s="111"/>
      <c r="AA34" s="111"/>
      <c r="AB34" s="111"/>
      <c r="AC34" s="74"/>
      <c r="AD34" s="29"/>
    </row>
    <row r="35" spans="2:30" ht="12.75" customHeight="1">
      <c r="V35" s="109" t="s">
        <v>70</v>
      </c>
      <c r="W35" s="110"/>
      <c r="X35" s="110"/>
      <c r="Y35" s="110"/>
      <c r="Z35" s="110"/>
      <c r="AA35" s="110"/>
      <c r="AB35" s="110"/>
      <c r="AC35" s="110"/>
      <c r="AD35" s="29"/>
    </row>
    <row r="36" spans="2:30" ht="15" customHeight="1">
      <c r="V36" s="109"/>
      <c r="W36" s="110"/>
      <c r="X36" s="110"/>
      <c r="Y36" s="110"/>
      <c r="Z36" s="110"/>
      <c r="AA36" s="110"/>
      <c r="AB36" s="110"/>
      <c r="AC36" s="110"/>
      <c r="AD36" s="29"/>
    </row>
    <row r="37" spans="2:30" ht="15" customHeight="1">
      <c r="B37" s="23">
        <v>1</v>
      </c>
      <c r="C37" s="24" t="s">
        <v>49</v>
      </c>
      <c r="V37" s="38"/>
      <c r="W37" s="39"/>
      <c r="X37" s="102" t="s">
        <v>14</v>
      </c>
      <c r="Y37" s="102"/>
      <c r="Z37" s="102"/>
      <c r="AA37" s="102"/>
      <c r="AB37" s="39"/>
      <c r="AC37" s="39"/>
      <c r="AD37" s="29"/>
    </row>
    <row r="38" spans="2:30">
      <c r="C38" s="24" t="s">
        <v>50</v>
      </c>
      <c r="V38" s="40"/>
      <c r="W38" s="103" t="s">
        <v>124</v>
      </c>
      <c r="X38" s="103"/>
      <c r="Y38" s="103"/>
      <c r="Z38" s="103"/>
      <c r="AA38" s="103"/>
      <c r="AB38" s="103"/>
      <c r="AC38" s="41"/>
      <c r="AD38" s="29"/>
    </row>
    <row r="39" spans="2:30">
      <c r="C39" s="24"/>
      <c r="V39" s="40"/>
      <c r="W39" s="41"/>
      <c r="X39" s="103" t="s">
        <v>96</v>
      </c>
      <c r="Y39" s="103"/>
      <c r="Z39" s="103"/>
      <c r="AA39" s="103"/>
      <c r="AB39" s="41"/>
      <c r="AC39" s="41"/>
      <c r="AD39" s="29"/>
    </row>
    <row r="40" spans="2:30">
      <c r="B40" s="23">
        <v>2</v>
      </c>
      <c r="C40" s="24" t="s">
        <v>51</v>
      </c>
      <c r="V40" s="40"/>
      <c r="W40" s="103" t="s">
        <v>135</v>
      </c>
      <c r="X40" s="103"/>
      <c r="Y40" s="103"/>
      <c r="Z40" s="103"/>
      <c r="AA40" s="103"/>
      <c r="AB40" s="103"/>
      <c r="AC40" s="41"/>
      <c r="AD40" s="29"/>
    </row>
    <row r="41" spans="2:30">
      <c r="V41" s="40"/>
      <c r="W41" s="41"/>
      <c r="X41" s="103" t="s">
        <v>97</v>
      </c>
      <c r="Y41" s="103"/>
      <c r="Z41" s="103"/>
      <c r="AA41" s="103"/>
      <c r="AB41" s="41"/>
      <c r="AC41" s="41"/>
      <c r="AD41" s="29"/>
    </row>
    <row r="42" spans="2:30">
      <c r="B42" s="23">
        <v>3</v>
      </c>
      <c r="C42" s="24" t="s">
        <v>52</v>
      </c>
      <c r="V42" s="42" t="s">
        <v>71</v>
      </c>
      <c r="W42" s="43"/>
      <c r="X42" s="43"/>
      <c r="Y42" s="43"/>
      <c r="Z42" s="43"/>
      <c r="AA42" s="43"/>
      <c r="AB42" s="43"/>
      <c r="AC42" s="43"/>
      <c r="AD42" s="29"/>
    </row>
    <row r="43" spans="2:30">
      <c r="C43" s="24" t="s">
        <v>53</v>
      </c>
      <c r="V43" s="44"/>
      <c r="W43" s="33"/>
      <c r="X43" s="33"/>
      <c r="Y43" s="33"/>
      <c r="Z43" s="33"/>
      <c r="AA43" s="33"/>
      <c r="AB43" s="33"/>
      <c r="AC43" s="33"/>
      <c r="AD43" s="29"/>
    </row>
    <row r="44" spans="2:30">
      <c r="V44" s="44"/>
      <c r="W44" s="33"/>
      <c r="X44" s="33"/>
      <c r="Y44" s="33"/>
      <c r="Z44" s="33"/>
      <c r="AA44" s="33"/>
      <c r="AB44" s="33"/>
      <c r="AC44" s="33"/>
      <c r="AD44" s="29"/>
    </row>
    <row r="45" spans="2:30">
      <c r="B45" s="23">
        <v>4</v>
      </c>
      <c r="C45" s="24" t="s">
        <v>54</v>
      </c>
      <c r="V45" s="44"/>
      <c r="W45" s="33"/>
      <c r="X45" s="33"/>
      <c r="Y45" s="33"/>
      <c r="Z45" s="33"/>
      <c r="AA45" s="33"/>
      <c r="AB45" s="33"/>
      <c r="AC45" s="33"/>
      <c r="AD45" s="29"/>
    </row>
    <row r="46" spans="2:30">
      <c r="C46" s="24" t="s">
        <v>55</v>
      </c>
      <c r="V46" s="44"/>
      <c r="W46" s="33"/>
      <c r="X46" s="33"/>
      <c r="Y46" s="33"/>
      <c r="Z46" s="33"/>
      <c r="AA46" s="33"/>
      <c r="AB46" s="33"/>
      <c r="AC46" s="33"/>
      <c r="AD46" s="29"/>
    </row>
    <row r="47" spans="2:30">
      <c r="V47" s="44"/>
      <c r="W47" s="33"/>
      <c r="X47" s="33"/>
      <c r="Y47" s="33"/>
      <c r="Z47" s="33"/>
      <c r="AA47" s="33"/>
      <c r="AB47" s="33"/>
      <c r="AC47" s="33"/>
      <c r="AD47" s="29"/>
    </row>
    <row r="48" spans="2:30">
      <c r="B48" s="23">
        <v>5</v>
      </c>
      <c r="C48" s="24" t="s">
        <v>56</v>
      </c>
      <c r="V48" s="28"/>
      <c r="AD48" s="29"/>
    </row>
    <row r="49" spans="2:30">
      <c r="V49" s="28"/>
      <c r="X49" s="37" t="s">
        <v>89</v>
      </c>
      <c r="Y49" s="37"/>
      <c r="Z49" s="37"/>
      <c r="AA49" s="37"/>
      <c r="AB49" s="37"/>
      <c r="AD49" s="29"/>
    </row>
    <row r="50" spans="2:30">
      <c r="B50" s="23">
        <v>6</v>
      </c>
      <c r="C50" s="24" t="s">
        <v>58</v>
      </c>
      <c r="V50" s="28"/>
      <c r="AD50" s="29"/>
    </row>
    <row r="51" spans="2:30" ht="12.75" customHeight="1">
      <c r="C51" s="24" t="s">
        <v>57</v>
      </c>
      <c r="V51" s="28"/>
      <c r="X51" s="226"/>
      <c r="Y51" s="226"/>
      <c r="Z51" s="226"/>
      <c r="AA51" s="226"/>
      <c r="AB51" s="35"/>
      <c r="AD51" s="29"/>
    </row>
    <row r="52" spans="2:30" ht="13.5" customHeight="1">
      <c r="V52" s="28"/>
      <c r="W52" s="35"/>
      <c r="X52" s="226"/>
      <c r="Y52" s="226"/>
      <c r="Z52" s="226"/>
      <c r="AA52" s="226"/>
      <c r="AB52" s="35"/>
      <c r="AD52" s="29"/>
    </row>
    <row r="53" spans="2:30">
      <c r="B53" s="23">
        <v>7</v>
      </c>
      <c r="C53" s="24" t="s">
        <v>199</v>
      </c>
      <c r="V53" s="28"/>
      <c r="AD53" s="29"/>
    </row>
    <row r="54" spans="2:30" ht="3" customHeight="1">
      <c r="C54" s="24" t="s">
        <v>60</v>
      </c>
      <c r="V54" s="28"/>
      <c r="X54" s="221" t="str">
        <f>CONCATENATE("Year - ",V9)</f>
        <v>Year - 2025-2026</v>
      </c>
      <c r="Y54" s="221"/>
      <c r="Z54" s="221"/>
      <c r="AA54" s="221"/>
      <c r="AD54" s="29"/>
    </row>
    <row r="55" spans="2:30" ht="18.75" customHeight="1">
      <c r="B55" s="23">
        <v>8</v>
      </c>
      <c r="C55" s="24" t="s">
        <v>200</v>
      </c>
      <c r="V55" s="28"/>
      <c r="X55" s="87" t="str">
        <f>CONCATENATE("Year - ",V9)</f>
        <v>Year - 2025-2026</v>
      </c>
      <c r="Y55" s="87"/>
      <c r="Z55" s="87"/>
      <c r="AA55" s="87"/>
      <c r="AD55" s="29"/>
    </row>
    <row r="56" spans="2:30" ht="18.75" customHeight="1">
      <c r="V56" s="28"/>
      <c r="X56" s="222" t="str">
        <f>CONCATENATE("Class - ",O9)</f>
        <v>Class - L.K.G.</v>
      </c>
      <c r="Y56" s="222"/>
      <c r="Z56" s="222"/>
      <c r="AA56" s="222"/>
      <c r="AD56" s="29"/>
    </row>
    <row r="57" spans="2:30" ht="18.75" customHeight="1">
      <c r="B57" s="23">
        <v>9</v>
      </c>
      <c r="C57" s="24" t="s">
        <v>59</v>
      </c>
      <c r="V57" s="28"/>
      <c r="X57" s="76" t="s">
        <v>125</v>
      </c>
      <c r="Y57" s="77"/>
      <c r="Z57" s="225" t="str">
        <f>AC9</f>
        <v>211866</v>
      </c>
      <c r="AA57" s="225"/>
      <c r="AB57" s="78"/>
      <c r="AD57" s="29"/>
    </row>
    <row r="58" spans="2:30" ht="18.75" customHeight="1" thickBot="1">
      <c r="V58" s="28"/>
      <c r="X58" s="101" t="s">
        <v>126</v>
      </c>
      <c r="Y58" s="101"/>
      <c r="Z58" s="79" t="str">
        <f>C9</f>
        <v>YUVRAJ DHURVE</v>
      </c>
      <c r="AA58" s="78"/>
      <c r="AB58" s="78"/>
      <c r="AD58" s="29"/>
    </row>
    <row r="59" spans="2:30" ht="18.75" customHeight="1" thickBot="1">
      <c r="C59" s="34"/>
      <c r="D59" s="216" t="s">
        <v>39</v>
      </c>
      <c r="E59" s="216"/>
      <c r="F59" s="216"/>
      <c r="G59" s="216"/>
      <c r="H59" s="216" t="s">
        <v>61</v>
      </c>
      <c r="I59" s="216"/>
      <c r="J59" s="216"/>
      <c r="K59" s="216"/>
      <c r="L59" s="216"/>
      <c r="M59" s="217"/>
      <c r="V59" s="28"/>
      <c r="X59" s="101" t="s">
        <v>127</v>
      </c>
      <c r="Y59" s="101"/>
      <c r="Z59" s="104">
        <f>VLOOKUP(Z9,Sheet1!1:1048576,12,0)</f>
        <v>43901</v>
      </c>
      <c r="AA59" s="104"/>
      <c r="AB59" s="104"/>
      <c r="AD59" s="29"/>
    </row>
    <row r="60" spans="2:30" ht="18.75" customHeight="1">
      <c r="C60" s="28"/>
      <c r="D60" s="224" t="s">
        <v>62</v>
      </c>
      <c r="E60" s="224"/>
      <c r="F60" s="224"/>
      <c r="G60" s="224"/>
      <c r="H60" s="218" t="s">
        <v>66</v>
      </c>
      <c r="I60" s="218"/>
      <c r="J60" s="218"/>
      <c r="K60" s="218"/>
      <c r="L60" s="218"/>
      <c r="M60" s="219"/>
      <c r="V60" s="28"/>
      <c r="X60" s="101" t="s">
        <v>128</v>
      </c>
      <c r="Y60" s="101"/>
      <c r="Z60" s="78" t="str">
        <f>VLOOKUP(Z9,Sheet1!1:1048576,16,0)</f>
        <v>CHANDRASHEKHAR  DHURVE</v>
      </c>
      <c r="AA60" s="78"/>
      <c r="AB60" s="78"/>
      <c r="AD60" s="29"/>
    </row>
    <row r="61" spans="2:30" ht="19.5" customHeight="1">
      <c r="C61" s="28"/>
      <c r="D61" s="218" t="s">
        <v>63</v>
      </c>
      <c r="E61" s="218"/>
      <c r="F61" s="218"/>
      <c r="G61" s="218"/>
      <c r="H61" s="218" t="s">
        <v>67</v>
      </c>
      <c r="I61" s="218"/>
      <c r="J61" s="218"/>
      <c r="K61" s="218"/>
      <c r="L61" s="218"/>
      <c r="M61" s="219"/>
      <c r="V61" s="28"/>
      <c r="X61" s="101" t="s">
        <v>129</v>
      </c>
      <c r="Y61" s="101"/>
      <c r="Z61" s="78" t="str">
        <f>VLOOKUP(Z9,Sheet1!1:1048576,17,0)</f>
        <v>BABITA DHURVE</v>
      </c>
      <c r="AA61" s="78"/>
      <c r="AB61" s="78"/>
      <c r="AD61" s="29"/>
    </row>
    <row r="62" spans="2:30" ht="18.75" customHeight="1">
      <c r="C62" s="28"/>
      <c r="D62" s="218" t="s">
        <v>64</v>
      </c>
      <c r="E62" s="218"/>
      <c r="F62" s="218"/>
      <c r="G62" s="218"/>
      <c r="H62" s="218" t="s">
        <v>68</v>
      </c>
      <c r="I62" s="218"/>
      <c r="J62" s="218"/>
      <c r="K62" s="218"/>
      <c r="L62" s="218"/>
      <c r="M62" s="219"/>
      <c r="V62" s="28"/>
      <c r="X62" s="101" t="s">
        <v>133</v>
      </c>
      <c r="Y62" s="101"/>
      <c r="Z62" s="225" t="str">
        <f>VLOOKUP(Z9,Sheet1!1:1048576,21,0)</f>
        <v>ST</v>
      </c>
      <c r="AA62" s="225"/>
      <c r="AB62" s="78"/>
      <c r="AD62" s="29"/>
    </row>
    <row r="63" spans="2:30" ht="27" customHeight="1" thickBot="1">
      <c r="C63" s="30"/>
      <c r="D63" s="215" t="s">
        <v>65</v>
      </c>
      <c r="E63" s="215"/>
      <c r="F63" s="215"/>
      <c r="G63" s="215"/>
      <c r="H63" s="215" t="s">
        <v>69</v>
      </c>
      <c r="I63" s="215"/>
      <c r="J63" s="215"/>
      <c r="K63" s="215"/>
      <c r="L63" s="215"/>
      <c r="M63" s="220"/>
      <c r="V63" s="28"/>
      <c r="X63" s="101" t="s">
        <v>130</v>
      </c>
      <c r="Y63" s="101"/>
      <c r="Z63" s="235" t="str">
        <f>VLOOKUP(Z9,Sheet1!1:1048576,14,0)</f>
        <v>DURGANAGAR GWARIGHAT JABALPUR</v>
      </c>
      <c r="AA63" s="235"/>
      <c r="AB63" s="235"/>
      <c r="AC63" s="235"/>
      <c r="AD63" s="29"/>
    </row>
    <row r="64" spans="2:30" ht="19.5" customHeight="1">
      <c r="V64" s="28"/>
      <c r="X64" s="101" t="s">
        <v>131</v>
      </c>
      <c r="Y64" s="101"/>
      <c r="Z64" s="78" t="str">
        <f>VLOOKUP(Z9,Sheet1!1:1048576,18,0)</f>
        <v>326039464752</v>
      </c>
      <c r="AA64" s="78"/>
      <c r="AB64" s="45"/>
      <c r="AD64" s="29"/>
    </row>
    <row r="65" spans="22:30" ht="18.75" customHeight="1">
      <c r="V65" s="28"/>
      <c r="X65" s="101" t="s">
        <v>132</v>
      </c>
      <c r="Y65" s="101"/>
      <c r="Z65" s="78" t="str">
        <f>VLOOKUP(Z9,Sheet1!1:1048576,19,0)</f>
        <v>322882112</v>
      </c>
      <c r="AA65" s="78"/>
      <c r="AB65" s="77"/>
      <c r="AD65" s="29"/>
    </row>
    <row r="66" spans="22:30">
      <c r="V66" s="28"/>
      <c r="X66" s="36"/>
      <c r="Z66" s="36"/>
      <c r="AB66" s="33"/>
      <c r="AD66" s="29"/>
    </row>
    <row r="67" spans="22:30">
      <c r="V67" s="28"/>
      <c r="AD67" s="29"/>
    </row>
    <row r="68" spans="22:30" ht="13.5" thickBot="1">
      <c r="V68" s="30"/>
      <c r="W68" s="31"/>
      <c r="X68" s="31"/>
      <c r="Y68" s="31"/>
      <c r="Z68" s="31"/>
      <c r="AA68" s="31"/>
      <c r="AB68" s="31"/>
      <c r="AC68" s="31"/>
      <c r="AD68" s="32"/>
    </row>
  </sheetData>
  <mergeCells count="188">
    <mergeCell ref="Z63:AC63"/>
    <mergeCell ref="B30:P30"/>
    <mergeCell ref="AB13:AC13"/>
    <mergeCell ref="Y13:AA13"/>
    <mergeCell ref="Y14:AA14"/>
    <mergeCell ref="Y15:AA15"/>
    <mergeCell ref="Y16:AA16"/>
    <mergeCell ref="Y17:AA17"/>
    <mergeCell ref="Y18:AA18"/>
    <mergeCell ref="Y19:AA19"/>
    <mergeCell ref="V19:X19"/>
    <mergeCell ref="V20:X20"/>
    <mergeCell ref="Y20:AA20"/>
    <mergeCell ref="B24:C24"/>
    <mergeCell ref="B26:B27"/>
    <mergeCell ref="C26:C27"/>
    <mergeCell ref="D26:D27"/>
    <mergeCell ref="N26:N27"/>
    <mergeCell ref="O26:O27"/>
    <mergeCell ref="B13:C13"/>
    <mergeCell ref="B14:C14"/>
    <mergeCell ref="P19:U19"/>
    <mergeCell ref="B15:C15"/>
    <mergeCell ref="R26:R27"/>
    <mergeCell ref="AB26:AC27"/>
    <mergeCell ref="D63:G63"/>
    <mergeCell ref="H59:M59"/>
    <mergeCell ref="H60:M60"/>
    <mergeCell ref="H61:M61"/>
    <mergeCell ref="H62:M62"/>
    <mergeCell ref="H63:M63"/>
    <mergeCell ref="X54:AA54"/>
    <mergeCell ref="X56:AA56"/>
    <mergeCell ref="D34:K34"/>
    <mergeCell ref="D59:G59"/>
    <mergeCell ref="D60:G60"/>
    <mergeCell ref="D61:G61"/>
    <mergeCell ref="D62:G62"/>
    <mergeCell ref="Z57:AA57"/>
    <mergeCell ref="X58:Y58"/>
    <mergeCell ref="X59:Y59"/>
    <mergeCell ref="X60:Y60"/>
    <mergeCell ref="X61:Y61"/>
    <mergeCell ref="X51:AA52"/>
    <mergeCell ref="X62:Y62"/>
    <mergeCell ref="Z62:AA62"/>
    <mergeCell ref="B28:P29"/>
    <mergeCell ref="AB28:AC29"/>
    <mergeCell ref="G11:I12"/>
    <mergeCell ref="J11:L12"/>
    <mergeCell ref="M11:O12"/>
    <mergeCell ref="P11:R12"/>
    <mergeCell ref="AB10:AC12"/>
    <mergeCell ref="D11:F12"/>
    <mergeCell ref="S26:S27"/>
    <mergeCell ref="Y24:AA24"/>
    <mergeCell ref="V25:X25"/>
    <mergeCell ref="Y25:AA25"/>
    <mergeCell ref="D13:F13"/>
    <mergeCell ref="G13:I13"/>
    <mergeCell ref="J13:L13"/>
    <mergeCell ref="M13:O13"/>
    <mergeCell ref="J14:L14"/>
    <mergeCell ref="M14:O14"/>
    <mergeCell ref="AB14:AC14"/>
    <mergeCell ref="AB16:AC16"/>
    <mergeCell ref="AB18:AC18"/>
    <mergeCell ref="D14:F14"/>
    <mergeCell ref="D15:F15"/>
    <mergeCell ref="J15:L15"/>
    <mergeCell ref="M15:O15"/>
    <mergeCell ref="G14:I14"/>
    <mergeCell ref="B19:C19"/>
    <mergeCell ref="D19:I19"/>
    <mergeCell ref="D18:F18"/>
    <mergeCell ref="G18:I18"/>
    <mergeCell ref="G16:I16"/>
    <mergeCell ref="G17:I17"/>
    <mergeCell ref="B16:C16"/>
    <mergeCell ref="B17:C17"/>
    <mergeCell ref="D16:F16"/>
    <mergeCell ref="D17:F17"/>
    <mergeCell ref="B18:C18"/>
    <mergeCell ref="G15:I15"/>
    <mergeCell ref="J19:O19"/>
    <mergeCell ref="J18:L18"/>
    <mergeCell ref="J17:L17"/>
    <mergeCell ref="J16:L16"/>
    <mergeCell ref="O4:W6"/>
    <mergeCell ref="B10:C12"/>
    <mergeCell ref="J10:O10"/>
    <mergeCell ref="P10:U10"/>
    <mergeCell ref="J5:L5"/>
    <mergeCell ref="D10:I10"/>
    <mergeCell ref="L9:N9"/>
    <mergeCell ref="V11:V12"/>
    <mergeCell ref="W11:W12"/>
    <mergeCell ref="S11:U12"/>
    <mergeCell ref="V10:AA10"/>
    <mergeCell ref="X11:X12"/>
    <mergeCell ref="Y11:AA12"/>
    <mergeCell ref="AA9:AB9"/>
    <mergeCell ref="X9:Y9"/>
    <mergeCell ref="V9:W9"/>
    <mergeCell ref="S9:T9"/>
    <mergeCell ref="O9:R9"/>
    <mergeCell ref="P17:R17"/>
    <mergeCell ref="J22:O22"/>
    <mergeCell ref="P22:U22"/>
    <mergeCell ref="P25:U25"/>
    <mergeCell ref="B20:C20"/>
    <mergeCell ref="B21:C21"/>
    <mergeCell ref="B22:C22"/>
    <mergeCell ref="B23:C23"/>
    <mergeCell ref="D20:I20"/>
    <mergeCell ref="D21:I21"/>
    <mergeCell ref="D22:I22"/>
    <mergeCell ref="D23:I23"/>
    <mergeCell ref="J20:O20"/>
    <mergeCell ref="P20:U20"/>
    <mergeCell ref="J25:O25"/>
    <mergeCell ref="D24:I24"/>
    <mergeCell ref="D25:I25"/>
    <mergeCell ref="P23:U23"/>
    <mergeCell ref="J23:O23"/>
    <mergeCell ref="B25:C25"/>
    <mergeCell ref="S17:U17"/>
    <mergeCell ref="P16:R16"/>
    <mergeCell ref="S16:U16"/>
    <mergeCell ref="M18:O18"/>
    <mergeCell ref="P13:R13"/>
    <mergeCell ref="S13:U13"/>
    <mergeCell ref="P14:R14"/>
    <mergeCell ref="S14:U14"/>
    <mergeCell ref="P15:R15"/>
    <mergeCell ref="S15:U15"/>
    <mergeCell ref="P18:R18"/>
    <mergeCell ref="S18:U18"/>
    <mergeCell ref="M16:O16"/>
    <mergeCell ref="M17:O17"/>
    <mergeCell ref="AB15:AC15"/>
    <mergeCell ref="V26:V27"/>
    <mergeCell ref="W26:W27"/>
    <mergeCell ref="X26:X27"/>
    <mergeCell ref="Y26:Y27"/>
    <mergeCell ref="X63:Y63"/>
    <mergeCell ref="X64:Y64"/>
    <mergeCell ref="X65:Y65"/>
    <mergeCell ref="X37:AA37"/>
    <mergeCell ref="W38:AB38"/>
    <mergeCell ref="X39:AA39"/>
    <mergeCell ref="W40:AB40"/>
    <mergeCell ref="X41:AA41"/>
    <mergeCell ref="Z59:AB59"/>
    <mergeCell ref="Z26:Z27"/>
    <mergeCell ref="AA26:AA27"/>
    <mergeCell ref="S28:X29"/>
    <mergeCell ref="V35:AC36"/>
    <mergeCell ref="W33:AB34"/>
    <mergeCell ref="AB17:AC17"/>
    <mergeCell ref="V21:X21"/>
    <mergeCell ref="V24:X24"/>
    <mergeCell ref="AB19:AC19"/>
    <mergeCell ref="AB25:AC25"/>
    <mergeCell ref="AB22:AC22"/>
    <mergeCell ref="J24:O24"/>
    <mergeCell ref="X55:AA55"/>
    <mergeCell ref="Y21:AA21"/>
    <mergeCell ref="V22:X22"/>
    <mergeCell ref="Y22:AA22"/>
    <mergeCell ref="V23:X23"/>
    <mergeCell ref="Y23:AA23"/>
    <mergeCell ref="E26:E27"/>
    <mergeCell ref="F26:F27"/>
    <mergeCell ref="G26:G27"/>
    <mergeCell ref="H26:H27"/>
    <mergeCell ref="I26:I27"/>
    <mergeCell ref="J26:J27"/>
    <mergeCell ref="K26:K27"/>
    <mergeCell ref="L26:L27"/>
    <mergeCell ref="M26:M27"/>
    <mergeCell ref="T26:T27"/>
    <mergeCell ref="U26:U27"/>
    <mergeCell ref="P26:P27"/>
    <mergeCell ref="Q26:Q27"/>
    <mergeCell ref="P24:U24"/>
    <mergeCell ref="J21:O21"/>
    <mergeCell ref="P21:U21"/>
  </mergeCells>
  <conditionalFormatting sqref="G13:I15">
    <cfRule type="cellIs" dxfId="21" priority="3" operator="between">
      <formula>38</formula>
      <formula>50</formula>
    </cfRule>
  </conditionalFormatting>
  <conditionalFormatting sqref="M13:O15">
    <cfRule type="cellIs" dxfId="20" priority="2" operator="between">
      <formula>38</formula>
      <formula>50</formula>
    </cfRule>
  </conditionalFormatting>
  <conditionalFormatting sqref="S13:U15">
    <cfRule type="cellIs" dxfId="19" priority="1" operator="between">
      <formula>38</formula>
      <formula>50</formula>
    </cfRule>
  </conditionalFormatting>
  <pageMargins left="1" right="0.5" top="0.75" bottom="0.5" header="0.3" footer="0"/>
  <pageSetup paperSize="9" scale="9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Sheet1!$A:$A</xm:f>
          </x14:formula1>
          <xm:sqref>Z9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9"/>
  <sheetViews>
    <sheetView topLeftCell="D1" workbookViewId="0">
      <selection activeCell="P2" sqref="P2"/>
    </sheetView>
  </sheetViews>
  <sheetFormatPr defaultRowHeight="15"/>
  <cols>
    <col min="1" max="1" width="21.42578125" bestFit="1" customWidth="1"/>
    <col min="2" max="2" width="23.42578125" bestFit="1" customWidth="1"/>
    <col min="6" max="6" width="10.5703125" bestFit="1" customWidth="1"/>
    <col min="7" max="7" width="22" bestFit="1" customWidth="1"/>
    <col min="9" max="9" width="11" bestFit="1" customWidth="1"/>
    <col min="10" max="10" width="11" customWidth="1"/>
    <col min="16" max="16" width="15.7109375" bestFit="1" customWidth="1"/>
    <col min="20" max="20" width="13.85546875" bestFit="1" customWidth="1"/>
  </cols>
  <sheetData>
    <row r="1" spans="1:20">
      <c r="A1" t="s">
        <v>4</v>
      </c>
      <c r="B1" t="s">
        <v>4</v>
      </c>
      <c r="C1" t="s">
        <v>106</v>
      </c>
      <c r="D1" t="s">
        <v>107</v>
      </c>
      <c r="E1" t="s">
        <v>108</v>
      </c>
      <c r="F1" t="s">
        <v>83</v>
      </c>
      <c r="G1" t="s">
        <v>17</v>
      </c>
      <c r="I1" t="s">
        <v>92</v>
      </c>
      <c r="J1" t="s">
        <v>91</v>
      </c>
      <c r="K1" t="s">
        <v>90</v>
      </c>
      <c r="N1" t="s">
        <v>92</v>
      </c>
      <c r="O1" t="s">
        <v>91</v>
      </c>
      <c r="P1" t="s">
        <v>29</v>
      </c>
      <c r="R1" t="s">
        <v>92</v>
      </c>
      <c r="S1" t="s">
        <v>91</v>
      </c>
      <c r="T1" t="s">
        <v>29</v>
      </c>
    </row>
    <row r="2" spans="1:20">
      <c r="A2" s="10" t="s">
        <v>8</v>
      </c>
      <c r="B2" t="s">
        <v>30</v>
      </c>
      <c r="C2">
        <v>0</v>
      </c>
      <c r="D2">
        <v>8</v>
      </c>
      <c r="E2" t="s">
        <v>109</v>
      </c>
      <c r="F2">
        <v>1</v>
      </c>
      <c r="G2" t="s">
        <v>75</v>
      </c>
      <c r="I2">
        <v>0</v>
      </c>
      <c r="J2">
        <v>33</v>
      </c>
      <c r="K2" t="s">
        <v>65</v>
      </c>
      <c r="N2">
        <v>0</v>
      </c>
      <c r="O2">
        <v>36</v>
      </c>
      <c r="P2" t="s">
        <v>115</v>
      </c>
      <c r="R2">
        <v>0</v>
      </c>
      <c r="S2">
        <v>33</v>
      </c>
    </row>
    <row r="3" spans="1:20">
      <c r="A3" t="s">
        <v>5</v>
      </c>
      <c r="B3" t="s">
        <v>32</v>
      </c>
      <c r="C3">
        <v>8</v>
      </c>
      <c r="D3">
        <v>15</v>
      </c>
      <c r="E3" t="s">
        <v>110</v>
      </c>
      <c r="F3">
        <v>2</v>
      </c>
      <c r="G3" t="s">
        <v>76</v>
      </c>
      <c r="I3">
        <v>33</v>
      </c>
      <c r="J3">
        <v>45</v>
      </c>
      <c r="K3" t="s">
        <v>64</v>
      </c>
      <c r="N3">
        <v>36</v>
      </c>
      <c r="O3">
        <v>50</v>
      </c>
      <c r="P3" t="s">
        <v>101</v>
      </c>
      <c r="R3">
        <v>33</v>
      </c>
      <c r="S3">
        <v>60</v>
      </c>
      <c r="T3" t="s">
        <v>102</v>
      </c>
    </row>
    <row r="4" spans="1:20">
      <c r="A4" t="s">
        <v>7</v>
      </c>
      <c r="B4" t="s">
        <v>31</v>
      </c>
      <c r="C4">
        <v>15</v>
      </c>
      <c r="D4">
        <v>20</v>
      </c>
      <c r="E4" t="s">
        <v>111</v>
      </c>
      <c r="F4">
        <v>3</v>
      </c>
      <c r="G4" t="s">
        <v>77</v>
      </c>
      <c r="I4">
        <v>45</v>
      </c>
      <c r="J4">
        <v>60</v>
      </c>
      <c r="K4" t="s">
        <v>63</v>
      </c>
      <c r="N4">
        <v>50</v>
      </c>
      <c r="O4">
        <v>60</v>
      </c>
      <c r="P4" t="s">
        <v>102</v>
      </c>
      <c r="R4">
        <v>60</v>
      </c>
      <c r="S4">
        <v>75</v>
      </c>
      <c r="T4" t="s">
        <v>103</v>
      </c>
    </row>
    <row r="5" spans="1:20">
      <c r="A5" t="s">
        <v>6</v>
      </c>
      <c r="B5" t="s">
        <v>33</v>
      </c>
      <c r="C5">
        <v>20</v>
      </c>
      <c r="D5">
        <v>25</v>
      </c>
      <c r="E5" t="s">
        <v>112</v>
      </c>
      <c r="F5">
        <v>4</v>
      </c>
      <c r="G5" t="s">
        <v>78</v>
      </c>
      <c r="I5">
        <v>60</v>
      </c>
      <c r="J5">
        <v>100</v>
      </c>
      <c r="K5" t="s">
        <v>62</v>
      </c>
      <c r="N5">
        <v>60</v>
      </c>
      <c r="O5">
        <v>70</v>
      </c>
      <c r="P5" t="s">
        <v>103</v>
      </c>
      <c r="R5">
        <v>75</v>
      </c>
      <c r="S5">
        <v>90</v>
      </c>
      <c r="T5" t="s">
        <v>104</v>
      </c>
    </row>
    <row r="6" spans="1:20" ht="15.75">
      <c r="A6" s="21" t="s">
        <v>35</v>
      </c>
      <c r="B6" s="21" t="s">
        <v>35</v>
      </c>
      <c r="F6">
        <v>6</v>
      </c>
      <c r="G6" t="s">
        <v>79</v>
      </c>
      <c r="N6">
        <v>70</v>
      </c>
      <c r="O6">
        <v>80</v>
      </c>
      <c r="P6" t="s">
        <v>104</v>
      </c>
      <c r="R6">
        <v>90</v>
      </c>
      <c r="S6">
        <v>100</v>
      </c>
      <c r="T6" t="s">
        <v>105</v>
      </c>
    </row>
    <row r="7" spans="1:20" ht="16.5" thickBot="1">
      <c r="A7" s="22" t="s">
        <v>36</v>
      </c>
      <c r="B7" s="22" t="s">
        <v>36</v>
      </c>
      <c r="F7">
        <v>7</v>
      </c>
      <c r="G7" t="s">
        <v>80</v>
      </c>
      <c r="N7">
        <v>80</v>
      </c>
      <c r="O7">
        <v>100</v>
      </c>
      <c r="P7" t="s">
        <v>105</v>
      </c>
    </row>
    <row r="8" spans="1:20">
      <c r="F8">
        <v>8</v>
      </c>
      <c r="G8" t="s">
        <v>81</v>
      </c>
    </row>
    <row r="9" spans="1:20">
      <c r="F9">
        <v>9</v>
      </c>
      <c r="G9" t="s">
        <v>82</v>
      </c>
    </row>
  </sheetData>
  <sortState xmlns:xlrd2="http://schemas.microsoft.com/office/spreadsheetml/2017/richdata2" ref="A3:B16">
    <sortCondition ref="B3:B1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B9981E-D862-463E-8641-73F7C02016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Report Card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vaibhav srivastava</cp:lastModifiedBy>
  <cp:lastPrinted>2026-03-21T02:29:17Z</cp:lastPrinted>
  <dcterms:created xsi:type="dcterms:W3CDTF">2019-07-28T07:32:43Z</dcterms:created>
  <dcterms:modified xsi:type="dcterms:W3CDTF">2026-03-21T02:29:41Z</dcterms:modified>
</cp:coreProperties>
</file>